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889568836845fa" /></Relationships>
</file>

<file path=xl/workbook.xml><?xml version="1.0" encoding="utf-8"?>
<x:workbook xmlns:x="http://schemas.openxmlformats.org/spreadsheetml/2006/main">
  <x:sheets>
    <x:sheet xmlns:r="http://schemas.openxmlformats.org/officeDocument/2006/relationships" name="README" sheetId="1" r:id="Ra17dc6e5cebb49d4"/>
    <x:sheet xmlns:r="http://schemas.openxmlformats.org/officeDocument/2006/relationships" name="Test Summary" sheetId="2" r:id="R17ac264fe1d840fa"/>
    <x:sheet xmlns:r="http://schemas.openxmlformats.org/officeDocument/2006/relationships" name="Functional Test Cases" sheetId="3" r:id="R45e6238f8fc24e33"/>
    <x:sheet xmlns:r="http://schemas.openxmlformats.org/officeDocument/2006/relationships" name="UI-UX &amp; Responsive" sheetId="4" r:id="Rd244e4bd74da4806"/>
    <x:sheet xmlns:r="http://schemas.openxmlformats.org/officeDocument/2006/relationships" name="API Test Cases" sheetId="5" r:id="R6cefb17ec45b4dde"/>
    <x:sheet xmlns:r="http://schemas.openxmlformats.org/officeDocument/2006/relationships" name="Security &amp; Permission" sheetId="6" r:id="R45e8d8ce3e0e4360"/>
    <x:sheet xmlns:r="http://schemas.openxmlformats.org/officeDocument/2006/relationships" name="Performance" sheetId="7" r:id="R4a2f252faae24ada"/>
    <x:sheet xmlns:r="http://schemas.openxmlformats.org/officeDocument/2006/relationships" name="Compatibility" sheetId="8" r:id="Rbc81f8ec94384469"/>
    <x:sheet xmlns:r="http://schemas.openxmlformats.org/officeDocument/2006/relationships" name="Regression Checklist" sheetId="9" r:id="R30c41fdb60fa4c76"/>
    <x:sheet xmlns:r="http://schemas.openxmlformats.org/officeDocument/2006/relationships" name="Bug Report" sheetId="10" r:id="R9b2c924438cf493c"/>
    <x:sheet xmlns:r="http://schemas.openxmlformats.org/officeDocument/2006/relationships" name="Traceability Matrix" sheetId="11" r:id="Rfcc1a4d3771e40d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0%"/>
  </x:numFmts>
  <x:fonts count="4">
    <x:font>
      <x:sz val="11"/>
      <x:name val="Carlito"/>
    </x:font>
    <x:font>
      <x:sz val="10"/>
      <x:color rgb="FF243247"/>
      <x:name val="Arial"/>
    </x:font>
    <x:font>
      <x:b/>
      <x:sz val="10"/>
      <x:color rgb="FFFFFFFF"/>
      <x:name val="Arial"/>
    </x:font>
    <x:font>
      <x:sz val="10"/>
      <x:name val="Arial"/>
    </x:font>
  </x:fonts>
  <x:fills count="6">
    <x:fill>
      <x:patternFill patternType="none"/>
    </x:fill>
    <x:fill>
      <x:patternFill patternType="gray125"/>
    </x:fill>
    <x:fill>
      <x:patternFill patternType="solid">
        <x:fgColor rgb="FF263C59"/>
      </x:patternFill>
    </x:fill>
    <x:fill>
      <x:patternFill patternType="solid">
        <x:fgColor rgb="FFE7E9ED"/>
      </x:patternFill>
    </x:fill>
    <x:fill>
      <x:patternFill patternType="solid">
        <x:fgColor rgb="FFFFF1B6"/>
      </x:patternFill>
    </x:fill>
    <x:fill>
      <x:patternFill patternType="solid">
        <x:fgColor rgb="FFF3F7FD"/>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x:cellXfs>
  <x:cellStyles count="1">
    <x:cellStyle name="Normal" xfId="0"/>
  </x:cellStyles>
  <x:dxfs count="35">
    <x:dxf>
      <x:font>
        <x:b/>
        <x:color rgb="FF243247"/>
      </x:font>
      <x:fill>
        <x:patternFill patternType="solid">
          <x:bgColor rgb="FFDCEEDD"/>
        </x:patternFill>
      </x:fill>
    </x:dxf>
    <x:dxf>
      <x:font>
        <x:b/>
        <x:color rgb="FF243247"/>
      </x:font>
      <x:fill>
        <x:patternFill patternType="solid">
          <x:bgColor rgb="FFFBDDDD"/>
        </x:patternFill>
      </x:fill>
    </x:dxf>
    <x:dxf>
      <x:font>
        <x:b/>
        <x:color rgb="FF243247"/>
      </x:font>
      <x:fill>
        <x:patternFill patternType="solid">
          <x:bgColor rgb="FFFBE2C3"/>
        </x:patternFill>
      </x:fill>
    </x:dxf>
    <x:dxf>
      <x:font>
        <x:b/>
        <x:color rgb="FF243247"/>
      </x:font>
      <x:fill>
        <x:patternFill patternType="solid">
          <x:bgColor rgb="FFE7E9ED"/>
        </x:patternFill>
      </x:fill>
    </x:dxf>
    <x:dxf>
      <x:font>
        <x:b/>
        <x:color rgb="FF243247"/>
      </x:font>
      <x:fill>
        <x:patternFill patternType="solid">
          <x:bgColor rgb="FFFFF1B6"/>
        </x:patternFill>
      </x:fill>
    </x:dxf>
    <x:dxf>
      <x:font>
        <x:b/>
        <x:color rgb="FF243247"/>
      </x:font>
      <x:fill>
        <x:patternFill patternType="solid">
          <x:bgColor rgb="FFDCEEDD"/>
        </x:patternFill>
      </x:fill>
    </x:dxf>
    <x:dxf>
      <x:font>
        <x:b/>
        <x:color rgb="FF243247"/>
      </x:font>
      <x:fill>
        <x:patternFill patternType="solid">
          <x:bgColor rgb="FFFBDDDD"/>
        </x:patternFill>
      </x:fill>
    </x:dxf>
    <x:dxf>
      <x:font>
        <x:b/>
        <x:color rgb="FF243247"/>
      </x:font>
      <x:fill>
        <x:patternFill patternType="solid">
          <x:bgColor rgb="FFFBE2C3"/>
        </x:patternFill>
      </x:fill>
    </x:dxf>
    <x:dxf>
      <x:font>
        <x:b/>
        <x:color rgb="FF243247"/>
      </x:font>
      <x:fill>
        <x:patternFill patternType="solid">
          <x:bgColor rgb="FFE7E9ED"/>
        </x:patternFill>
      </x:fill>
    </x:dxf>
    <x:dxf>
      <x:font>
        <x:b/>
        <x:color rgb="FF243247"/>
      </x:font>
      <x:fill>
        <x:patternFill patternType="solid">
          <x:bgColor rgb="FFFFF1B6"/>
        </x:patternFill>
      </x:fill>
    </x:dxf>
    <x:dxf>
      <x:font>
        <x:b/>
        <x:color rgb="FF243247"/>
      </x:font>
      <x:fill>
        <x:patternFill patternType="solid">
          <x:bgColor rgb="FFDCEEDD"/>
        </x:patternFill>
      </x:fill>
    </x:dxf>
    <x:dxf>
      <x:font>
        <x:b/>
        <x:color rgb="FF243247"/>
      </x:font>
      <x:fill>
        <x:patternFill patternType="solid">
          <x:bgColor rgb="FFFBDDDD"/>
        </x:patternFill>
      </x:fill>
    </x:dxf>
    <x:dxf>
      <x:font>
        <x:b/>
        <x:color rgb="FF243247"/>
      </x:font>
      <x:fill>
        <x:patternFill patternType="solid">
          <x:bgColor rgb="FFFBE2C3"/>
        </x:patternFill>
      </x:fill>
    </x:dxf>
    <x:dxf>
      <x:font>
        <x:b/>
        <x:color rgb="FF243247"/>
      </x:font>
      <x:fill>
        <x:patternFill patternType="solid">
          <x:bgColor rgb="FFE7E9ED"/>
        </x:patternFill>
      </x:fill>
    </x:dxf>
    <x:dxf>
      <x:font>
        <x:b/>
        <x:color rgb="FF243247"/>
      </x:font>
      <x:fill>
        <x:patternFill patternType="solid">
          <x:bgColor rgb="FFFFF1B6"/>
        </x:patternFill>
      </x:fill>
    </x:dxf>
    <x:dxf>
      <x:font>
        <x:b/>
        <x:color rgb="FF243247"/>
      </x:font>
      <x:fill>
        <x:patternFill patternType="solid">
          <x:bgColor rgb="FFDCEEDD"/>
        </x:patternFill>
      </x:fill>
    </x:dxf>
    <x:dxf>
      <x:font>
        <x:b/>
        <x:color rgb="FF243247"/>
      </x:font>
      <x:fill>
        <x:patternFill patternType="solid">
          <x:bgColor rgb="FFFBDDDD"/>
        </x:patternFill>
      </x:fill>
    </x:dxf>
    <x:dxf>
      <x:font>
        <x:b/>
        <x:color rgb="FF243247"/>
      </x:font>
      <x:fill>
        <x:patternFill patternType="solid">
          <x:bgColor rgb="FFFBE2C3"/>
        </x:patternFill>
      </x:fill>
    </x:dxf>
    <x:dxf>
      <x:font>
        <x:b/>
        <x:color rgb="FF243247"/>
      </x:font>
      <x:fill>
        <x:patternFill patternType="solid">
          <x:bgColor rgb="FFE7E9ED"/>
        </x:patternFill>
      </x:fill>
    </x:dxf>
    <x:dxf>
      <x:font>
        <x:b/>
        <x:color rgb="FF243247"/>
      </x:font>
      <x:fill>
        <x:patternFill patternType="solid">
          <x:bgColor rgb="FFFFF1B6"/>
        </x:patternFill>
      </x:fill>
    </x:dxf>
    <x:dxf>
      <x:font>
        <x:b/>
        <x:color rgb="FF243247"/>
      </x:font>
      <x:fill>
        <x:patternFill patternType="solid">
          <x:bgColor rgb="FFDCEEDD"/>
        </x:patternFill>
      </x:fill>
    </x:dxf>
    <x:dxf>
      <x:font>
        <x:b/>
        <x:color rgb="FF243247"/>
      </x:font>
      <x:fill>
        <x:patternFill patternType="solid">
          <x:bgColor rgb="FFFBDDDD"/>
        </x:patternFill>
      </x:fill>
    </x:dxf>
    <x:dxf>
      <x:font>
        <x:b/>
        <x:color rgb="FF243247"/>
      </x:font>
      <x:fill>
        <x:patternFill patternType="solid">
          <x:bgColor rgb="FFFBE2C3"/>
        </x:patternFill>
      </x:fill>
    </x:dxf>
    <x:dxf>
      <x:font>
        <x:b/>
        <x:color rgb="FF243247"/>
      </x:font>
      <x:fill>
        <x:patternFill patternType="solid">
          <x:bgColor rgb="FFE7E9ED"/>
        </x:patternFill>
      </x:fill>
    </x:dxf>
    <x:dxf>
      <x:font>
        <x:b/>
        <x:color rgb="FF243247"/>
      </x:font>
      <x:fill>
        <x:patternFill patternType="solid">
          <x:bgColor rgb="FFFFF1B6"/>
        </x:patternFill>
      </x:fill>
    </x:dxf>
    <x:dxf>
      <x:font>
        <x:b/>
        <x:color rgb="FF243247"/>
      </x:font>
      <x:fill>
        <x:patternFill patternType="solid">
          <x:bgColor rgb="FFDCEEDD"/>
        </x:patternFill>
      </x:fill>
    </x:dxf>
    <x:dxf>
      <x:font>
        <x:b/>
        <x:color rgb="FF243247"/>
      </x:font>
      <x:fill>
        <x:patternFill patternType="solid">
          <x:bgColor rgb="FFFBDDDD"/>
        </x:patternFill>
      </x:fill>
    </x:dxf>
    <x:dxf>
      <x:font>
        <x:b/>
        <x:color rgb="FF243247"/>
      </x:font>
      <x:fill>
        <x:patternFill patternType="solid">
          <x:bgColor rgb="FFFBE2C3"/>
        </x:patternFill>
      </x:fill>
    </x:dxf>
    <x:dxf>
      <x:font>
        <x:b/>
        <x:color rgb="FF243247"/>
      </x:font>
      <x:fill>
        <x:patternFill patternType="solid">
          <x:bgColor rgb="FFE7E9ED"/>
        </x:patternFill>
      </x:fill>
    </x:dxf>
    <x:dxf>
      <x:font>
        <x:b/>
        <x:color rgb="FF243247"/>
      </x:font>
      <x:fill>
        <x:patternFill patternType="solid">
          <x:bgColor rgb="FFFFF1B6"/>
        </x:patternFill>
      </x:fill>
    </x:dxf>
    <x:dxf>
      <x:fill>
        <x:patternFill patternType="solid">
          <x:bgColor rgb="FFDCEEDD"/>
        </x:patternFill>
      </x:fill>
    </x:dxf>
    <x:dxf>
      <x:fill>
        <x:patternFill patternType="solid">
          <x:bgColor rgb="FFFBDDDD"/>
        </x:patternFill>
      </x:fill>
    </x:dxf>
    <x:dxf>
      <x:fill>
        <x:patternFill patternType="solid">
          <x:bgColor rgb="FFFBE2C3"/>
        </x:patternFill>
      </x:fill>
    </x:dxf>
    <x:dxf>
      <x:fill>
        <x:patternFill patternType="solid">
          <x:bgColor rgb="FFE7E9ED"/>
        </x:patternFill>
      </x:fill>
    </x:dxf>
    <x:dxf>
      <x:fill>
        <x:patternFill patternType="solid">
          <x:bgColor rgb="FFFFF1B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a91e6458994c64" /><Relationship Type="http://schemas.openxmlformats.org/officeDocument/2006/relationships/theme" Target="/xl/theme/theme1.xml" Id="Rac2ab7e207c04a71" /><Relationship Type="http://schemas.openxmlformats.org/officeDocument/2006/relationships/sharedStrings" Target="/xl/sharedStrings.xml" Id="R9e8dff3d4e74479f" /><Relationship Type="http://schemas.openxmlformats.org/officeDocument/2006/relationships/worksheet" Target="/xl/worksheets/sheet1.xml" Id="Ra17dc6e5cebb49d4" /><Relationship Type="http://schemas.openxmlformats.org/officeDocument/2006/relationships/worksheet" Target="/xl/worksheets/sheet2.xml" Id="R17ac264fe1d840fa" /><Relationship Type="http://schemas.openxmlformats.org/officeDocument/2006/relationships/worksheet" Target="/xl/worksheets/sheet3.xml" Id="R45e6238f8fc24e33" /><Relationship Type="http://schemas.openxmlformats.org/officeDocument/2006/relationships/worksheet" Target="/xl/worksheets/sheet4.xml" Id="Rd244e4bd74da4806" /><Relationship Type="http://schemas.openxmlformats.org/officeDocument/2006/relationships/worksheet" Target="/xl/worksheets/sheet5.xml" Id="R6cefb17ec45b4dde" /><Relationship Type="http://schemas.openxmlformats.org/officeDocument/2006/relationships/worksheet" Target="/xl/worksheets/sheet6.xml" Id="R45e8d8ce3e0e4360" /><Relationship Type="http://schemas.openxmlformats.org/officeDocument/2006/relationships/worksheet" Target="/xl/worksheets/sheet7.xml" Id="R4a2f252faae24ada" /><Relationship Type="http://schemas.openxmlformats.org/officeDocument/2006/relationships/worksheet" Target="/xl/worksheets/sheet8.xml" Id="Rbc81f8ec94384469" /><Relationship Type="http://schemas.openxmlformats.org/officeDocument/2006/relationships/worksheet" Target="/xl/worksheets/sheet9.xml" Id="R30c41fdb60fa4c76" /><Relationship Type="http://schemas.openxmlformats.org/officeDocument/2006/relationships/worksheet" Target="/xl/worksheets/sheet10.xml" Id="R9b2c924438cf493c" /><Relationship Type="http://schemas.openxmlformats.org/officeDocument/2006/relationships/worksheet" Target="/xl/worksheets/sheet11.xml" Id="Rfcc1a4d3771e40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b5320fbc0d4c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Trạng thái thực thi</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Số test</c:v>
          </c:tx>
          <c:cat>
            <c:strRef>
              <c:f>'Test Summary'!$F$20:$F$24</c:f>
              <c:strCache>
                <c:ptCount val="0"/>
              </c:strCache>
            </c:strRef>
          </c:cat>
          <c:val>
            <c:numRef>
              <c:f>'Test Summary'!$G$20:$G$24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b5320fbc0d4c94"/>
        </a:graphicData>
      </a:graphic>
    </xdr:graphicFrame>
    <xdr:clientData/>
  </xdr:twoCellAnchor>
</xdr:wsDr>
</file>

<file path=xl/tables/table1.xml><?xml version="1.0" encoding="utf-8"?>
<x:table xmlns:x="http://schemas.openxmlformats.org/spreadsheetml/2006/main" id="7" name="Table7" displayName="Table7" ref="A1:C315" headerRowCount="1" totalsRowCount="0" totalsRowShown="0">
  <x:autoFilter ref="A1:C315"/>
  <x:tableColumns count="3">
    <x:tableColumn id="1" name="Nhóm"/>
    <x:tableColumn id="2" name="Hạng mục"/>
    <x:tableColumn id="3" name="Nội dung"/>
  </x:tableColumns>
  <x:tableStyleInfo name="TableStyleMedium2" showFirstColumn="0" showLastColumn="0" showRowStripes="1" showColumnStripes="0"/>
</x:table>
</file>

<file path=xl/tables/table2.xml><?xml version="1.0" encoding="utf-8"?>
<x:table xmlns:x="http://schemas.openxmlformats.org/spreadsheetml/2006/main" id="8" name="Table8" displayName="Table8" ref="A1:D75" headerRowCount="1" totalsRowCount="0" totalsRowShown="0">
  <x:autoFilter ref="A1:D75"/>
  <x:tableColumns count="4">
    <x:tableColumn id="1" name="Nhóm"/>
    <x:tableColumn id="2" name="Chỉ tiêu"/>
    <x:tableColumn id="3" name="Số lượng / Tỷ lệ"/>
    <x:tableColumn id="4" name="Ghi chú"/>
  </x:tableColumns>
  <x:tableStyleInfo name="TableStyleMedium2" showFirstColumn="0" showLastColumn="0" showRowStripes="1" showColumnStripes="0"/>
</x:table>
</file>

<file path=xl/tables/table3.xml><?xml version="1.0" encoding="utf-8"?>
<x:table xmlns:x="http://schemas.openxmlformats.org/spreadsheetml/2006/main" id="9" name="StatusChartData" displayName="StatusChartData" ref="F19:G24" headerRowCount="1" totalsRowCount="0" totalsRowShown="0">
  <x:autoFilter ref="F19:G24"/>
  <x:tableColumns count="2">
    <x:tableColumn id="1" name="Status"/>
    <x:tableColumn id="2" name="Số test"/>
  </x:tableColumns>
  <x:tableStyleInfo name="TableStyleMedium2" showFirstColumn="0" showLastColumn="0" showRowStripes="1" showColumnStripes="0"/>
</x:table>
</file>

<file path=xl/tables/table4.xml><?xml version="1.0" encoding="utf-8"?>
<x:table xmlns:x="http://schemas.openxmlformats.org/spreadsheetml/2006/main" id="1" name="Table1" displayName="Table1" ref="A1:Y337" headerRowCount="1" totalsRowCount="0" totalsRowShown="0">
  <x:autoFilter ref="A1:Y337"/>
  <x:tableColumns count="25">
    <x:tableColumn id="1" name="STT"/>
    <x:tableColumn id="2" name="Test Case ID"/>
    <x:tableColumn id="3" name="Module"/>
    <x:tableColumn id="4" name="Sub-module"/>
    <x:tableColumn id="5" name="Feature"/>
    <x:tableColumn id="6" name="Test Scenario"/>
    <x:tableColumn id="7" name="Test Case Title"/>
    <x:tableColumn id="8" name="Requirement/User Story ID"/>
    <x:tableColumn id="9" name="User Role"/>
    <x:tableColumn id="10" name="Test Type"/>
    <x:tableColumn id="11" name="Priority"/>
    <x:tableColumn id="12" name="Severity"/>
    <x:tableColumn id="13" name="Preconditions"/>
    <x:tableColumn id="14" name="Test Data"/>
    <x:tableColumn id="15" name="Test Steps"/>
    <x:tableColumn id="16" name="Expected Result"/>
    <x:tableColumn id="17" name="Actual Result"/>
    <x:tableColumn id="18" name="Status"/>
    <x:tableColumn id="19" name="Environment"/>
    <x:tableColumn id="20" name="Browser/Device"/>
    <x:tableColumn id="21" name="Tester"/>
    <x:tableColumn id="22" name="Test Date"/>
    <x:tableColumn id="23" name="Evidence/Attachment"/>
    <x:tableColumn id="24" name="Bug ID"/>
    <x:tableColumn id="25" name="Notes"/>
  </x:tableColumns>
  <x:tableStyleInfo name="TableStyleMedium2" showFirstColumn="0" showLastColumn="0" showRowStripes="1" showColumnStripes="0"/>
</x:table>
</file>

<file path=xl/tables/table5.xml><?xml version="1.0" encoding="utf-8"?>
<x:table xmlns:x="http://schemas.openxmlformats.org/spreadsheetml/2006/main" id="2" name="Table2" displayName="Table2" ref="A1:Y257" headerRowCount="1" totalsRowCount="0" totalsRowShown="0">
  <x:autoFilter ref="A1:Y257"/>
  <x:tableColumns count="25">
    <x:tableColumn id="1" name="STT"/>
    <x:tableColumn id="2" name="Test Case ID"/>
    <x:tableColumn id="3" name="Module"/>
    <x:tableColumn id="4" name="Sub-module"/>
    <x:tableColumn id="5" name="Feature"/>
    <x:tableColumn id="6" name="Test Scenario"/>
    <x:tableColumn id="7" name="Test Case Title"/>
    <x:tableColumn id="8" name="Requirement/User Story ID"/>
    <x:tableColumn id="9" name="User Role"/>
    <x:tableColumn id="10" name="Test Type"/>
    <x:tableColumn id="11" name="Priority"/>
    <x:tableColumn id="12" name="Severity"/>
    <x:tableColumn id="13" name="Preconditions"/>
    <x:tableColumn id="14" name="Test Data"/>
    <x:tableColumn id="15" name="Test Steps"/>
    <x:tableColumn id="16" name="Expected Result"/>
    <x:tableColumn id="17" name="Actual Result"/>
    <x:tableColumn id="18" name="Status"/>
    <x:tableColumn id="19" name="Environment"/>
    <x:tableColumn id="20" name="Browser/Device"/>
    <x:tableColumn id="21" name="Tester"/>
    <x:tableColumn id="22" name="Test Date"/>
    <x:tableColumn id="23" name="Evidence/Attachment"/>
    <x:tableColumn id="24" name="Bug ID"/>
    <x:tableColumn id="25" name="Notes"/>
  </x:tableColumns>
  <x:tableStyleInfo name="TableStyleMedium2" showFirstColumn="0" showLastColumn="0" showRowStripes="1" showColumnStripes="0"/>
</x:table>
</file>

<file path=xl/tables/table6.xml><?xml version="1.0" encoding="utf-8"?>
<x:table xmlns:x="http://schemas.openxmlformats.org/spreadsheetml/2006/main" id="3" name="Table3" displayName="Table3" ref="A1:Y346" headerRowCount="1" totalsRowCount="0" totalsRowShown="0">
  <x:autoFilter ref="A1:Y346"/>
  <x:tableColumns count="25">
    <x:tableColumn id="1" name="STT"/>
    <x:tableColumn id="2" name="Test Case ID"/>
    <x:tableColumn id="3" name="Module"/>
    <x:tableColumn id="4" name="Sub-module"/>
    <x:tableColumn id="5" name="Feature"/>
    <x:tableColumn id="6" name="Test Scenario"/>
    <x:tableColumn id="7" name="Test Case Title"/>
    <x:tableColumn id="8" name="Requirement/User Story ID"/>
    <x:tableColumn id="9" name="User Role"/>
    <x:tableColumn id="10" name="Test Type"/>
    <x:tableColumn id="11" name="Priority"/>
    <x:tableColumn id="12" name="Severity"/>
    <x:tableColumn id="13" name="Preconditions"/>
    <x:tableColumn id="14" name="Test Data"/>
    <x:tableColumn id="15" name="Test Steps"/>
    <x:tableColumn id="16" name="Expected Result"/>
    <x:tableColumn id="17" name="Actual Result"/>
    <x:tableColumn id="18" name="Status"/>
    <x:tableColumn id="19" name="Environment"/>
    <x:tableColumn id="20" name="Browser/Device"/>
    <x:tableColumn id="21" name="Tester"/>
    <x:tableColumn id="22" name="Test Date"/>
    <x:tableColumn id="23" name="Evidence/Attachment"/>
    <x:tableColumn id="24" name="Bug ID"/>
    <x:tableColumn id="25" name="Notes"/>
  </x:tableColumns>
  <x:tableStyleInfo name="TableStyleMedium2" showFirstColumn="0" showLastColumn="0" showRowStripes="1" showColumnStripes="0"/>
</x:table>
</file>

<file path=xl/tables/table7.xml><?xml version="1.0" encoding="utf-8"?>
<x:table xmlns:x="http://schemas.openxmlformats.org/spreadsheetml/2006/main" id="4" name="Table4" displayName="Table4" ref="A1:Y147" headerRowCount="1" totalsRowCount="0" totalsRowShown="0">
  <x:autoFilter ref="A1:Y147"/>
  <x:tableColumns count="25">
    <x:tableColumn id="1" name="STT"/>
    <x:tableColumn id="2" name="Test Case ID"/>
    <x:tableColumn id="3" name="Module"/>
    <x:tableColumn id="4" name="Sub-module"/>
    <x:tableColumn id="5" name="Feature"/>
    <x:tableColumn id="6" name="Test Scenario"/>
    <x:tableColumn id="7" name="Test Case Title"/>
    <x:tableColumn id="8" name="Requirement/User Story ID"/>
    <x:tableColumn id="9" name="User Role"/>
    <x:tableColumn id="10" name="Test Type"/>
    <x:tableColumn id="11" name="Priority"/>
    <x:tableColumn id="12" name="Severity"/>
    <x:tableColumn id="13" name="Preconditions"/>
    <x:tableColumn id="14" name="Test Data"/>
    <x:tableColumn id="15" name="Test Steps"/>
    <x:tableColumn id="16" name="Expected Result"/>
    <x:tableColumn id="17" name="Actual Result"/>
    <x:tableColumn id="18" name="Status"/>
    <x:tableColumn id="19" name="Environment"/>
    <x:tableColumn id="20" name="Browser/Device"/>
    <x:tableColumn id="21" name="Tester"/>
    <x:tableColumn id="22" name="Test Date"/>
    <x:tableColumn id="23" name="Evidence/Attachment"/>
    <x:tableColumn id="24" name="Bug ID"/>
    <x:tableColumn id="25" name="Notes"/>
  </x:tableColumns>
  <x:tableStyleInfo name="TableStyleMedium2" showFirstColumn="0" showLastColumn="0" showRowStripes="1" showColumnStripes="0"/>
</x:table>
</file>

<file path=xl/tables/table8.xml><?xml version="1.0" encoding="utf-8"?>
<x:table xmlns:x="http://schemas.openxmlformats.org/spreadsheetml/2006/main" id="5" name="Table5" displayName="Table5" ref="A1:Y16" headerRowCount="1" totalsRowCount="0" totalsRowShown="0">
  <x:autoFilter ref="A1:Y16"/>
  <x:tableColumns count="25">
    <x:tableColumn id="1" name="STT"/>
    <x:tableColumn id="2" name="Test Case ID"/>
    <x:tableColumn id="3" name="Module"/>
    <x:tableColumn id="4" name="Sub-module"/>
    <x:tableColumn id="5" name="Feature"/>
    <x:tableColumn id="6" name="Test Scenario"/>
    <x:tableColumn id="7" name="Test Case Title"/>
    <x:tableColumn id="8" name="Requirement/User Story ID"/>
    <x:tableColumn id="9" name="User Role"/>
    <x:tableColumn id="10" name="Test Type"/>
    <x:tableColumn id="11" name="Priority"/>
    <x:tableColumn id="12" name="Severity"/>
    <x:tableColumn id="13" name="Preconditions"/>
    <x:tableColumn id="14" name="Test Data"/>
    <x:tableColumn id="15" name="Test Steps"/>
    <x:tableColumn id="16" name="Expected Result"/>
    <x:tableColumn id="17" name="Actual Result"/>
    <x:tableColumn id="18" name="Status"/>
    <x:tableColumn id="19" name="Environment"/>
    <x:tableColumn id="20" name="Browser/Device"/>
    <x:tableColumn id="21" name="Tester"/>
    <x:tableColumn id="22" name="Test Date"/>
    <x:tableColumn id="23" name="Evidence/Attachment"/>
    <x:tableColumn id="24" name="Bug ID"/>
    <x:tableColumn id="25" name="Notes"/>
  </x:tableColumns>
  <x:tableStyleInfo name="TableStyleMedium2" showFirstColumn="0" showLastColumn="0" showRowStripes="1" showColumnStripes="0"/>
</x:table>
</file>

<file path=xl/tables/table9.xml><?xml version="1.0" encoding="utf-8"?>
<x:table xmlns:x="http://schemas.openxmlformats.org/spreadsheetml/2006/main" id="6" name="Table6" displayName="Table6" ref="A1:Y25" headerRowCount="1" totalsRowCount="0" totalsRowShown="0">
  <x:autoFilter ref="A1:Y25"/>
  <x:tableColumns count="25">
    <x:tableColumn id="1" name="STT"/>
    <x:tableColumn id="2" name="Test Case ID"/>
    <x:tableColumn id="3" name="Module"/>
    <x:tableColumn id="4" name="Sub-module"/>
    <x:tableColumn id="5" name="Feature"/>
    <x:tableColumn id="6" name="Test Scenario"/>
    <x:tableColumn id="7" name="Test Case Title"/>
    <x:tableColumn id="8" name="Requirement/User Story ID"/>
    <x:tableColumn id="9" name="User Role"/>
    <x:tableColumn id="10" name="Test Type"/>
    <x:tableColumn id="11" name="Priority"/>
    <x:tableColumn id="12" name="Severity"/>
    <x:tableColumn id="13" name="Preconditions"/>
    <x:tableColumn id="14" name="Test Data"/>
    <x:tableColumn id="15" name="Test Steps"/>
    <x:tableColumn id="16" name="Expected Result"/>
    <x:tableColumn id="17" name="Actual Result"/>
    <x:tableColumn id="18" name="Status"/>
    <x:tableColumn id="19" name="Environment"/>
    <x:tableColumn id="20" name="Browser/Device"/>
    <x:tableColumn id="21" name="Tester"/>
    <x:tableColumn id="22" name="Test Date"/>
    <x:tableColumn id="23" name="Evidence/Attachment"/>
    <x:tableColumn id="24" name="Bug ID"/>
    <x:tableColumn id="25" name="Notes"/>
  </x:tableColumns>
  <x:tableStyleInfo name="TableStyleMedium2" showFirstColumn="0" showLastColumn="0" showRowStripes="1" showColumnStripes="0"/>
</x:table>
</file>

<file path=xl/tables/table10.xml><?xml version="1.0" encoding="utf-8"?>
<x:table xmlns:x="http://schemas.openxmlformats.org/spreadsheetml/2006/main" id="10" name="Table9" displayName="Table9" ref="A1:J34" headerRowCount="1" totalsRowCount="0" totalsRowShown="0">
  <x:autoFilter ref="A1:J34"/>
  <x:tableColumns count="10">
    <x:tableColumn id="1" name="STT"/>
    <x:tableColumn id="2" name="Test Case ID gốc"/>
    <x:tableColumn id="3" name="Module"/>
    <x:tableColumn id="4" name="Kiểm tra lại"/>
    <x:tableColumn id="5" name="Priority"/>
    <x:tableColumn id="6" name="Điều kiện chạy"/>
    <x:tableColumn id="7" name="Expected Result"/>
    <x:tableColumn id="8" name="Status"/>
    <x:tableColumn id="9" name="Evidence/Bug"/>
    <x:tableColumn id="10" name="Notes"/>
  </x:tableColumns>
  <x:tableStyleInfo name="TableStyleMedium2" showFirstColumn="0" showLastColumn="0" showRowStripes="1" showColumnStripes="0"/>
</x:table>
</file>

<file path=xl/tables/table11.xml><?xml version="1.0" encoding="utf-8"?>
<x:table xmlns:x="http://schemas.openxmlformats.org/spreadsheetml/2006/main" id="11" name="Table10" displayName="Table10" ref="A1:Q21" headerRowCount="1" totalsRowCount="0" totalsRowShown="0">
  <x:autoFilter ref="A1:Q21"/>
  <x:tableColumns count="17">
    <x:tableColumn id="1" name="Bug ID / Observation ID"/>
    <x:tableColumn id="2" name="Test Case ID"/>
    <x:tableColumn id="3" name="Title"/>
    <x:tableColumn id="4" name="Module"/>
    <x:tableColumn id="5" name="Severity"/>
    <x:tableColumn id="6" name="Priority"/>
    <x:tableColumn id="7" name="Status"/>
    <x:tableColumn id="8" name="Steps to Reproduce"/>
    <x:tableColumn id="9" name="Expected Result"/>
    <x:tableColumn id="10" name="Actual Result / Observation"/>
    <x:tableColumn id="11" name="Environment"/>
    <x:tableColumn id="12" name="Browser/Device"/>
    <x:tableColumn id="13" name="Reporter"/>
    <x:tableColumn id="14" name="Assignee"/>
    <x:tableColumn id="15" name="Reported Date"/>
    <x:tableColumn id="16" name="Evidence/Attachment"/>
    <x:tableColumn id="17" name="Notes"/>
  </x:tableColumns>
  <x:tableStyleInfo name="TableStyleMedium2" showFirstColumn="0" showLastColumn="0" showRowStripes="1" showColumnStripes="0"/>
</x:table>
</file>

<file path=xl/tables/table12.xml><?xml version="1.0" encoding="utf-8"?>
<x:table xmlns:x="http://schemas.openxmlformats.org/spreadsheetml/2006/main" id="12" name="Table11" displayName="Table11" ref="A1:G1123" headerRowCount="1" totalsRowCount="0" totalsRowShown="0">
  <x:autoFilter ref="A1:G1123"/>
  <x:tableColumns count="7">
    <x:tableColumn id="1" name="Requirement/User Story ID"/>
    <x:tableColumn id="2" name="Module"/>
    <x:tableColumn id="3" name="Requirement Description"/>
    <x:tableColumn id="4" name="Test Case ID"/>
    <x:tableColumn id="5" name="Test Scenario"/>
    <x:tableColumn id="6" name="Coverage Status"/>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c1ef4395db4390" /></Relationships>
</file>

<file path=xl/worksheets/_rels/sheet2.xml.rels>&#65279;<?xml version="1.0" encoding="utf-8"?><Relationships xmlns="http://schemas.openxmlformats.org/package/2006/relationships"><Relationship Type="http://schemas.openxmlformats.org/officeDocument/2006/relationships/drawing" Target="/xl/drawings/drawing1.xml" Id="R151f4e51b0394f33" /><Relationship Type="http://schemas.openxmlformats.org/officeDocument/2006/relationships/table" Target="/xl/tables/table2.xml" Id="R667e9f9004be4c69" /><Relationship Type="http://schemas.openxmlformats.org/officeDocument/2006/relationships/table" Target="/xl/tables/table3.xml" Id="R7a0605d7bd0c4906" /></Relationships>
</file>

<file path=xl/worksheets/_rels/sheet3.xml.rels>&#65279;<?xml version="1.0" encoding="utf-8"?><Relationships xmlns="http://schemas.openxmlformats.org/package/2006/relationships"><Relationship Type="http://schemas.openxmlformats.org/officeDocument/2006/relationships/table" Target="/xl/tables/table4.xml" Id="R85a9ee1b63d44516" /></Relationships>
</file>

<file path=xl/worksheets/_rels/sheet4.xml.rels>&#65279;<?xml version="1.0" encoding="utf-8"?><Relationships xmlns="http://schemas.openxmlformats.org/package/2006/relationships"><Relationship Type="http://schemas.openxmlformats.org/officeDocument/2006/relationships/table" Target="/xl/tables/table5.xml" Id="R6350d665e6204fdc" /></Relationships>
</file>

<file path=xl/worksheets/_rels/sheet5.xml.rels>&#65279;<?xml version="1.0" encoding="utf-8"?><Relationships xmlns="http://schemas.openxmlformats.org/package/2006/relationships"><Relationship Type="http://schemas.openxmlformats.org/officeDocument/2006/relationships/table" Target="/xl/tables/table6.xml" Id="Ra81fc3170a8a48f7" /></Relationships>
</file>

<file path=xl/worksheets/_rels/sheet6.xml.rels>&#65279;<?xml version="1.0" encoding="utf-8"?><Relationships xmlns="http://schemas.openxmlformats.org/package/2006/relationships"><Relationship Type="http://schemas.openxmlformats.org/officeDocument/2006/relationships/table" Target="/xl/tables/table7.xml" Id="R2adc2a950a2c4646" /></Relationships>
</file>

<file path=xl/worksheets/_rels/sheet7.xml.rels>&#65279;<?xml version="1.0" encoding="utf-8"?><Relationships xmlns="http://schemas.openxmlformats.org/package/2006/relationships"><Relationship Type="http://schemas.openxmlformats.org/officeDocument/2006/relationships/table" Target="/xl/tables/table8.xml" Id="R2d27a8abf8244b61" /></Relationships>
</file>

<file path=xl/worksheets/_rels/sheet8.xml.rels>&#65279;<?xml version="1.0" encoding="utf-8"?><Relationships xmlns="http://schemas.openxmlformats.org/package/2006/relationships"><Relationship Type="http://schemas.openxmlformats.org/officeDocument/2006/relationships/table" Target="/xl/tables/table9.xml" Id="Rd2ac90a565e34ae1" /></Relationships>
</file>

<file path=xl/worksheets/_rels/sheet9.xml.rels>&#65279;<?xml version="1.0" encoding="utf-8"?><Relationships xmlns="http://schemas.openxmlformats.org/package/2006/relationships"><Relationship Type="http://schemas.openxmlformats.org/officeDocument/2006/relationships/table" Target="/xl/tables/table10.xml" Id="R111913a9924248f0" /></Relationships>
</file>

<file path=xl/worksheets/_rels/sheet10.xml.rels>&#65279;<?xml version="1.0" encoding="utf-8"?><Relationships xmlns="http://schemas.openxmlformats.org/package/2006/relationships"><Relationship Type="http://schemas.openxmlformats.org/officeDocument/2006/relationships/table" Target="/xl/tables/table11.xml" Id="Rdae53f8687964a7a" /></Relationships>
</file>

<file path=xl/worksheets/_rels/sheet11.xml.rels>&#65279;<?xml version="1.0" encoding="utf-8"?><Relationships xmlns="http://schemas.openxmlformats.org/package/2006/relationships"><Relationship Type="http://schemas.openxmlformats.org/officeDocument/2006/relationships/table" Target="/xl/tables/table12.xml" Id="R56da6877f36a4fb4" /></Relationships>
</file>

<file path=xl/worksheets/sheet1.xml><?xml version="1.0" encoding="utf-8"?>
<x:worksheet xmlns:x="http://schemas.openxmlformats.org/spreadsheetml/2006/main">
  <x:sheetPr>
    <x:tabColor rgb="FF76869A"/>
  </x:sheetPr>
  <x:sheetViews>
    <x:sheetView showGridLines="0" workbookViewId="0">
      <x:pane ySplit="1" topLeftCell="A2" activePane="bottomLeft" state="frozen"/>
    </x:sheetView>
  </x:sheetViews>
  <x:sheetFormatPr defaultRowHeight="15"/>
  <x:cols>
    <x:col min="1" max="1" width="24" hidden="0" customWidth="1"/>
    <x:col min="2" max="2" width="45" hidden="0" customWidth="1"/>
    <x:col min="3" max="3" width="128" hidden="0" customWidth="1"/>
  </x:cols>
  <x:sheetData>
    <x:row r="1" ht="34" customHeight="1">
      <x:c r="A1" s="7" t="str">
        <x:v>Nhóm</x:v>
      </x:c>
      <x:c r="B1" s="7" t="str">
        <x:v>Hạng mục</x:v>
      </x:c>
      <x:c r="C1" s="7" t="str">
        <x:v>Nội dung</x:v>
      </x:c>
    </x:row>
    <x:row r="2" ht="36" customHeight="1">
      <x:c r="A2" s="3" t="str">
        <x:v>Tài liệu</x:v>
      </x:c>
      <x:c r="B2" s="3" t="str">
        <x:v>Full Test Cases VGG</x:v>
      </x:c>
      <x:c r="C2" s="3" t="str">
        <x:v>VGG Platform 1.0.2. Bộ thiết kế test phục vụ QA/UAT, phân tích snapshot mã nguồn ngày08/09/2026.</x:v>
      </x:c>
    </x:row>
    <x:row r="3" ht="36" customHeight="1">
      <x:c r="A3" s="3" t="str">
        <x:v>Trạng thái</x:v>
      </x:c>
      <x:c r="B3" s="3" t="str">
        <x:v>Chưa thực thi</x:v>
      </x:c>
      <x:c r="C3" s="3" t="str">
        <x:v>1122 test case duy nhất; 1057 NOT RUN và 65 NEED CONFIRMATION. Không có PASS/FAIL được suy ra từ việc đọc code.</x:v>
      </x:c>
    </x:row>
    <x:row r="4" ht="36" customHeight="1">
      <x:c r="A4" s="3" t="str">
        <x:v>Phạm vi</x:v>
      </x:c>
      <x:c r="B4" s="3" t="str">
        <x:v>Công nghệ</x:v>
      </x:c>
      <x:c r="C4" s="3" t="str">
        <x:v>npm workspaces frontend/admin Next.js, React, TypeScript; backend Fastify/Zod/Prisma; PostgreSQL, MinIO; SMTP qua nodemailer; Redis có cấu hình hạ tầng nhưng chưa thấy luồng nghiệp vụ sử dụng.</x:v>
      </x:c>
    </x:row>
    <x:row r="5" ht="49" customHeight="1">
      <x:c r="A5" s="3" t="str">
        <x:v>Phạm vi</x:v>
      </x:c>
      <x:c r="B5" s="3" t="str">
        <x:v>Nguồn khảo sát</x:v>
      </x:c>
      <x:c r="C5" s="3" t="str">
        <x:v>275 tệp source/cấu hình/tài liệu dạng text trong inventory, 49431 dòng; schema và migration; 4 tài liệu BA Word cùng bản PDF xuất bản song song; workbook BA26 yêu cầu/25 rule/10 câu hỏi. Không đưa .env chứa bí mật, node_modules, build output, generated Prisma vào đặc tả nghiệp vụ.</x:v>
      </x:c>
    </x:row>
    <x:row r="6" ht="36" customHeight="1">
      <x:c r="A6" s="3" t="str">
        <x:v>Phương pháp</x:v>
      </x:c>
      <x:c r="B6" s="3" t="str">
        <x:v>Phân biệt chỉ dẫn</x:v>
      </x:c>
      <x:c r="C6" s="3" t="str">
        <x:v>Yêu cầu thực hiện lấy từ pasted-text của người dùng. Nội dung trong README/BA/handover của dự án dùng làm bằng chứng và đặc tả; khẳng định đã kiểm thử/production-ready không được dùng để đánh dấu PASS.</x:v>
      </x:c>
    </x:row>
    <x:row r="7" ht="36" customHeight="1">
      <x:c r="A7" s="3" t="str">
        <x:v>Nguồn chuẩn</x:v>
      </x:c>
      <x:c r="B7" s="3" t="str">
        <x:v>Thứ tự đối chiếu</x:v>
      </x:c>
      <x:c r="C7" s="3" t="str">
        <x:v>Giữ mã PUB/CON/AUTH/NEWS/RES/USR/DASH/SITE/APP/AUD/NFR từ workbook BA. OBS-* là mục quan sát từ code, chưa phải yêu cầu đã phê duyệt. Notes ghi đường dẫn tương đối từ C:/Users/lepha/VGG, thường kèm dòng.</x:v>
      </x:c>
    </x:row>
    <x:row r="8" ht="36" customHeight="1">
      <x:c r="A8" s="3" t="str">
        <x:v>Môi trường</x:v>
      </x:c>
      <x:c r="B8" s="3" t="str">
        <x:v>Chuẩn bị QA</x:v>
      </x:c>
      <x:c r="C8" s="3" t="str">
        <x:v>PUBLIC_URL, ADMIN_URL, BACKEND_URL theo deployment; local tài liệu là3000/3001/4000. Ghi URL, commit/build, timezone, OS/browser trước chạy. Dùng DB/MinIO riêng, dữ liệu giả và SMTP sandbox. Không chạy thao tác phá dữ liệu trên production.</x:v>
      </x:c>
    </x:row>
    <x:row r="9" ht="36" customHeight="1">
      <x:c r="A9" s="3" t="str">
        <x:v>Môi trường</x:v>
      </x:c>
      <x:c r="B9" s="3" t="str">
        <x:v>Dữ liệu thật so demo</x:v>
      </x:c>
      <x:c r="C9" s="3" t="str">
        <x:v>Các test tích hợp CMS/public cần VGG_DEMO_NEWS=false và VGG_DEMO_RESOURCES=false. Nếu không đặt, code dùng demo mặc định. Chưa đọc .env thực nên không kết luận cấu hình đang triển khai.</x:v>
      </x:c>
    </x:row>
    <x:row r="10" ht="36" customHeight="1">
      <x:c r="A10" s="3" t="str">
        <x:v>Vai trò</x:v>
      </x:c>
      <x:c r="B10" s="3" t="str">
        <x:v>Fixture quyền</x:v>
      </x:c>
      <x:c r="C10" s="3" t="str">
        <x:v>Khách; SUPER_ADMIN; ADMIN_LEVEL_2; role QA tùy chỉnh để có/thiếu đúng1 permission. Đọc RolePermission thực trên môi trường. Bootstrap admin và backend khác nhau; website/application cần xác nhận seed.</x:v>
      </x:c>
    </x:row>
    <x:row r="11" ht="36" customHeight="1">
      <x:c r="A11" s="3" t="str">
        <x:v>Thực thi</x:v>
      </x:c>
      <x:c r="B11" s="3" t="str">
        <x:v>Cách cập nhật</x:v>
      </x:c>
      <x:c r="C11" s="3" t="str">
        <x:v>Chạy test theo Steps; điền Actual Result, Status, Environment, Browser/Device, Tester, Test Date, Evidence, Bug ID. PASS cần đạt toàn bộ Expected; FAIL có sai lệch; BLOCKED có cản trở thực thi; NEED CONFIRMATION thiếu quyết định.</x:v>
      </x:c>
    </x:row>
    <x:row r="12" ht="36" customHeight="1">
      <x:c r="A12" s="3" t="str">
        <x:v>Thực thi</x:v>
      </x:c>
      <x:c r="B12" s="3" t="str">
        <x:v>Priority và Severity</x:v>
      </x:c>
      <x:c r="C12" s="3" t="str">
        <x:v>Priority: Critical chặn nghiệm thu/bảo mật trọng yếu; High luồng chính/dữ liệu; Medium trường hợp hỗ trợ; Low mỹ thuật nhỏ. Severity là tác động dự kiến nếu test thất bại, không phải bug đã xác nhận.</x:v>
      </x:c>
    </x:row>
    <x:row r="13" ht="36" customHeight="1">
      <x:c r="A13" s="3" t="str">
        <x:v>Thực thi</x:v>
      </x:c>
      <x:c r="B13" s="3" t="str">
        <x:v>Phạm vi số đếm</x:v>
      </x:c>
      <x:c r="C13" s="3" t="str">
        <x:v>Summary chỉ đếm6 sheet test. Regression Checklist tham chiếu case gốc để tránh đếm trùng; Bug Report và Traceability không phải test bổ sung. Cùng module có số ID liên tục xuyên các sheet.</x:v>
      </x:c>
    </x:row>
    <x:row r="14" ht="36" customHeight="1">
      <x:c r="A14" s="3" t="str">
        <x:v>Công thức</x:v>
      </x:c>
      <x:c r="B14" s="3" t="str">
        <x:v>Pass/Fail rate</x:v>
      </x:c>
      <x:c r="C14" s="3" t="str">
        <x:v>Pass rate=PASS/(PASS+FAIL), Fail rate=FAIL/(PASS+FAIL); để trống khi chưa có PASS/FAIL. Execution rate=(PASS+FAIL)/tổng case. BLOCKED/NOT RUN/NEED CONFIRMATION không nằm mẫu số pass/fail.</x:v>
      </x:c>
    </x:row>
    <x:row r="15" ht="36" customHeight="1">
      <x:c r="A15" s="3" t="str">
        <x:v>Công thức</x:v>
      </x:c>
      <x:c r="B15" s="3" t="str">
        <x:v>Thêm test case</x:v>
      </x:c>
      <x:c r="C15" s="3" t="str">
        <x:v>Công thức dùng range hữu hạn của bản bàn giao. Khi thêm case ngoài các bảng hiện tại, mở rộng bảng và range trong Test Summary, thêm traceability và giữ ID duy nhất. Thay status trong các dòng hiện có cập nhật tự động.</x:v>
      </x:c>
    </x:row>
    <x:row r="16" ht="36" customHeight="1">
      <x:c r="A16" s="3" t="str">
        <x:v>Giới hạn</x:v>
      </x:c>
      <x:c r="B16" s="3" t="str">
        <x:v>Quy tắc validation</x:v>
      </x:c>
      <x:c r="C16" s="3" t="str">
        <x:v>Expected negative CMS quy định lỗi400, trong khi Zod.parse không được map riêng nên có nguy cơ500; ghi bug nếu tái hiện. Biên optional min0 không có Min−1 độ dài âm. JS length là UTF-16; tách Unicode khỏi fixture ASCII boundary.</x:v>
      </x:c>
    </x:row>
    <x:row r="17" ht="49" customHeight="1">
      <x:c r="A17" s="3" t="str">
        <x:v>Giới hạn</x:v>
      </x:c>
      <x:c r="B17" s="3" t="str">
        <x:v>Phạm vi không có triển khai</x:v>
      </x:c>
      <x:c r="C17" s="3" t="str">
        <x:v>Không tự tạo case thanh toán, LMS, tuyển sinh đầu-cuối, workflow duyệt4 mắt, API phân công/note/export/restore khi chưa tìm thấy. Những mục được BA nhắc đến được ghi Partial/Need Confirmation và có câu hỏi. Crop/focal-point chưa thấy công cụ biên tập; kiểm tra object-fit/cắt ảnh bằng layout.</x:v>
      </x:c>
    </x:row>
    <x:row r="18" ht="36" customHeight="1">
      <x:c r="A18" s="3" t="str">
        <x:v>Nghiệm thu</x:v>
      </x:c>
      <x:c r="B18" s="3" t="str">
        <x:v>Điểm còn cần chốt</x:v>
      </x:c>
      <x:c r="C18" s="3" t="str">
        <x:v>65 test hiện cần xác nhận, không đồng nghĩa65 câu hỏi độc lập. 10 OQ gốc và các khác biệt code/đặc tả nằm trong Notes; ưu tiên chốt demo/locale, RBAC, lịch xuất bản, audit, consent, upload, ứng tuyển, SMTP và SLO.</x:v>
      </x:c>
    </x:row>
    <x:row r="19" ht="36" customHeight="1">
      <x:c r="A19" s="3" t="str">
        <x:v>Xác minh file</x:v>
      </x:c>
      <x:c r="B19" s="3" t="str">
        <x:v>Kiểm tra kỹ thuật</x:v>
      </x:c>
      <x:c r="C19" s="3" t="str">
        <x:v>Kiểm tra ID/traceability/6 bảng đếm, công thức với thay đổi status mẫu rồi phục hồi; kiểm tra XLSX XML dropdown/filter/freeze/conditional format; render từng sheet. Chưa xác nhận bằng Microsoft Excel desktop.</x:v>
      </x:c>
    </x:row>
    <x:row r="20" ht="49" customHeight="1">
      <x:c r="A20" s="3" t="str">
        <x:v>Fixture</x:v>
      </x:c>
      <x:c r="B20" s="3" t="str">
        <x:v>LOGIN</x:v>
      </x:c>
      <x:c r="C20" s="3" t="str">
        <x:v>{"username":"qa_super","password":"QaFixture!2026","remember":false}. Mật khẩu này chỉ là mẫu đề xuất cho tài khoản QA mới, không phải mật khẩu của dự án. Với boundary password hợp lệ phải seed hash cùng chuỗi để test login200; nếu không seed thì expect401, không lỗi độ dài.</x:v>
      </x:c>
    </x:row>
    <x:row r="21" ht="49" customHeight="1">
      <x:c r="A21" s="3" t="str">
        <x:v>Fixture</x:v>
      </x:c>
      <x:c r="B21" s="3" t="str">
        <x:v>USER</x:v>
      </x:c>
      <x:c r="C21" s="3" t="str">
        <x:v>{"fullName":"Nguyễn QA","username":"qa_user_001","email":"qa.user001@example.test","phone":"0900000001","roleCode":"ADMIN_LEVEL_2","password":"QaFixture!2026","confirmPassword":"QaFixture!2026","status":"ACTIVE","mustChangePassword":true}. Tăng suffix mỗi case tạo mới.</x:v>
      </x:c>
    </x:row>
    <x:row r="22" ht="36" customHeight="1">
      <x:c r="A22" s="3" t="str">
        <x:v>Fixture</x:v>
      </x:c>
      <x:c r="B22" s="3" t="str">
        <x:v>CHANGE</x:v>
      </x:c>
      <x:c r="C22" s="3" t="str">
        <x:v>{"currentPassword":"QaFixture!2026","newPassword":"QaChanged!2026","confirmPassword":"QaChanged!2026"}. Body admin-reset dùng password/confirmPassword. Reset qua email thêm token còn hạn lấy từ hộp thư QA.</x:v>
      </x:c>
    </x:row>
    <x:row r="23" ht="49" customHeight="1">
      <x:c r="A23" s="3" t="str">
        <x:v>Fixture</x:v>
      </x:c>
      <x:c r="B23" s="3" t="str">
        <x:v>CONSULT</x:v>
      </x:c>
      <x:c r="C23" s="3" t="str">
        <x:v>{"name":"Nguyễn QA","phone":"0900000001","email":"qa+case@example.test","programme":"Quản trị kinh doanh","consent":"yes","website":""}. Chọn programme thực có trong dropdown; dùng email suffix khác nhau để đối chiếu. Field optional bỏ hẳn, không gửi ngày rỗng.</x:v>
      </x:c>
    </x:row>
    <x:row r="24" ht="49" customHeight="1">
      <x:c r="A24" s="3" t="str">
        <x:v>Fixture</x:v>
      </x:c>
      <x:c r="B24" s="3" t="str">
        <x:v>NEWS</x:v>
      </x:c>
      <x:c r="C24" s="3" t="str">
        <x:v>{"slug":"qa-news","locale":"vi","category":"ADMISSIONS","title":"Tin kiểm thử QA","authorName":"Biên tập QA","excerpt":"Tóm tắt bản tin kiểm thử QA","content":"&lt;p&gt;Nội dung kiểm thử bài viết đủ hai mươi ký tự.&lt;/p&gt;","status":"DRAFT"}. Khi tạo nhiều bài tăng slug. publishedAt dùng ISO8601, coverImage dùng URL đã upload.</x:v>
      </x:c>
    </x:row>
    <x:row r="25" ht="49" customHeight="1">
      <x:c r="A25" s="3" t="str">
        <x:v>Fixture</x:v>
      </x:c>
      <x:c r="B25" s="3" t="str">
        <x:v>RESOURCE</x:v>
      </x:c>
      <x:c r="C25" s="3" t="str">
        <x:v>Upload PDF thật lên kho QA trước. Body: {"locale":"vi","title":"Tài liệu QA","description":"Tài liệu mẫu","categoryId":"CATEGORY_ID","resourceType":"PDF_DOCUMENT","fileUrl":"URL_FROM_UPLOAD","fileName":"FILE_NAME","fileType":"application/pdf","fileSize":SIZE_FROM_UPLOAD,"status":"PUBLISHED"}. Thay mọi placeholder bằng dữ liệu vừa upload.</x:v>
      </x:c>
    </x:row>
    <x:row r="26" ht="36" customHeight="1">
      <x:c r="A26" s="3" t="str">
        <x:v>Fixture</x:v>
      </x:c>
      <x:c r="B26" s="3" t="str">
        <x:v>RESOURCE_BROCHURE</x:v>
      </x:c>
      <x:c r="C26" s="3" t="str">
        <x:v>Dùng RESOURCE và đổi resourceType=BROCHURE. Văn bản chỉ đạo/triển khai thêm documentNumber=QA-01, issueDate=2026-09-01, issuingOrganization=QA; triển khai thêm documentType=NOTICE.</x:v>
      </x:c>
    </x:row>
    <x:row r="27" ht="49" customHeight="1">
      <x:c r="A27" s="3" t="str">
        <x:v>Fixture</x:v>
      </x:c>
      <x:c r="B27" s="3" t="str">
        <x:v>CATEGORY / SITE / VISIT</x:v>
      </x:c>
      <x:c r="C27" s="3" t="str">
        <x:v>CATEGORY={"name":"Danh mục QA"}. SITE={"key":"qa-home-vi","locale":"vi","section":"home","page":"home","title":"QA","value":{"text":"Nội dung QA","count":1},"published":false}. VISIT={"path":"/vi/admissions","locale":"vi","visitorId":"qa-visitor-001"}.</x:v>
      </x:c>
    </x:row>
    <x:row r="28" ht="49" customHeight="1">
      <x:c r="A28" s="3" t="str">
        <x:v>Fixture</x:v>
      </x:c>
      <x:c r="B28" s="3" t="str">
        <x:v>ID và query</x:v>
      </x:c>
      <x:c r="C28" s="3" t="str">
        <x:v>NEWS_ID, RESOURCE_ID, CATEGORY_ID, USER_ID, LEAD_ID lấy từ DB/response đã tạo trên QA; không dùng literal placeholder. Mutation status={"status":"ACTIVE"} cho user hoặc CONTACTING cho lead. Role={"roleCode":"ADMIN_LEVEL_2"}. GET không body. File GET dùng url=/api/media/OBJECT_KEY và name=qa.pdf.</x:v>
      </x:c>
    </x:row>
    <x:row r="29" ht="49" customHeight="1">
      <x:c r="A29" s="3" t="str">
        <x:v>Fixture</x:v>
      </x:c>
      <x:c r="B29" s="3" t="str">
        <x:v>Tệp và boundary</x:v>
      </x:c>
      <x:c r="C29" s="3" t="str">
        <x:v>Chuẩn bị file thật JPG/PNG/WebP/AVIF, PDF/DOC/DOCX/XLS/XLSX; có chữ/ảnh/bảng để so. Đếm dung lượng theo bytes, 1 MiB=1.048.576 bytes. Biên0/1/2 là file lỗi; min định dạng thực không được giả định1 byte. Boundary email giữ local part≤64 và domain label≤63.</x:v>
      </x:c>
    </x:row>
    <x:row r="30" ht="36" customHeight="1">
      <x:c r="A30" s="3" t="str">
        <x:v>Câu hỏi mở</x:v>
      </x:c>
      <x:c r="B30" s="3" t="str">
        <x:v>OQ-001 — Phạm vi</x:v>
      </x:c>
      <x:c r="C30" s="3" t="str">
        <x:v>Ai là Business Owner và ai có quyền phê duyệt BRD/SRS/UAT? Owner/tiêu chí nghiệm thu: cần xác nhận.</x:v>
      </x:c>
    </x:row>
    <x:row r="31" ht="36" customHeight="1">
      <x:c r="A31" s="3" t="str">
        <x:v>Câu hỏi mở</x:v>
      </x:c>
      <x:c r="B31" s="3" t="str">
        <x:v>OQ-002 — Nội dung</x:v>
      </x:c>
      <x:c r="C31" s="3" t="str">
        <x:v>Có quy trình duyệt 4 mắt trước khi xuất bản tin/tài nguyên không? Owner/tiêu chí nghiệm thu: cần xác nhận.</x:v>
      </x:c>
    </x:row>
    <x:row r="32" ht="36" customHeight="1">
      <x:c r="A32" s="3" t="str">
        <x:v>Câu hỏi mở</x:v>
      </x:c>
      <x:c r="B32" s="3" t="str">
        <x:v>OQ-003 — Tư vấn</x:v>
      </x:c>
      <x:c r="C32" s="3" t="str">
        <x:v>Ma trận chuyển trạng thái, SLA liên hệ và quy tắc phân công là gì? Owner/tiêu chí nghiệm thu: cần xác nhận.</x:v>
      </x:c>
    </x:row>
    <x:row r="33" ht="36" customHeight="1">
      <x:c r="A33" s="3" t="str">
        <x:v>Câu hỏi mở</x:v>
      </x:c>
      <x:c r="B33" s="3" t="str">
        <x:v>OQ-004 — Dữ liệu cá nhân</x:v>
      </x:c>
      <x:c r="C33" s="3" t="str">
        <x:v>Cơ sở pháp lý, nội dung consent, retention và quyền xóa/xuất dữ liệu là gì? Owner/tiêu chí nghiệm thu: cần xác nhận.</x:v>
      </x:c>
    </x:row>
    <x:row r="34" ht="36" customHeight="1">
      <x:c r="A34" s="3" t="str">
        <x:v>Câu hỏi mở</x:v>
      </x:c>
      <x:c r="B34" s="3" t="str">
        <x:v>OQ-005 — Tệp</x:v>
      </x:c>
      <x:c r="C34" s="3" t="str">
        <x:v>Chọn ngưỡng upload tài nguyên 25 MB hay 50 MB; có quét malware không? Owner/tiêu chí nghiệm thu: cần xác nhận.</x:v>
      </x:c>
    </x:row>
    <x:row r="35" ht="36" customHeight="1">
      <x:c r="A35" s="3" t="str">
        <x:v>Câu hỏi mở</x:v>
      </x:c>
      <x:c r="B35" s="3" t="str">
        <x:v>OQ-006 — Xóa</x:v>
      </x:c>
      <x:c r="C35" s="3" t="str">
        <x:v>Xóa tài nguyên là soft delete hay hard delete; có xóa object MinIO không? Owner/tiêu chí nghiệm thu: cần xác nhận.</x:v>
      </x:c>
    </x:row>
    <x:row r="36" ht="36" customHeight="1">
      <x:c r="A36" s="3" t="str">
        <x:v>Câu hỏi mở</x:v>
      </x:c>
      <x:c r="B36" s="3" t="str">
        <x:v>OQ-007 — Hồ sơ</x:v>
      </x:c>
      <x:c r="C36" s="3" t="str">
        <x:v>Nguồn tạo Application và quy trình xử lý/nghiệm thu module này? Owner/tiêu chí nghiệm thu: cần xác nhận.</x:v>
      </x:c>
    </x:row>
    <x:row r="37" ht="36" customHeight="1">
      <x:c r="A37" s="3" t="str">
        <x:v>Câu hỏi mở</x:v>
      </x:c>
      <x:c r="B37" s="3" t="str">
        <x:v>OQ-008 — Vận hành</x:v>
      </x:c>
      <x:c r="C37" s="3" t="str">
        <x:v>RPO, RTO, uptime, tải đồng thời, retention log và người trực vận hành? Owner/tiêu chí nghiệm thu: cần xác nhận.</x:v>
      </x:c>
    </x:row>
    <x:row r="38" ht="36" customHeight="1">
      <x:c r="A38" s="3" t="str">
        <x:v>Câu hỏi mở</x:v>
      </x:c>
      <x:c r="B38" s="3" t="str">
        <x:v>OQ-009 — Tích hợp</x:v>
      </x:c>
      <x:c r="C38" s="3" t="str">
        <x:v>SMTP, CRM webhook, Redis, CDN/domain production nào bắt buộc? Owner/tiêu chí nghiệm thu: cần xác nhận.</x:v>
      </x:c>
    </x:row>
    <x:row r="39" ht="36" customHeight="1">
      <x:c r="A39" s="3" t="str">
        <x:v>Câu hỏi mở</x:v>
      </x:c>
      <x:c r="B39" s="3" t="str">
        <x:v>OQ-010 — Nghiệm thu</x:v>
      </x:c>
      <x:c r="C39" s="3" t="str">
        <x:v>Môi trường UAT, bộ dữ liệu mẫu, thiết bị/trình duyệt và người ký nghiệm thu? Owner/tiêu chí nghiệm thu: cần xác nhận.</x:v>
      </x:c>
    </x:row>
    <x:row r="40" ht="36" customHeight="1">
      <x:c r="A40" s="3" t="str">
        <x:v>Inventory</x:v>
      </x:c>
      <x:c r="B40" s="3" t="str">
        <x:v>Cách đọc danh mục</x:v>
      </x:c>
      <x:c r="C40" s="3" t="str">
        <x:v>Các dòng sau ghi tệp được thu thập trong khảo sát text. Số dòng là kích thước snapshot, không phải số test hoặc bằng chứng thực thi.</x:v>
      </x:c>
    </x:row>
    <x:row r="41" ht="36" customHeight="1">
      <x:c r="A41" s="3" t="str">
        <x:v>Nguồn dự án</x:v>
      </x:c>
      <x:c r="B41" s="3" t="str">
        <x:v>ARCHITECTURE_MAP.md</x:v>
      </x:c>
      <x:c r="C41" s="3" t="str">
        <x:v>181 dòng. SHA256 snapshot: bba26b3ce29a42a5b7aeaaf529e41dae9b9a0ba4ddda98a41fb882201fe3f18e</x:v>
      </x:c>
    </x:row>
    <x:row r="42" ht="36" customHeight="1">
      <x:c r="A42" s="3" t="str">
        <x:v>Nguồn dự án</x:v>
      </x:c>
      <x:c r="B42" s="3" t="str">
        <x:v>compose.yaml</x:v>
      </x:c>
      <x:c r="C42" s="3" t="str">
        <x:v>63 dòng. SHA256 snapshot: 1ba1a33d3dfc61f54ac745a647bddd019cc4e0e28924446af2d8a7685cfa893f</x:v>
      </x:c>
    </x:row>
    <x:row r="43" ht="36" customHeight="1">
      <x:c r="A43" s="3" t="str">
        <x:v>Nguồn dự án</x:v>
      </x:c>
      <x:c r="B43" s="3" t="str">
        <x:v>ecosystem.config.cjs</x:v>
      </x:c>
      <x:c r="C43" s="3" t="str">
        <x:v>43 dòng. SHA256 snapshot: 113df51bdbc680ecfa78520f17618e50a649f700ec2f8095862191456a03f608</x:v>
      </x:c>
    </x:row>
    <x:row r="44" ht="36" customHeight="1">
      <x:c r="A44" s="3" t="str">
        <x:v>Nguồn dự án</x:v>
      </x:c>
      <x:c r="B44" s="3" t="str">
        <x:v>package.json</x:v>
      </x:c>
      <x:c r="C44" s="3" t="str">
        <x:v>35 dòng. SHA256 snapshot: 4aefc2f0303a03ea12fbbfc6f4adb8a411a82559cd897e567b2f88ab1955e479</x:v>
      </x:c>
    </x:row>
    <x:row r="45" ht="36" customHeight="1">
      <x:c r="A45" s="3" t="str">
        <x:v>Nguồn dự án</x:v>
      </x:c>
      <x:c r="B45" s="3" t="str">
        <x:v>PROJECT_CONTEXT.md</x:v>
      </x:c>
      <x:c r="C45" s="3" t="str">
        <x:v>380 dòng. SHA256 snapshot: 40f1f2e089c1cb93eb19494bb3de0a9138a9cc065f9991537c089c5902678d2d</x:v>
      </x:c>
    </x:row>
    <x:row r="46" ht="36" customHeight="1">
      <x:c r="A46" s="3" t="str">
        <x:v>Nguồn dự án</x:v>
      </x:c>
      <x:c r="B46" s="3" t="str">
        <x:v>README.md</x:v>
      </x:c>
      <x:c r="C46" s="3" t="str">
        <x:v>91 dòng. SHA256 snapshot: 0ad5f7e563e79f0f9bc7afc01651e1dab23f30de7b32e0eace2490710797b5e9</x:v>
      </x:c>
    </x:row>
    <x:row r="47" ht="36" customHeight="1">
      <x:c r="A47" s="3" t="str">
        <x:v>Nguồn dự án</x:v>
      </x:c>
      <x:c r="B47" s="3" t="str">
        <x:v>RELEASE_MANIFEST.md</x:v>
      </x:c>
      <x:c r="C47" s="3" t="str">
        <x:v>75 dòng. SHA256 snapshot: 26bde2944b3f0f1ded1d187730de687ecbc06e2ebb4b0d23481b078e396d37d8</x:v>
      </x:c>
    </x:row>
    <x:row r="48" ht="36" customHeight="1">
      <x:c r="A48" s="3" t="str">
        <x:v>Nguồn dự án</x:v>
      </x:c>
      <x:c r="B48" s="3" t="str">
        <x:v>admin/AGENTS.md</x:v>
      </x:c>
      <x:c r="C48" s="3" t="str">
        <x:v>9 dòng. SHA256 snapshot: 63f2c50380ed6303237cce215ce27af1d620d094c215e28d1b1538a3c070e3bb</x:v>
      </x:c>
    </x:row>
    <x:row r="49" ht="36" customHeight="1">
      <x:c r="A49" s="3" t="str">
        <x:v>Nguồn dự án</x:v>
      </x:c>
      <x:c r="B49" s="3" t="str">
        <x:v>admin/CLAUDE.md</x:v>
      </x:c>
      <x:c r="C49" s="3" t="str">
        <x:v>1 dòng. SHA256 snapshot: 336cc4fbf19beaada7ccf9986414fa91851a8d7a07dfb3ccbe800a69eed0ab49</x:v>
      </x:c>
    </x:row>
    <x:row r="50" ht="36" customHeight="1">
      <x:c r="A50" s="3" t="str">
        <x:v>Nguồn dự án</x:v>
      </x:c>
      <x:c r="B50" s="3" t="str">
        <x:v>admin/eslint.config.mjs</x:v>
      </x:c>
      <x:c r="C50" s="3" t="str">
        <x:v>4 dòng. SHA256 snapshot: 7f752c09b26e59c3d067c814903bb1cab2380f724ed60af739ff865c9da5a1bc</x:v>
      </x:c>
    </x:row>
    <x:row r="51" ht="36" customHeight="1">
      <x:c r="A51" s="3" t="str">
        <x:v>Nguồn dự án</x:v>
      </x:c>
      <x:c r="B51" s="3" t="str">
        <x:v>admin/next-env.d.ts</x:v>
      </x:c>
      <x:c r="C51" s="3" t="str">
        <x:v>7 dòng. SHA256 snapshot: 0f70629890b72a0a82e91972cc032c04b658b26c265373cb711cf576bfbf8fcc</x:v>
      </x:c>
    </x:row>
    <x:row r="52" ht="36" customHeight="1">
      <x:c r="A52" s="3" t="str">
        <x:v>Nguồn dự án</x:v>
      </x:c>
      <x:c r="B52" s="3" t="str">
        <x:v>admin/package.json</x:v>
      </x:c>
      <x:c r="C52" s="3" t="str">
        <x:v>43 dòng. SHA256 snapshot: 7d8de76a55fab1f40d397c6235a0277aa6a7d798f69754ae01dd2f9b693cb0ed</x:v>
      </x:c>
    </x:row>
    <x:row r="53" ht="36" customHeight="1">
      <x:c r="A53" s="3" t="str">
        <x:v>Nguồn dự án</x:v>
      </x:c>
      <x:c r="B53" s="3" t="str">
        <x:v>admin/prisma.config.ts</x:v>
      </x:c>
      <x:c r="C53" s="3" t="str">
        <x:v>11 dòng. SHA256 snapshot: f0642f66ef6716a87696abb31b64ccf1a04289465e9f781faa3b292f8b9e147e</x:v>
      </x:c>
    </x:row>
    <x:row r="54" ht="36" customHeight="1">
      <x:c r="A54" s="3" t="str">
        <x:v>Nguồn dự án</x:v>
      </x:c>
      <x:c r="B54" s="3" t="str">
        <x:v>admin/README.md</x:v>
      </x:c>
      <x:c r="C54" s="3" t="str">
        <x:v>29 dòng. SHA256 snapshot: d9b474b70e3ba28d09cb789315dd40215047fa6f8a7a356602dc1e3ec668188d</x:v>
      </x:c>
    </x:row>
    <x:row r="55" ht="36" customHeight="1">
      <x:c r="A55" s="3" t="str">
        <x:v>Nguồn dự án</x:v>
      </x:c>
      <x:c r="B55" s="3" t="str">
        <x:v>admin/tsconfig.json</x:v>
      </x:c>
      <x:c r="C55" s="3" t="str">
        <x:v>40 dòng. SHA256 snapshot: 6139cb5725cf082542bc89edde4791458c567076fd415c5dff6da24ebd1e9459</x:v>
      </x:c>
    </x:row>
    <x:row r="56" ht="36" customHeight="1">
      <x:c r="A56" s="3" t="str">
        <x:v>Nguồn dự án</x:v>
      </x:c>
      <x:c r="B56" s="3" t="str">
        <x:v>backend/package.json</x:v>
      </x:c>
      <x:c r="C56" s="3" t="str">
        <x:v>43 dòng. SHA256 snapshot: 43f46cd5bff3ba315786fc2f8acf9dd904a201ed1ccef65d82e0cb6d93485e3f</x:v>
      </x:c>
    </x:row>
    <x:row r="57" ht="36" customHeight="1">
      <x:c r="A57" s="3" t="str">
        <x:v>Nguồn dự án</x:v>
      </x:c>
      <x:c r="B57" s="3" t="str">
        <x:v>backend/prisma.config.ts</x:v>
      </x:c>
      <x:c r="C57" s="3" t="str">
        <x:v>8 dòng. SHA256 snapshot: f9755f1a48a8ad0c17284ccc9e45199e9379789ba53d231e3d5619372d7c5ab3</x:v>
      </x:c>
    </x:row>
    <x:row r="58" ht="36" customHeight="1">
      <x:c r="A58" s="3" t="str">
        <x:v>Nguồn dự án</x:v>
      </x:c>
      <x:c r="B58" s="3" t="str">
        <x:v>backend/tsconfig.json</x:v>
      </x:c>
      <x:c r="C58" s="3" t="str">
        <x:v>16 dòng. SHA256 snapshot: 9eab4ff1d090c363af05e04d6c9a85fb219d1b304d70c901e66f025e16c775a6</x:v>
      </x:c>
    </x:row>
    <x:row r="59" ht="36" customHeight="1">
      <x:c r="A59" s="3" t="str">
        <x:v>Nguồn dự án</x:v>
      </x:c>
      <x:c r="B59" s="3" t="str">
        <x:v>docs/architecture.md</x:v>
      </x:c>
      <x:c r="C59" s="3" t="str">
        <x:v>23 dòng. SHA256 snapshot: 6a2ccb694bdfd38d1c216c25dc1c4619f6c5070efd5dcf759dad3ca9a5c01ef5</x:v>
      </x:c>
    </x:row>
    <x:row r="60" ht="36" customHeight="1">
      <x:c r="A60" s="3" t="str">
        <x:v>Nguồn dự án</x:v>
      </x:c>
      <x:c r="B60" s="3" t="str">
        <x:v>docs/design-system.md</x:v>
      </x:c>
      <x:c r="C60" s="3" t="str">
        <x:v>41 dòng. SHA256 snapshot: ebc888949507674d0345f0a8f4e522f6b5c4939e7c116ef8397aa7cd41c3ebbc</x:v>
      </x:c>
    </x:row>
    <x:row r="61" ht="36" customHeight="1">
      <x:c r="A61" s="3" t="str">
        <x:v>Nguồn dự án</x:v>
      </x:c>
      <x:c r="B61" s="3" t="str">
        <x:v>docs/legacy-architecture.md</x:v>
      </x:c>
      <x:c r="C61" s="3" t="str">
        <x:v>150 dòng. SHA256 snapshot: 1e911d9d9552770b39ee93a1ed58c6cf2668ed17502f5248e5b799b710dc4640</x:v>
      </x:c>
    </x:row>
    <x:row r="62" ht="36" customHeight="1">
      <x:c r="A62" s="3" t="str">
        <x:v>Nguồn dự án</x:v>
      </x:c>
      <x:c r="B62" s="3" t="str">
        <x:v>docs/page-map.md</x:v>
      </x:c>
      <x:c r="C62" s="3" t="str">
        <x:v>34 dòng. SHA256 snapshot: f5f50a2a11f22533b997d71ad920278c48c7d5015ad6f304bf96a8863450f6c8</x:v>
      </x:c>
    </x:row>
    <x:row r="63" ht="36" customHeight="1">
      <x:c r="A63" s="3" t="str">
        <x:v>Nguồn dự án</x:v>
      </x:c>
      <x:c r="B63" s="3" t="str">
        <x:v>docs/README.md</x:v>
      </x:c>
      <x:c r="C63" s="3" t="str">
        <x:v>11 dòng. SHA256 snapshot: 773b39c6ff308c02c6e53be92129b330ca08146c3159ec97d7c21d15d7eef305</x:v>
      </x:c>
    </x:row>
    <x:row r="64" ht="36" customHeight="1">
      <x:c r="A64" s="3" t="str">
        <x:v>Nguồn dự án</x:v>
      </x:c>
      <x:c r="B64" s="3" t="str">
        <x:v>docs/UI_DESIGN_SYSTEM.md</x:v>
      </x:c>
      <x:c r="C64" s="3" t="str">
        <x:v>161 dòng. SHA256 snapshot: 360cde95e26e8abbd8c13513ad1189af701c95bf7dd33c472f606e0a7c9733d0</x:v>
      </x:c>
    </x:row>
    <x:row r="65" ht="36" customHeight="1">
      <x:c r="A65" s="3" t="str">
        <x:v>Nguồn dự án</x:v>
      </x:c>
      <x:c r="B65" s="3" t="str">
        <x:v>frontend/.prettierrc.json</x:v>
      </x:c>
      <x:c r="C65" s="3" t="str">
        <x:v>7 dòng. SHA256 snapshot: cf8090e4b8b51266a1eab22cfe147c2fcd3600287b9a2cbeed829027bfe21059</x:v>
      </x:c>
    </x:row>
    <x:row r="66" ht="36" customHeight="1">
      <x:c r="A66" s="3" t="str">
        <x:v>Nguồn dự án</x:v>
      </x:c>
      <x:c r="B66" s="3" t="str">
        <x:v>frontend/AGENTS.md</x:v>
      </x:c>
      <x:c r="C66" s="3" t="str">
        <x:v>9 dòng. SHA256 snapshot: 63f2c50380ed6303237cce215ce27af1d620d094c215e28d1b1538a3c070e3bb</x:v>
      </x:c>
    </x:row>
    <x:row r="67" ht="36" customHeight="1">
      <x:c r="A67" s="3" t="str">
        <x:v>Nguồn dự án</x:v>
      </x:c>
      <x:c r="B67" s="3" t="str">
        <x:v>frontend/CLAUDE.md</x:v>
      </x:c>
      <x:c r="C67" s="3" t="str">
        <x:v>1 dòng. SHA256 snapshot: 336cc4fbf19beaada7ccf9986414fa91851a8d7a07dfb3ccbe800a69eed0ab49</x:v>
      </x:c>
    </x:row>
    <x:row r="68" ht="36" customHeight="1">
      <x:c r="A68" s="3" t="str">
        <x:v>Nguồn dự án</x:v>
      </x:c>
      <x:c r="B68" s="3" t="str">
        <x:v>frontend/eslint.config.mjs</x:v>
      </x:c>
      <x:c r="C68" s="3" t="str">
        <x:v>10 dòng. SHA256 snapshot: 5511bae5c320d475249cafb4e6a39ca13e8b7a743fb8f161af43a83a04d1109c</x:v>
      </x:c>
    </x:row>
    <x:row r="69" ht="36" customHeight="1">
      <x:c r="A69" s="3" t="str">
        <x:v>Nguồn dự án</x:v>
      </x:c>
      <x:c r="B69" s="3" t="str">
        <x:v>frontend/next-env.d.ts</x:v>
      </x:c>
      <x:c r="C69" s="3" t="str">
        <x:v>7 dòng. SHA256 snapshot: 0f70629890b72a0a82e91972cc032c04b658b26c265373cb711cf576bfbf8fcc</x:v>
      </x:c>
    </x:row>
    <x:row r="70" ht="36" customHeight="1">
      <x:c r="A70" s="3" t="str">
        <x:v>Nguồn dự án</x:v>
      </x:c>
      <x:c r="B70" s="3" t="str">
        <x:v>frontend/next.config.ts</x:v>
      </x:c>
      <x:c r="C70" s="3" t="str">
        <x:v>39 dòng. SHA256 snapshot: 1264eb411ecb67c1b95b9797829737ec0ecd9ff9ff4354c7885848b6ea990acd</x:v>
      </x:c>
    </x:row>
    <x:row r="71" ht="36" customHeight="1">
      <x:c r="A71" s="3" t="str">
        <x:v>Nguồn dự án</x:v>
      </x:c>
      <x:c r="B71" s="3" t="str">
        <x:v>frontend/package.json</x:v>
      </x:c>
      <x:c r="C71" s="3" t="str">
        <x:v>34 dòng. SHA256 snapshot: 0abb424e06c3d7c5e694135f15504ffad11b1dc79efa46a8b3616450c255e9ed</x:v>
      </x:c>
    </x:row>
    <x:row r="72" ht="36" customHeight="1">
      <x:c r="A72" s="3" t="str">
        <x:v>Nguồn dự án</x:v>
      </x:c>
      <x:c r="B72" s="3" t="str">
        <x:v>frontend/tsconfig.json</x:v>
      </x:c>
      <x:c r="C72" s="3" t="str">
        <x:v>35 dòng. SHA256 snapshot: a3330a9594bb1af2fe03d23d4b0a7832f508d8ac91e062a583ae29c7e195c49b</x:v>
      </x:c>
    </x:row>
    <x:row r="73" ht="36" customHeight="1">
      <x:c r="A73" s="3" t="str">
        <x:v>Nguồn dự án</x:v>
      </x:c>
      <x:c r="B73" s="3" t="str">
        <x:v>admin/prisma/schema.prisma</x:v>
      </x:c>
      <x:c r="C73" s="3" t="str">
        <x:v>152 dòng. SHA256 snapshot: 846a68f4abf3da3edf36433e3b59c0431671f59bb47d250a3ead70ae6e532513</x:v>
      </x:c>
    </x:row>
    <x:row r="74" ht="36" customHeight="1">
      <x:c r="A74" s="3" t="str">
        <x:v>Nguồn dự án</x:v>
      </x:c>
      <x:c r="B74" s="3" t="str">
        <x:v>admin/scripts/bootstrap-admin.ts</x:v>
      </x:c>
      <x:c r="C74" s="3" t="str">
        <x:v>40 dòng. SHA256 snapshot: ae499b46dc2aee7c5a7732f914b8ee4f114d9879d56596e74d2f5d8cce5a4bb9</x:v>
      </x:c>
    </x:row>
    <x:row r="75" ht="36" customHeight="1">
      <x:c r="A75" s="3" t="str">
        <x:v>Nguồn dự án</x:v>
      </x:c>
      <x:c r="B75" s="3" t="str">
        <x:v>admin/tests/auth.test.mjs</x:v>
      </x:c>
      <x:c r="C75" s="3" t="str">
        <x:v>119 dòng. SHA256 snapshot: 5ecdcef26b5465e1e97b7bd99af7abc3922749d877774cb986dc820ef27cdbfd</x:v>
      </x:c>
    </x:row>
    <x:row r="76" ht="36" customHeight="1">
      <x:c r="A76" s="3" t="str">
        <x:v>Nguồn dự án</x:v>
      </x:c>
      <x:c r="B76" s="3" t="str">
        <x:v>admin/prisma/migrations/20260824000000_admin_auth/migration.sql</x:v>
      </x:c>
      <x:c r="C76" s="3" t="str">
        <x:v>93 dòng. SHA256 snapshot: 7c3055c6a5d1ec3ea10543fab6955abcbba4e631e026b19c259c201a25c4aedd</x:v>
      </x:c>
    </x:row>
    <x:row r="77" ht="36" customHeight="1">
      <x:c r="A77" s="3" t="str">
        <x:v>Nguồn dự án</x:v>
      </x:c>
      <x:c r="B77" s="3" t="str">
        <x:v>admin/src/app/layout.tsx</x:v>
      </x:c>
      <x:c r="C77" s="3" t="str">
        <x:v>36 dòng. SHA256 snapshot: a806adbe356ff8aa10ed7b3704f1077229ea48bd9468384984fae5be12aff123</x:v>
      </x:c>
    </x:row>
    <x:row r="78" ht="36" customHeight="1">
      <x:c r="A78" s="3" t="str">
        <x:v>Nguồn dự án</x:v>
      </x:c>
      <x:c r="B78" s="3" t="str">
        <x:v>admin/src/app/page.tsx</x:v>
      </x:c>
      <x:c r="C78" s="3" t="str">
        <x:v>5 dòng. SHA256 snapshot: 92eb8f7c8570fbbc75c9af9e5869cfb1e770e098690dc967962f9c9a252e9f76</x:v>
      </x:c>
    </x:row>
    <x:row r="79" ht="36" customHeight="1">
      <x:c r="A79" s="3" t="str">
        <x:v>Nguồn dự án</x:v>
      </x:c>
      <x:c r="B79" s="3" t="str">
        <x:v>admin/src/app/styles.css</x:v>
      </x:c>
      <x:c r="C79" s="3" t="str">
        <x:v>2992 dòng. SHA256 snapshot: ed037170ffa23e22359c9e3b75cf4b98849bf8d7df91862c07e0b255e8ab2640</x:v>
      </x:c>
    </x:row>
    <x:row r="80" ht="36" customHeight="1">
      <x:c r="A80" s="3" t="str">
        <x:v>Nguồn dự án</x:v>
      </x:c>
      <x:c r="B80" s="3" t="str">
        <x:v>admin/src/lib/backend-api.ts</x:v>
      </x:c>
      <x:c r="C80" s="3" t="str">
        <x:v>12 dòng. SHA256 snapshot: 6b24d39946a9d7a6065fc94ae95f16c12dfa26b093b65be3a461451fb69784a2</x:v>
      </x:c>
    </x:row>
    <x:row r="81" ht="36" customHeight="1">
      <x:c r="A81" s="3" t="str">
        <x:v>Nguồn dự án</x:v>
      </x:c>
      <x:c r="B81" s="3" t="str">
        <x:v>admin/src/lib/db.ts</x:v>
      </x:c>
      <x:c r="C81" s="3" t="str">
        <x:v>15 dòng. SHA256 snapshot: 8b912a6d3f93f784559d89ffd09e38146d1721eafca1ca4c5fdf41153be1fda9</x:v>
      </x:c>
    </x:row>
    <x:row r="82" ht="36" customHeight="1">
      <x:c r="A82" s="3" t="str">
        <x:v>Nguồn dự án</x:v>
      </x:c>
      <x:c r="B82" s="3" t="str">
        <x:v>admin/src/lib/storage.ts</x:v>
      </x:c>
      <x:c r="C82" s="3" t="str">
        <x:v>53 dòng. SHA256 snapshot: b924f1e501ae37e8259eede79ba866b21804fe07dcd6a96c58f7a030f53e60f6</x:v>
      </x:c>
    </x:row>
    <x:row r="83" ht="36" customHeight="1">
      <x:c r="A83" s="3" t="str">
        <x:v>Nguồn dự án</x:v>
      </x:c>
      <x:c r="B83" s="3" t="str">
        <x:v>admin/src/app/admin/(protected)/layout.tsx</x:v>
      </x:c>
      <x:c r="C83" s="3" t="str">
        <x:v>9 dòng. SHA256 snapshot: 48175d42ebba082609c3ca4b3fae674d317e99853aa3718dc68df2a3a92940ee</x:v>
      </x:c>
    </x:row>
    <x:row r="84" ht="36" customHeight="1">
      <x:c r="A84" s="3" t="str">
        <x:v>Nguồn dự án</x:v>
      </x:c>
      <x:c r="B84" s="3" t="str">
        <x:v>admin/src/app/admin/change-password/page.tsx</x:v>
      </x:c>
      <x:c r="C84" s="3" t="str">
        <x:v>9 dòng. SHA256 snapshot: 0100a5a217826d66b645f8c5cddbb56823f3e905e468277f93886b49af8db0ba</x:v>
      </x:c>
    </x:row>
    <x:row r="85" ht="36" customHeight="1">
      <x:c r="A85" s="3" t="str">
        <x:v>Nguồn dự án</x:v>
      </x:c>
      <x:c r="B85" s="3" t="str">
        <x:v>admin/src/app/admin/forgot-password/page.tsx</x:v>
      </x:c>
      <x:c r="C85" s="3" t="str">
        <x:v>36 dòng. SHA256 snapshot: 34f571003354a8723ac78663b4d63421aed6052c9b0417c2daf750fce5dc0aac</x:v>
      </x:c>
    </x:row>
    <x:row r="86" ht="36" customHeight="1">
      <x:c r="A86" s="3" t="str">
        <x:v>Nguồn dự án</x:v>
      </x:c>
      <x:c r="B86" s="3" t="str">
        <x:v>admin/src/app/admin/login/page.tsx</x:v>
      </x:c>
      <x:c r="C86" s="3" t="str">
        <x:v>18 dòng. SHA256 snapshot: bc105f755ec49e3c98144f6f8f3f1691b7c4ed69cddc766790b3e1dcbc3a4541</x:v>
      </x:c>
    </x:row>
    <x:row r="87" ht="36" customHeight="1">
      <x:c r="A87" s="3" t="str">
        <x:v>Nguồn dự án</x:v>
      </x:c>
      <x:c r="B87" s="3" t="str">
        <x:v>admin/src/app/admin/reset-password/page.tsx</x:v>
      </x:c>
      <x:c r="C87" s="3" t="str">
        <x:v>40 dòng. SHA256 snapshot: 3aa69a4988e1e00f9d2978c8122de68cb649111ae628334dd6b552cb7a3b7513</x:v>
      </x:c>
    </x:row>
    <x:row r="88" ht="36" customHeight="1">
      <x:c r="A88" s="3" t="str">
        <x:v>Nguồn dự án</x:v>
      </x:c>
      <x:c r="B88" s="3" t="str">
        <x:v>admin/src/app/admin/(protected)/applications/page.tsx</x:v>
      </x:c>
      <x:c r="C88" s="3" t="str">
        <x:v>4 dòng. SHA256 snapshot: ccce95e8a2e310a4e6f0b54be61673c9ae98a81bcf9fa03fda44817827dd82bf</x:v>
      </x:c>
    </x:row>
    <x:row r="89" ht="36" customHeight="1">
      <x:c r="A89" s="3" t="str">
        <x:v>Nguồn dự án</x:v>
      </x:c>
      <x:c r="B89" s="3" t="str">
        <x:v>admin/src/app/admin/(protected)/consultations/page.tsx</x:v>
      </x:c>
      <x:c r="C89" s="3" t="str">
        <x:v>44 dòng. SHA256 snapshot: 56a81922ad696fdcd7030ffec55ac2155b0a3debede3f746b56a85c6f50fe9c2</x:v>
      </x:c>
    </x:row>
    <x:row r="90" ht="36" customHeight="1">
      <x:c r="A90" s="3" t="str">
        <x:v>Nguồn dự án</x:v>
      </x:c>
      <x:c r="B90" s="3" t="str">
        <x:v>admin/src/app/admin/(protected)/dashboard/page.tsx</x:v>
      </x:c>
      <x:c r="C90" s="3" t="str">
        <x:v>5 dòng. SHA256 snapshot: 2614472fb7b782372727b3d8f2de1fd11aa8035001d030f12489222321f0a881</x:v>
      </x:c>
    </x:row>
    <x:row r="91" ht="36" customHeight="1">
      <x:c r="A91" s="3" t="str">
        <x:v>Nguồn dự án</x:v>
      </x:c>
      <x:c r="B91" s="3" t="str">
        <x:v>admin/src/app/admin/(protected)/news/page.tsx</x:v>
      </x:c>
      <x:c r="C91" s="3" t="str">
        <x:v>6 dòng. SHA256 snapshot: a3c3fcd7ab25fe3c6d78aad280f8d653c8ff9e8059861c643fd644b9966ae5b6</x:v>
      </x:c>
    </x:row>
    <x:row r="92" ht="36" customHeight="1">
      <x:c r="A92" s="3" t="str">
        <x:v>Nguồn dự án</x:v>
      </x:c>
      <x:c r="B92" s="3" t="str">
        <x:v>admin/src/app/admin/(protected)/profile/page.tsx</x:v>
      </x:c>
      <x:c r="C92" s="3" t="str">
        <x:v>5 dòng. SHA256 snapshot: bd78feb517f94beb7044e81d27f4b3feee329a96a7bed05d1eb0bcd9f033e8b6</x:v>
      </x:c>
    </x:row>
    <x:row r="93" ht="36" customHeight="1">
      <x:c r="A93" s="3" t="str">
        <x:v>Nguồn dự án</x:v>
      </x:c>
      <x:c r="B93" s="3" t="str">
        <x:v>admin/src/app/admin/(protected)/resources/error.tsx</x:v>
      </x:c>
      <x:c r="C93" s="3" t="str">
        <x:v>5 dòng. SHA256 snapshot: 7ab463f4948cc2c8cd6124ad06e51bed6625e71319c5bac54474775c531cab4b</x:v>
      </x:c>
    </x:row>
    <x:row r="94" ht="36" customHeight="1">
      <x:c r="A94" s="3" t="str">
        <x:v>Nguồn dự án</x:v>
      </x:c>
      <x:c r="B94" s="3" t="str">
        <x:v>admin/src/app/admin/(protected)/resources/loading.tsx</x:v>
      </x:c>
      <x:c r="C94" s="3" t="str">
        <x:v>3 dòng. SHA256 snapshot: f6f0a211ae16423537a114062fbbdd12885449864ba52a84638bc0bb76f006e9</x:v>
      </x:c>
    </x:row>
    <x:row r="95" ht="36" customHeight="1">
      <x:c r="A95" s="3" t="str">
        <x:v>Nguồn dự án</x:v>
      </x:c>
      <x:c r="B95" s="3" t="str">
        <x:v>admin/src/app/admin/(protected)/resources/page.tsx</x:v>
      </x:c>
      <x:c r="C95" s="3" t="str">
        <x:v>13 dòng. SHA256 snapshot: 2d2395fe724495b28daa23c678c457982c3316bf738a76c013deb3b1f61c3659</x:v>
      </x:c>
    </x:row>
    <x:row r="96" ht="36" customHeight="1">
      <x:c r="A96" s="3" t="str">
        <x:v>Nguồn dự án</x:v>
      </x:c>
      <x:c r="B96" s="3" t="str">
        <x:v>admin/src/app/admin/(protected)/users/page.tsx</x:v>
      </x:c>
      <x:c r="C96" s="3" t="str">
        <x:v>129 dòng. SHA256 snapshot: 389c403ed3b8034acf1200f069b02b17bd89803f04dd254badfc9991e4548b9c</x:v>
      </x:c>
    </x:row>
    <x:row r="97" ht="36" customHeight="1">
      <x:c r="A97" s="3" t="str">
        <x:v>Nguồn dự án</x:v>
      </x:c>
      <x:c r="B97" s="3" t="str">
        <x:v>admin/src/app/admin/(protected)/website/page.tsx</x:v>
      </x:c>
      <x:c r="C97" s="3" t="str">
        <x:v>4 dòng. SHA256 snapshot: 6d03be030b7e45017c39110094280dfd1909d60886072687d9b300793ab4cc6b</x:v>
      </x:c>
    </x:row>
    <x:row r="98" ht="36" customHeight="1">
      <x:c r="A98" s="3" t="str">
        <x:v>Nguồn dự án</x:v>
      </x:c>
      <x:c r="B98" s="3" t="str">
        <x:v>admin/src/app/admin/(protected)/profile/security/page.tsx</x:v>
      </x:c>
      <x:c r="C98" s="3" t="str">
        <x:v>25 dòng. SHA256 snapshot: 3071bd46843bc97b8a62d2224ff0d0d07b0178b24f323dfcc07b3e6c68a53ceb</x:v>
      </x:c>
    </x:row>
    <x:row r="99" ht="36" customHeight="1">
      <x:c r="A99" s="3" t="str">
        <x:v>Nguồn dự án</x:v>
      </x:c>
      <x:c r="B99" s="3" t="str">
        <x:v>admin/src/app/admin/(protected)/users/create/page.tsx</x:v>
      </x:c>
      <x:c r="C99" s="3" t="str">
        <x:v>6 dòng. SHA256 snapshot: 75639bbfaa8a446b3746d2a1d5922ac573aa3f085e2ec685f14fd800fa62db7f</x:v>
      </x:c>
    </x:row>
    <x:row r="100" ht="36" customHeight="1">
      <x:c r="A100" s="3" t="str">
        <x:v>Nguồn dự án</x:v>
      </x:c>
      <x:c r="B100" s="3" t="str">
        <x:v>admin/src/app/admin/(protected)/users/[id]/page.tsx</x:v>
      </x:c>
      <x:c r="C100" s="3" t="str">
        <x:v>57 dòng. SHA256 snapshot: a3b1bebbdc59088e8278b6fa5b56316de1e152eae1f5843465ff96469af1b021</x:v>
      </x:c>
    </x:row>
    <x:row r="101" ht="36" customHeight="1">
      <x:c r="A101" s="3" t="str">
        <x:v>Nguồn dự án</x:v>
      </x:c>
      <x:c r="B101" s="3" t="str">
        <x:v>admin/src/app/api/admin/notifications/route.ts</x:v>
      </x:c>
      <x:c r="C101" s="3" t="str">
        <x:v>94 dòng. SHA256 snapshot: f56e495b1a736014fb3fd9d7512c7f34694b9ea27e1e18da48e91d2574632b8c</x:v>
      </x:c>
    </x:row>
    <x:row r="102" ht="36" customHeight="1">
      <x:c r="A102" s="3" t="str">
        <x:v>Nguồn dự án</x:v>
      </x:c>
      <x:c r="B102" s="3" t="str">
        <x:v>admin/src/app/api/admin/users/route.ts</x:v>
      </x:c>
      <x:c r="C102" s="3" t="str">
        <x:v>56 dòng. SHA256 snapshot: 36331b264294122b35ff21612fc9b8302d8e0eb78b37c433fc9113c0aabe50d3</x:v>
      </x:c>
    </x:row>
    <x:row r="103" ht="36" customHeight="1">
      <x:c r="A103" s="3" t="str">
        <x:v>Nguồn dự án</x:v>
      </x:c>
      <x:c r="B103" s="3" t="str">
        <x:v>admin/src/app/api/admin/auth/change-password/route.ts</x:v>
      </x:c>
      <x:c r="C103" s="3" t="str">
        <x:v>36 dòng. SHA256 snapshot: ecd358a1b5380c32d7409ee984b750783353b86849d42d35a86dc71a0619fb34</x:v>
      </x:c>
    </x:row>
    <x:row r="104" ht="36" customHeight="1">
      <x:c r="A104" s="3" t="str">
        <x:v>Nguồn dự án</x:v>
      </x:c>
      <x:c r="B104" s="3" t="str">
        <x:v>admin/src/app/api/admin/auth/forgot-password/route.ts</x:v>
      </x:c>
      <x:c r="C104" s="3" t="str">
        <x:v>76 dòng. SHA256 snapshot: 4414842d6860e5e6ab1ed4de437f38e0492d28da3abab628f00bb791ff12feb9</x:v>
      </x:c>
    </x:row>
    <x:row r="105" ht="36" customHeight="1">
      <x:c r="A105" s="3" t="str">
        <x:v>Nguồn dự án</x:v>
      </x:c>
      <x:c r="B105" s="3" t="str">
        <x:v>admin/src/app/api/admin/auth/login/route.ts</x:v>
      </x:c>
      <x:c r="C105" s="3" t="str">
        <x:v>77 dòng. SHA256 snapshot: 0b39a05cb40a68dced204ee5ab3abe8cc5045779d2436b743be222107d317b33</x:v>
      </x:c>
    </x:row>
    <x:row r="106" ht="36" customHeight="1">
      <x:c r="A106" s="3" t="str">
        <x:v>Nguồn dự án</x:v>
      </x:c>
      <x:c r="B106" s="3" t="str">
        <x:v>admin/src/app/api/admin/auth/logout/route.ts</x:v>
      </x:c>
      <x:c r="C106" s="3" t="str">
        <x:v>16 dòng. SHA256 snapshot: 2f95ae4b481e61e8cf62eb617223544c487ff57890f8c4b00aea24f5b34204db</x:v>
      </x:c>
    </x:row>
    <x:row r="107" ht="36" customHeight="1">
      <x:c r="A107" s="3" t="str">
        <x:v>Nguồn dự án</x:v>
      </x:c>
      <x:c r="B107" s="3" t="str">
        <x:v>admin/src/app/api/admin/auth/me/route.ts</x:v>
      </x:c>
      <x:c r="C107" s="3" t="str">
        <x:v>96 dòng. SHA256 snapshot: b82725e32d625bf59eefbe5235a89df7cfd034f54e9b4dee782e9c55a8776eb4</x:v>
      </x:c>
    </x:row>
    <x:row r="108" ht="36" customHeight="1">
      <x:c r="A108" s="3" t="str">
        <x:v>Nguồn dự án</x:v>
      </x:c>
      <x:c r="B108" s="3" t="str">
        <x:v>admin/src/app/api/admin/auth/reset-password/route.ts</x:v>
      </x:c>
      <x:c r="C108" s="3" t="str">
        <x:v>72 dòng. SHA256 snapshot: 9b57d0bc3a9efa1ee10f5dee9455fd6da65e09b1bb30036a82eb85aeeae9db1a</x:v>
      </x:c>
    </x:row>
    <x:row r="109" ht="36" customHeight="1">
      <x:c r="A109" s="3" t="str">
        <x:v>Nguồn dự án</x:v>
      </x:c>
      <x:c r="B109" s="3" t="str">
        <x:v>admin/src/app/api/admin/users/[id]/route.ts</x:v>
      </x:c>
      <x:c r="C109" s="3" t="str">
        <x:v>185 dòng. SHA256 snapshot: f9b9bddbe6e113fdfe8b95bbeb022cd8cc14e83935a16cdaead98ec2ac656443</x:v>
      </x:c>
    </x:row>
    <x:row r="110" ht="36" customHeight="1">
      <x:c r="A110" s="3" t="str">
        <x:v>Nguồn dự án</x:v>
      </x:c>
      <x:c r="B110" s="3" t="str">
        <x:v>admin/src/app/api/admin/users/[id]/reset-password/route.ts</x:v>
      </x:c>
      <x:c r="C110" s="3" t="str">
        <x:v>27 dòng. SHA256 snapshot: 2fad679c5c1b67d3da3f02dc917ea63822a6a920453c0567a67f44c599f212d3</x:v>
      </x:c>
    </x:row>
    <x:row r="111" ht="36" customHeight="1">
      <x:c r="A111" s="3" t="str">
        <x:v>Nguồn dự án</x:v>
      </x:c>
      <x:c r="B111" s="3" t="str">
        <x:v>admin/src/app/api/admin/users/[id]/role/route.ts</x:v>
      </x:c>
      <x:c r="C111" s="3" t="str">
        <x:v>32 dòng. SHA256 snapshot: 84122036a313de3d3f366ca9a884c8e47c11288a1eba58137363e4cf3f22453d</x:v>
      </x:c>
    </x:row>
    <x:row r="112" ht="36" customHeight="1">
      <x:c r="A112" s="3" t="str">
        <x:v>Nguồn dự án</x:v>
      </x:c>
      <x:c r="B112" s="3" t="str">
        <x:v>admin/src/app/api/admin/users/[id]/status/route.ts</x:v>
      </x:c>
      <x:c r="C112" s="3" t="str">
        <x:v>30 dòng. SHA256 snapshot: f61abb7bb661feee8925119096a0b5694f5c5e590ca169be982f2bc83250385c</x:v>
      </x:c>
    </x:row>
    <x:row r="113" ht="36" customHeight="1">
      <x:c r="A113" s="3" t="str">
        <x:v>Nguồn dự án</x:v>
      </x:c>
      <x:c r="B113" s="3" t="str">
        <x:v>admin/src/app/api/cms/import-word/route.ts</x:v>
      </x:c>
      <x:c r="C113" s="3" t="str">
        <x:v>50 dòng. SHA256 snapshot: 521ad4fb5903bbefcfc8d77361a7b7d299fc94b13c9fece9224757a210f9562b</x:v>
      </x:c>
    </x:row>
    <x:row r="114" ht="36" customHeight="1">
      <x:c r="A114" s="3" t="str">
        <x:v>Nguồn dự án</x:v>
      </x:c>
      <x:c r="B114" s="3" t="str">
        <x:v>admin/src/app/api/cms/upload-image/route.ts</x:v>
      </x:c>
      <x:c r="C114" s="3" t="str">
        <x:v>41 dòng. SHA256 snapshot: cd9066714d23ab917d2404c5db7edb9744d527fa082a6169222d6071622ee8ab</x:v>
      </x:c>
    </x:row>
    <x:row r="115" ht="36" customHeight="1">
      <x:c r="A115" s="3" t="str">
        <x:v>Nguồn dự án</x:v>
      </x:c>
      <x:c r="B115" s="3" t="str">
        <x:v>admin/src/app/api/cms/upload-resource/route.ts</x:v>
      </x:c>
      <x:c r="C115" s="3" t="str">
        <x:v>144 dòng. SHA256 snapshot: ab868c53697e2d795200fee4ee5bc092e4ce85f4b9fc6c6e04159606fe52efbd</x:v>
      </x:c>
    </x:row>
    <x:row r="116" ht="36" customHeight="1">
      <x:c r="A116" s="3" t="str">
        <x:v>Nguồn dự án</x:v>
      </x:c>
      <x:c r="B116" s="3" t="str">
        <x:v>admin/src/app/api/cms/[...path]/route.ts</x:v>
      </x:c>
      <x:c r="C116" s="3" t="str">
        <x:v>43 dòng. SHA256 snapshot: 834160712691e651968bd771ed79ddbfac573e56ef292466ae32df47ff67802b</x:v>
      </x:c>
    </x:row>
    <x:row r="117" ht="36" customHeight="1">
      <x:c r="A117" s="3" t="str">
        <x:v>Nguồn dự án</x:v>
      </x:c>
      <x:c r="B117" s="3" t="str">
        <x:v>admin/src/app/api/media/[...path]/route.ts</x:v>
      </x:c>
      <x:c r="C117" s="3" t="str">
        <x:v>18 dòng. SHA256 snapshot: dbb7e2d2cfebdb01c592d1675198600343159295d7eb2ef4d8dfa1a282649665</x:v>
      </x:c>
    </x:row>
    <x:row r="118" ht="36" customHeight="1">
      <x:c r="A118" s="3" t="str">
        <x:v>Nguồn dự án</x:v>
      </x:c>
      <x:c r="B118" s="3" t="str">
        <x:v>admin/src/components/auth/ChangePasswordForm.tsx</x:v>
      </x:c>
      <x:c r="C118" s="3" t="str">
        <x:v>24 dòng. SHA256 snapshot: 46896dcbdf9605e918c00c8963ed4a619ed694f7e50baa7475bb6ad35a13397c</x:v>
      </x:c>
    </x:row>
    <x:row r="119" ht="36" customHeight="1">
      <x:c r="A119" s="3" t="str">
        <x:v>Nguồn dự án</x:v>
      </x:c>
      <x:c r="B119" s="3" t="str">
        <x:v>admin/src/components/auth/ForgotPasswordForm.tsx</x:v>
      </x:c>
      <x:c r="C119" s="3" t="str">
        <x:v>97 dòng. SHA256 snapshot: 01fc854a2030389473c8c53e0d82fc29d324d5dda38b2a3e5d3cd1a1dd8dfbe0</x:v>
      </x:c>
    </x:row>
    <x:row r="120" ht="36" customHeight="1">
      <x:c r="A120" s="3" t="str">
        <x:v>Nguồn dự án</x:v>
      </x:c>
      <x:c r="B120" s="3" t="str">
        <x:v>admin/src/components/auth/LoginForm.tsx</x:v>
      </x:c>
      <x:c r="C120" s="3" t="str">
        <x:v>65 dòng. SHA256 snapshot: 24a6ce08db611456adeb2674310840a0c085c217b0e4500d324c966e180c4572</x:v>
      </x:c>
    </x:row>
    <x:row r="121" ht="36" customHeight="1">
      <x:c r="A121" s="3" t="str">
        <x:v>Nguồn dự án</x:v>
      </x:c>
      <x:c r="B121" s="3" t="str">
        <x:v>admin/src/components/auth/ResetPasswordForm.tsx</x:v>
      </x:c>
      <x:c r="C121" s="3" t="str">
        <x:v>130 dòng. SHA256 snapshot: 0c4e37165cc31ba99d8e9ab7395d162eced5e9ebfc97a11471cce62b7ff77210</x:v>
      </x:c>
    </x:row>
    <x:row r="122" ht="36" customHeight="1">
      <x:c r="A122" s="3" t="str">
        <x:v>Nguồn dự án</x:v>
      </x:c>
      <x:c r="B122" s="3" t="str">
        <x:v>admin/src/components/cms/CmsManager.tsx</x:v>
      </x:c>
      <x:c r="C122" s="3" t="str">
        <x:v>20 dòng. SHA256 snapshot: b77091458f4da306bad70ac80fc19af5c50231c1c3c55e3d8d27974539589eed</x:v>
      </x:c>
    </x:row>
    <x:row r="123" ht="36" customHeight="1">
      <x:c r="A123" s="3" t="str">
        <x:v>Nguồn dự án</x:v>
      </x:c>
      <x:c r="B123" s="3" t="str">
        <x:v>admin/src/components/cms/NewsManager.tsx</x:v>
      </x:c>
      <x:c r="C123" s="3" t="str">
        <x:v>142 dòng. SHA256 snapshot: 68d7edf798bca65b5336c877792f9d5717e50dabc8dedc6fb06a73c3b4e0ff46</x:v>
      </x:c>
    </x:row>
    <x:row r="124" ht="36" customHeight="1">
      <x:c r="A124" s="3" t="str">
        <x:v>Nguồn dự án</x:v>
      </x:c>
      <x:c r="B124" s="3" t="str">
        <x:v>admin/src/components/cms/ResourceManager.tsx</x:v>
      </x:c>
      <x:c r="C124" s="3" t="str">
        <x:v>1008 dòng. SHA256 snapshot: 040ef1ab85d7e0df3a9f59b81eb1b5fd09d33aa90fb7a4dc6ef6c025db6e5197</x:v>
      </x:c>
    </x:row>
    <x:row r="125" ht="36" customHeight="1">
      <x:c r="A125" s="3" t="str">
        <x:v>Nguồn dự án</x:v>
      </x:c>
      <x:c r="B125" s="3" t="str">
        <x:v>admin/src/components/cms/RichTextEditor.tsx</x:v>
      </x:c>
      <x:c r="C125" s="3" t="str">
        <x:v>148 dòng. SHA256 snapshot: f1c16c9a835b1595549d284bc69f484afc2f6b624ebbd301889298c582d05d58</x:v>
      </x:c>
    </x:row>
    <x:row r="126" ht="36" customHeight="1">
      <x:c r="A126" s="3" t="str">
        <x:v>Nguồn dự án</x:v>
      </x:c>
      <x:c r="B126" s="3" t="str">
        <x:v>admin/src/components/consultations/ConsultationManager.tsx</x:v>
      </x:c>
      <x:c r="C126" s="3" t="str">
        <x:v>185 dòng. SHA256 snapshot: 7d04b8f751b8ed78fcadc001fa88b6e5fa78f43e70b26249f559ff6531e6e1eb</x:v>
      </x:c>
    </x:row>
    <x:row r="127" ht="36" customHeight="1">
      <x:c r="A127" s="3" t="str">
        <x:v>Nguồn dự án</x:v>
      </x:c>
      <x:c r="B127" s="3" t="str">
        <x:v>admin/src/components/dashboard/RealtimeDashboard.tsx</x:v>
      </x:c>
      <x:c r="C127" s="3" t="str">
        <x:v>964 dòng. SHA256 snapshot: 912c5a4d5abfb77c84d1a99f6adaded0ad6eff608af4044a14904b851508edb0</x:v>
      </x:c>
    </x:row>
    <x:row r="128" ht="36" customHeight="1">
      <x:c r="A128" s="3" t="str">
        <x:v>Nguồn dự án</x:v>
      </x:c>
      <x:c r="B128" s="3" t="str">
        <x:v>admin/src/components/layout/AdminNotifications.tsx</x:v>
      </x:c>
      <x:c r="C128" s="3" t="str">
        <x:v>303 dòng. SHA256 snapshot: f90b229caa1de54191e3512e22691a28c822424605241c3af900094e3f84bc8e</x:v>
      </x:c>
    </x:row>
    <x:row r="129" ht="36" customHeight="1">
      <x:c r="A129" s="3" t="str">
        <x:v>Nguồn dự án</x:v>
      </x:c>
      <x:c r="B129" s="3" t="str">
        <x:v>admin/src/components/layout/AdminShell.tsx</x:v>
      </x:c>
      <x:c r="C129" s="3" t="str">
        <x:v>147 dòng. SHA256 snapshot: 4d954ad2b80a2ada66ee442dfcfe8dbdc2ecd899740754fa7accaf869483877f</x:v>
      </x:c>
    </x:row>
    <x:row r="130" ht="36" customHeight="1">
      <x:c r="A130" s="3" t="str">
        <x:v>Nguồn dự án</x:v>
      </x:c>
      <x:c r="B130" s="3" t="str">
        <x:v>admin/src/components/layout/LogoutButton.tsx</x:v>
      </x:c>
      <x:c r="C130" s="3" t="str">
        <x:v>15 dòng. SHA256 snapshot: 22321325cab56e1b7cab1566db1f37d306cc39382ef90b0d6aada0db2f767d97</x:v>
      </x:c>
    </x:row>
    <x:row r="131" ht="36" customHeight="1">
      <x:c r="A131" s="3" t="str">
        <x:v>Nguồn dự án</x:v>
      </x:c>
      <x:c r="B131" s="3" t="str">
        <x:v>admin/src/components/profile/AccountProfileView.tsx</x:v>
      </x:c>
      <x:c r="C131" s="3" t="str">
        <x:v>303 dòng. SHA256 snapshot: 7d4087e7721a1ef1946f7f4ba5ca72c98761f277fc717dbb946cc50c13c0987c</x:v>
      </x:c>
    </x:row>
    <x:row r="132" ht="36" customHeight="1">
      <x:c r="A132" s="3" t="str">
        <x:v>Nguồn dự án</x:v>
      </x:c>
      <x:c r="B132" s="3" t="str">
        <x:v>admin/src/components/users/AdminUserActions.tsx</x:v>
      </x:c>
      <x:c r="C132" s="3" t="str">
        <x:v>452 dòng. SHA256 snapshot: fed9720de069601e833beaf30cabbaf398bd496aff9b8016e28bc848141a1836</x:v>
      </x:c>
    </x:row>
    <x:row r="133" ht="36" customHeight="1">
      <x:c r="A133" s="3" t="str">
        <x:v>Nguồn dự án</x:v>
      </x:c>
      <x:c r="B133" s="3" t="str">
        <x:v>admin/src/components/users/CreateAdminForm.tsx</x:v>
      </x:c>
      <x:c r="C133" s="3" t="str">
        <x:v>14 dòng. SHA256 snapshot: 89e6bebf306f4b6680895d5ae039351c61b645573755f44798c0287623922c2c</x:v>
      </x:c>
    </x:row>
    <x:row r="134" ht="36" customHeight="1">
      <x:c r="A134" s="3" t="str">
        <x:v>Nguồn dự án</x:v>
      </x:c>
      <x:c r="B134" s="3" t="str">
        <x:v>admin/src/lib/auth/audit.ts</x:v>
      </x:c>
      <x:c r="C134" s="3" t="str">
        <x:v>18 dòng. SHA256 snapshot: 6fb6974aa89bc7e11f5fb7da79a6167742359a89cf5994e3c2a1162f86277030</x:v>
      </x:c>
    </x:row>
    <x:row r="135" ht="36" customHeight="1">
      <x:c r="A135" s="3" t="str">
        <x:v>Nguồn dự án</x:v>
      </x:c>
      <x:c r="B135" s="3" t="str">
        <x:v>admin/src/lib/auth/authorization.ts</x:v>
      </x:c>
      <x:c r="C135" s="3" t="str">
        <x:v>21 dòng. SHA256 snapshot: cd721ba395c82d8a246d01c46cde48f081c14c5c9b0626f9581409af6a1ba49a</x:v>
      </x:c>
    </x:row>
    <x:row r="136" ht="36" customHeight="1">
      <x:c r="A136" s="3" t="str">
        <x:v>Nguồn dự án</x:v>
      </x:c>
      <x:c r="B136" s="3" t="str">
        <x:v>admin/src/lib/auth/constants.ts</x:v>
      </x:c>
      <x:c r="C136" s="3" t="str">
        <x:v>23 dòng. SHA256 snapshot: 70beb6956ff1ac20e6c7fb969d904f82fabb06ff657a58c5b6e3755aaddae898</x:v>
      </x:c>
    </x:row>
    <x:row r="137" ht="36" customHeight="1">
      <x:c r="A137" s="3" t="str">
        <x:v>Nguồn dự án</x:v>
      </x:c>
      <x:c r="B137" s="3" t="str">
        <x:v>admin/src/lib/auth/email.ts</x:v>
      </x:c>
      <x:c r="C137" s="3" t="str">
        <x:v>68 dòng. SHA256 snapshot: fdc964a750af890c3f6aea5de54d56368ceebe736f32b8731bdcc926e8393a40</x:v>
      </x:c>
    </x:row>
    <x:row r="138" ht="36" customHeight="1">
      <x:c r="A138" s="3" t="str">
        <x:v>Nguồn dự án</x:v>
      </x:c>
      <x:c r="B138" s="3" t="str">
        <x:v>admin/src/lib/auth/login-rate-limit.ts</x:v>
      </x:c>
      <x:c r="C138" s="3" t="str">
        <x:v>40 dòng. SHA256 snapshot: e609d12902ac0f31d8d53f5684bf12df7ac688d61459f66a1065403192195266</x:v>
      </x:c>
    </x:row>
    <x:row r="139" ht="36" customHeight="1">
      <x:c r="A139" s="3" t="str">
        <x:v>Nguồn dự án</x:v>
      </x:c>
      <x:c r="B139" s="3" t="str">
        <x:v>admin/src/lib/auth/password.ts</x:v>
      </x:c>
      <x:c r="C139" s="3" t="str">
        <x:v>28 dòng. SHA256 snapshot: 8f1b35970cf647e44d79a20de652ff2833d0aa6f103107601cb4671c47ab9202</x:v>
      </x:c>
    </x:row>
    <x:row r="140" ht="36" customHeight="1">
      <x:c r="A140" s="3" t="str">
        <x:v>Nguồn dự án</x:v>
      </x:c>
      <x:c r="B140" s="3" t="str">
        <x:v>admin/src/lib/auth/request.ts</x:v>
      </x:c>
      <x:c r="C140" s="3" t="str">
        <x:v>19 dòng. SHA256 snapshot: 1bbda570a2bd3f540a43a3b9a1a866d53fbd42d17b4f5af9eab05df1c29b33e8</x:v>
      </x:c>
    </x:row>
    <x:row r="141" ht="36" customHeight="1">
      <x:c r="A141" s="3" t="str">
        <x:v>Nguồn dự án</x:v>
      </x:c>
      <x:c r="B141" s="3" t="str">
        <x:v>admin/src/lib/auth/responses.ts</x:v>
      </x:c>
      <x:c r="C141" s="3" t="str">
        <x:v>11 dòng. SHA256 snapshot: 7cbae014d54acc7ad452d2df903e46cc23253366838b7df943bb2876460ef899</x:v>
      </x:c>
    </x:row>
    <x:row r="142" ht="36" customHeight="1">
      <x:c r="A142" s="3" t="str">
        <x:v>Nguồn dự án</x:v>
      </x:c>
      <x:c r="B142" s="3" t="str">
        <x:v>admin/src/lib/auth/roles.ts</x:v>
      </x:c>
      <x:c r="C142" s="3" t="str">
        <x:v>41 dòng. SHA256 snapshot: b30b5d52d791fa5522dc86a37402105e4808c073b7510adb1af91acaadf84f11</x:v>
      </x:c>
    </x:row>
    <x:row r="143" ht="36" customHeight="1">
      <x:c r="A143" s="3" t="str">
        <x:v>Nguồn dự án</x:v>
      </x:c>
      <x:c r="B143" s="3" t="str">
        <x:v>admin/src/lib/auth/schemas.ts</x:v>
      </x:c>
      <x:c r="C143" s="3" t="str">
        <x:v>99 dòng. SHA256 snapshot: c8bb64496120045a29a0b242983783ec0b9025ff3f6415c3eb7cd60cb460865c</x:v>
      </x:c>
    </x:row>
    <x:row r="144" ht="36" customHeight="1">
      <x:c r="A144" s="3" t="str">
        <x:v>Nguồn dự án</x:v>
      </x:c>
      <x:c r="B144" s="3" t="str">
        <x:v>admin/src/lib/auth/session.ts</x:v>
      </x:c>
      <x:c r="C144" s="3" t="str">
        <x:v>72 dòng. SHA256 snapshot: 461bfb286c0e763995456fd232712ed5375912b65ae5200d50d3b63f7166ad59</x:v>
      </x:c>
    </x:row>
    <x:row r="145" ht="36" customHeight="1">
      <x:c r="A145" s="3" t="str">
        <x:v>Nguồn dự án</x:v>
      </x:c>
      <x:c r="B145" s="3" t="str">
        <x:v>admin/src/lib/auth/token.ts</x:v>
      </x:c>
      <x:c r="C145" s="3" t="str">
        <x:v>5 dòng. SHA256 snapshot: a304a6d6c8de7702f4e97c6f724b82276d06aeb8c8beda27ae063c9826db72e5</x:v>
      </x:c>
    </x:row>
    <x:row r="146" ht="36" customHeight="1">
      <x:c r="A146" s="3" t="str">
        <x:v>Nguồn dự án</x:v>
      </x:c>
      <x:c r="B146" s="3" t="str">
        <x:v>backend/prisma/bootstrap-admin.ts</x:v>
      </x:c>
      <x:c r="C146" s="3" t="str">
        <x:v>102 dòng. SHA256 snapshot: 7c29f2bd06c52d51fbe354a3e31e35f1d8a496c982c8d2ca145a6ca5dc70399e</x:v>
      </x:c>
    </x:row>
    <x:row r="147" ht="36" customHeight="1">
      <x:c r="A147" s="3" t="str">
        <x:v>Nguồn dự án</x:v>
      </x:c>
      <x:c r="B147" s="3" t="str">
        <x:v>backend/prisma/schema.prisma</x:v>
      </x:c>
      <x:c r="C147" s="3" t="str">
        <x:v>351 dòng. SHA256 snapshot: 71197b272d0d2326f7ed3991e642d35e5a8fde3e9d6bae415dfa585e1655f5f3</x:v>
      </x:c>
    </x:row>
    <x:row r="148" ht="36" customHeight="1">
      <x:c r="A148" s="3" t="str">
        <x:v>Nguồn dự án</x:v>
      </x:c>
      <x:c r="B148" s="3" t="str">
        <x:v>backend/src/app.ts</x:v>
      </x:c>
      <x:c r="C148" s="3" t="str">
        <x:v>36 dòng. SHA256 snapshot: 7783e37fad9b1513223208cc36be0bcc00ac83643edf0e46a3f61641539819a0</x:v>
      </x:c>
    </x:row>
    <x:row r="149" ht="36" customHeight="1">
      <x:c r="A149" s="3" t="str">
        <x:v>Nguồn dự án</x:v>
      </x:c>
      <x:c r="B149" s="3" t="str">
        <x:v>backend/src/consultation.ts</x:v>
      </x:c>
      <x:c r="C149" s="3" t="str">
        <x:v>43 dòng. SHA256 snapshot: 1763048e5a36b1816319d30a513f6d02555fb96376267e273033b65a7f517b99</x:v>
      </x:c>
    </x:row>
    <x:row r="150" ht="36" customHeight="1">
      <x:c r="A150" s="3" t="str">
        <x:v>Nguồn dự án</x:v>
      </x:c>
      <x:c r="B150" s="3" t="str">
        <x:v>backend/src/index.ts</x:v>
      </x:c>
      <x:c r="C150" s="3" t="str">
        <x:v>2 dòng. SHA256 snapshot: 0f6d2aa91a6b4aa9016890670355b7c8a4c36e7f8b0cf593c6bafc6b6e4f4e0e</x:v>
      </x:c>
    </x:row>
    <x:row r="151" ht="36" customHeight="1">
      <x:c r="A151" s="3" t="str">
        <x:v>Nguồn dự án</x:v>
      </x:c>
      <x:c r="B151" s="3" t="str">
        <x:v>backend/src/server.ts</x:v>
      </x:c>
      <x:c r="C151" s="3" t="str">
        <x:v>7 dòng. SHA256 snapshot: 499af51465a8360e89225242a196bcedf0c3f18ac06cceef1183ca93cbdffabf</x:v>
      </x:c>
    </x:row>
    <x:row r="152" ht="36" customHeight="1">
      <x:c r="A152" s="3" t="str">
        <x:v>Nguồn dự án</x:v>
      </x:c>
      <x:c r="B152" s="3" t="str">
        <x:v>backend/tests/health.test.mjs</x:v>
      </x:c>
      <x:c r="C152" s="3" t="str">
        <x:v>15 dòng. SHA256 snapshot: f67edcf2653617d697029a5c7fb720003035b8126c6f9b878e9a7896d967995b</x:v>
      </x:c>
    </x:row>
    <x:row r="153" ht="36" customHeight="1">
      <x:c r="A153" s="3" t="str">
        <x:v>Nguồn dự án</x:v>
      </x:c>
      <x:c r="B153" s="3" t="str">
        <x:v>backend/prisma/migrations/20260824000000_foundation/migration.sql</x:v>
      </x:c>
      <x:c r="C153" s="3" t="str">
        <x:v>225 dòng. SHA256 snapshot: ddcf7022a8acb3a8db86aefbc757c0c2a0883ecb31860bd99a063abeaf486851</x:v>
      </x:c>
    </x:row>
    <x:row r="154" ht="36" customHeight="1">
      <x:c r="A154" s="3" t="str">
        <x:v>Nguồn dự án</x:v>
      </x:c>
      <x:c r="B154" s="3" t="str">
        <x:v>backend/prisma/migrations/20260824010000_cms_foundation/migration.sql</x:v>
      </x:c>
      <x:c r="C154" s="3" t="str">
        <x:v>42 dòng. SHA256 snapshot: 9770f18b06ed7d5bcbaeec061c76b387e351a933ba0f23dc6c849a2b4b6367bc</x:v>
      </x:c>
    </x:row>
    <x:row r="155" ht="36" customHeight="1">
      <x:c r="A155" s="3" t="str">
        <x:v>Nguồn dự án</x:v>
      </x:c>
      <x:c r="B155" s="3" t="str">
        <x:v>backend/prisma/migrations/20260825010000_news_research_category/migration.sql</x:v>
      </x:c>
      <x:c r="C155" s="3" t="str">
        <x:v>5 dòng. SHA256 snapshot: e2a471dd9a472166b61dabf16007f2cb87ed145471f76fe190ed7213e8ea8e52</x:v>
      </x:c>
    </x:row>
    <x:row r="156" ht="36" customHeight="1">
      <x:c r="A156" s="3" t="str">
        <x:v>Nguồn dự án</x:v>
      </x:c>
      <x:c r="B156" s="3" t="str">
        <x:v>backend/prisma/migrations/20260826010000_news_author_name/migration.sql</x:v>
      </x:c>
      <x:c r="C156" s="3" t="str">
        <x:v>7 dòng. SHA256 snapshot: 2b7a92e060a88475dc0ac4c844666c05e0dd82aa194ae95c73e9a6db26f31c0c</x:v>
      </x:c>
    </x:row>
    <x:row r="157" ht="36" customHeight="1">
      <x:c r="A157" s="3" t="str">
        <x:v>Nguồn dự án</x:v>
      </x:c>
      <x:c r="B157" s="3" t="str">
        <x:v>backend/prisma/migrations/20260826020000_resource_management/migration.sql</x:v>
      </x:c>
      <x:c r="C157" s="3" t="str">
        <x:v>55 dòng. SHA256 snapshot: 0ce875a1fcc318c59d709720c3be1ccb452018406d54f70ecdbebf4911c061d6</x:v>
      </x:c>
    </x:row>
    <x:row r="158" ht="49" customHeight="1">
      <x:c r="A158" s="3" t="str">
        <x:v>Nguồn dự án</x:v>
      </x:c>
      <x:c r="B158" s="3" t="str">
        <x:v>backend/prisma/migrations/20260831000000_password_reset_and_audit_extensions/migration.sql</x:v>
      </x:c>
      <x:c r="C158" s="3" t="str">
        <x:v>39 dòng. SHA256 snapshot: 69fcfe909e6e4a47a619403f2d9c9b8d521df4c38a4d3e0b1fab18752f28d2cd</x:v>
      </x:c>
    </x:row>
    <x:row r="159" ht="36" customHeight="1">
      <x:c r="A159" s="3" t="str">
        <x:v>Nguồn dự án</x:v>
      </x:c>
      <x:c r="B159" s="3" t="str">
        <x:v>backend/src/config/environment.ts</x:v>
      </x:c>
      <x:c r="C159" s="3" t="str">
        <x:v>19 dòng. SHA256 snapshot: 437f3bd4bd0b9166138b4133499d5853a5737d8ce741e01474118336560c41a6</x:v>
      </x:c>
    </x:row>
    <x:row r="160" ht="36" customHeight="1">
      <x:c r="A160" s="3" t="str">
        <x:v>Nguồn dự án</x:v>
      </x:c>
      <x:c r="B160" s="3" t="str">
        <x:v>backend/src/modules/auth/auth.routes.ts</x:v>
      </x:c>
      <x:c r="C160" s="3" t="str">
        <x:v>31 dòng. SHA256 snapshot: 706a977e5b403fa46ce47ea2e1bf7a472fca07fb94ea8064f4afa2a3cb068cd8</x:v>
      </x:c>
    </x:row>
    <x:row r="161" ht="36" customHeight="1">
      <x:c r="A161" s="3" t="str">
        <x:v>Nguồn dự án</x:v>
      </x:c>
      <x:c r="B161" s="3" t="str">
        <x:v>backend/src/modules/auth/auth.service.ts</x:v>
      </x:c>
      <x:c r="C161" s="3" t="str">
        <x:v>51 dòng. SHA256 snapshot: f333b1183bba2fd2d9fc2d0d7a50ba24996d1bcb2a1015d763b7d210d71570dc</x:v>
      </x:c>
    </x:row>
    <x:row r="162" ht="36" customHeight="1">
      <x:c r="A162" s="3" t="str">
        <x:v>Nguồn dự án</x:v>
      </x:c>
      <x:c r="B162" s="3" t="str">
        <x:v>backend/src/modules/cms/cms.routes.ts</x:v>
      </x:c>
      <x:c r="C162" s="3" t="str">
        <x:v>436 dòng. SHA256 snapshot: 1804fe8f5ae6517203bbb3b843fc13b0faa68c4ad9dac49a4fa0af3af1f026ec</x:v>
      </x:c>
    </x:row>
    <x:row r="163" ht="36" customHeight="1">
      <x:c r="A163" s="3" t="str">
        <x:v>Nguồn dự án</x:v>
      </x:c>
      <x:c r="B163" s="3" t="str">
        <x:v>backend/src/modules/consultations/consultations.routes.ts</x:v>
      </x:c>
      <x:c r="C163" s="3" t="str">
        <x:v>154 dòng. SHA256 snapshot: 389991385cae168c4dc09683ada850fb4ebe59fba606b983db4ded614b8e2c37</x:v>
      </x:c>
    </x:row>
    <x:row r="164" ht="36" customHeight="1">
      <x:c r="A164" s="3" t="str">
        <x:v>Nguồn dự án</x:v>
      </x:c>
      <x:c r="B164" s="3" t="str">
        <x:v>backend/src/shared/database/prisma.ts</x:v>
      </x:c>
      <x:c r="C164" s="3" t="str">
        <x:v>5 dòng. SHA256 snapshot: 8d94a3c1847a31d7f8d82f9940cf9b8056444f3470bc6af27fb9c2bc9c864255</x:v>
      </x:c>
    </x:row>
    <x:row r="165" ht="36" customHeight="1">
      <x:c r="A165" s="3" t="str">
        <x:v>Nguồn dự án</x:v>
      </x:c>
      <x:c r="B165" s="3" t="str">
        <x:v>backend/src/shared/http/response.ts</x:v>
      </x:c>
      <x:c r="C165" s="3" t="str">
        <x:v>10 dòng. SHA256 snapshot: bed24ad8932bf797a1c6e6f213247879c7bb6f4ff962f4259b5808cc07d105dc</x:v>
      </x:c>
    </x:row>
    <x:row r="166" ht="36" customHeight="1">
      <x:c r="A166" s="3" t="str">
        <x:v>Nguồn dự án</x:v>
      </x:c>
      <x:c r="B166" s="3" t="str">
        <x:v>backend/src/shared/storage/minio.ts</x:v>
      </x:c>
      <x:c r="C166" s="3" t="str">
        <x:v>12 dòng. SHA256 snapshot: eaf73423c0728c5ef5b0708f23d0734884d9290f50ff06c95b182d05911725a9</x:v>
      </x:c>
    </x:row>
    <x:row r="167" ht="36" customHeight="1">
      <x:c r="A167" s="3" t="str">
        <x:v>Nguồn dự án</x:v>
      </x:c>
      <x:c r="B167" s="3" t="str">
        <x:v>docs/architecture/project-structure.md</x:v>
      </x:c>
      <x:c r="C167" s="3" t="str">
        <x:v>78 dòng. SHA256 snapshot: d6a9e76c6eb4ac629d7ff74f3996a435f3a126218a8a35b0e6ff47646d1370e6</x:v>
      </x:c>
    </x:row>
    <x:row r="168" ht="36" customHeight="1">
      <x:c r="A168" s="3" t="str">
        <x:v>Nguồn dự án</x:v>
      </x:c>
      <x:c r="B168" s="3" t="str">
        <x:v>docs/ba/README.md</x:v>
      </x:c>
      <x:c r="C168" s="3" t="str">
        <x:v>36 dòng. SHA256 snapshot: 504924cbd696d1b7c75560bf083b9dc8e988f3a4e7170b6eae13176af995839a</x:v>
      </x:c>
    </x:row>
    <x:row r="169" ht="36" customHeight="1">
      <x:c r="A169" s="3" t="str">
        <x:v>Nguồn dự án</x:v>
      </x:c>
      <x:c r="B169" s="3" t="str">
        <x:v>docs/handover/01_SYSTEM_OVERVIEW.md</x:v>
      </x:c>
      <x:c r="C169" s="3" t="str">
        <x:v>91 dòng. SHA256 snapshot: 24094a9524fa8908f75a021f240d3c52b4a210968ad082ad8121e54b6a9efdcf</x:v>
      </x:c>
    </x:row>
    <x:row r="170" ht="36" customHeight="1">
      <x:c r="A170" s="3" t="str">
        <x:v>Nguồn dự án</x:v>
      </x:c>
      <x:c r="B170" s="3" t="str">
        <x:v>docs/handover/02_ARCHITECTURE.md</x:v>
      </x:c>
      <x:c r="C170" s="3" t="str">
        <x:v>102 dòng. SHA256 snapshot: 8d40e327e2a903594cc6894fb5c0e8f2dc52f450f9c8b70e682a82f80e40b809</x:v>
      </x:c>
    </x:row>
    <x:row r="171" ht="36" customHeight="1">
      <x:c r="A171" s="3" t="str">
        <x:v>Nguồn dự án</x:v>
      </x:c>
      <x:c r="B171" s="3" t="str">
        <x:v>docs/handover/03_DEPLOYMENT_GUIDE.md</x:v>
      </x:c>
      <x:c r="C171" s="3" t="str">
        <x:v>184 dòng. SHA256 snapshot: feb84d2ee68a1ec0de9cd3afbb3d2f0a2eee7221d15625da329d88c1374719ae</x:v>
      </x:c>
    </x:row>
    <x:row r="172" ht="36" customHeight="1">
      <x:c r="A172" s="3" t="str">
        <x:v>Nguồn dự án</x:v>
      </x:c>
      <x:c r="B172" s="3" t="str">
        <x:v>docs/handover/04_ENVIRONMENT_VARIABLES.md</x:v>
      </x:c>
      <x:c r="C172" s="3" t="str">
        <x:v>66 dòng. SHA256 snapshot: 4f6237391b4d7d37cf1364e8389ee2f34d6923b26e535b07aec5c0089558ba5e</x:v>
      </x:c>
    </x:row>
    <x:row r="173" ht="36" customHeight="1">
      <x:c r="A173" s="3" t="str">
        <x:v>Nguồn dự án</x:v>
      </x:c>
      <x:c r="B173" s="3" t="str">
        <x:v>docs/handover/05_DATABASE_GUIDE.md</x:v>
      </x:c>
      <x:c r="C173" s="3" t="str">
        <x:v>66 dòng. SHA256 snapshot: f0f1f030c1d513ffa730dd3a14dd051a787537810ceacbed9360829588fce95d</x:v>
      </x:c>
    </x:row>
    <x:row r="174" ht="36" customHeight="1">
      <x:c r="A174" s="3" t="str">
        <x:v>Nguồn dự án</x:v>
      </x:c>
      <x:c r="B174" s="3" t="str">
        <x:v>docs/handover/06_BUILD_AND_RUN.md</x:v>
      </x:c>
      <x:c r="C174" s="3" t="str">
        <x:v>93 dòng. SHA256 snapshot: d049b79b0cf0a5a5999af18c7bac177f792a776f04c931fdd51ff094a8a2e8c1</x:v>
      </x:c>
    </x:row>
    <x:row r="175" ht="36" customHeight="1">
      <x:c r="A175" s="3" t="str">
        <x:v>Nguồn dự án</x:v>
      </x:c>
      <x:c r="B175" s="3" t="str">
        <x:v>docs/handover/07_SERVER_REQUIREMENTS.md</x:v>
      </x:c>
      <x:c r="C175" s="3" t="str">
        <x:v>47 dòng. SHA256 snapshot: f0e5357121311bc7e5bac608ef6575ec7797515b72155ecf54a13454dde675c5</x:v>
      </x:c>
    </x:row>
    <x:row r="176" ht="36" customHeight="1">
      <x:c r="A176" s="3" t="str">
        <x:v>Nguồn dự án</x:v>
      </x:c>
      <x:c r="B176" s="3" t="str">
        <x:v>docs/handover/08_SECURITY_CHECKLIST.md</x:v>
      </x:c>
      <x:c r="C176" s="3" t="str">
        <x:v>45 dòng. SHA256 snapshot: ba3d5500fd27da6b8efcae74ae0142cad238b4ab3af32788cef94d012f1af5a9</x:v>
      </x:c>
    </x:row>
    <x:row r="177" ht="36" customHeight="1">
      <x:c r="A177" s="3" t="str">
        <x:v>Nguồn dự án</x:v>
      </x:c>
      <x:c r="B177" s="3" t="str">
        <x:v>docs/handover/09_BACKUP_AND_RESTORE.md</x:v>
      </x:c>
      <x:c r="C177" s="3" t="str">
        <x:v>110 dòng. SHA256 snapshot: 7924a7ccbb60e990994e6e8d7b039a40fd2303133bcd8c7560d8bbd4f2a857cb</x:v>
      </x:c>
    </x:row>
    <x:row r="178" ht="36" customHeight="1">
      <x:c r="A178" s="3" t="str">
        <x:v>Nguồn dự án</x:v>
      </x:c>
      <x:c r="B178" s="3" t="str">
        <x:v>docs/handover/10_ROLLBACK_GUIDE.md</x:v>
      </x:c>
      <x:c r="C178" s="3" t="str">
        <x:v>74 dòng. SHA256 snapshot: 092ca997ac91ca710a1fcd0961a16403a7354f840513050af7d185beceeea75c</x:v>
      </x:c>
    </x:row>
    <x:row r="179" ht="36" customHeight="1">
      <x:c r="A179" s="3" t="str">
        <x:v>Nguồn dự án</x:v>
      </x:c>
      <x:c r="B179" s="3" t="str">
        <x:v>docs/handover/11_POST_DEPLOY_CHECKLIST.md</x:v>
      </x:c>
      <x:c r="C179" s="3" t="str">
        <x:v>56 dòng. SHA256 snapshot: fd41895a1e4b13f8af7fc8b5674bf35fbedb56cfb8b1d8f8ea98a9c46122b128</x:v>
      </x:c>
    </x:row>
    <x:row r="180" ht="36" customHeight="1">
      <x:c r="A180" s="3" t="str">
        <x:v>Nguồn dự án</x:v>
      </x:c>
      <x:c r="B180" s="3" t="str">
        <x:v>docs/handover/12_TROUBLESHOOTING.md</x:v>
      </x:c>
      <x:c r="C180" s="3" t="str">
        <x:v>89 dòng. SHA256 snapshot: 4916136fe1bbce3086f3ca051038f7238641726660ac85342e82a473cda321d3</x:v>
      </x:c>
    </x:row>
    <x:row r="181" ht="36" customHeight="1">
      <x:c r="A181" s="3" t="str">
        <x:v>Nguồn dự án</x:v>
      </x:c>
      <x:c r="B181" s="3" t="str">
        <x:v>docs/handover/13_KNOWN_ISSUES.md</x:v>
      </x:c>
      <x:c r="C181" s="3" t="str">
        <x:v>19 dòng. SHA256 snapshot: d29a161371ba92e00feb4335e721b20c3822095938286da7d356a6fed8ab7251</x:v>
      </x:c>
    </x:row>
    <x:row r="182" ht="36" customHeight="1">
      <x:c r="A182" s="3" t="str">
        <x:v>Nguồn dự án</x:v>
      </x:c>
      <x:c r="B182" s="3" t="str">
        <x:v>docs/handover/14_IT_HANDOVER_CHECKLIST.md</x:v>
      </x:c>
      <x:c r="C182" s="3" t="str">
        <x:v>60 dòng. SHA256 snapshot: ecdc49717949280a3bc7c520c6e180d90f126ca8afb89b6c04389a28468c5671</x:v>
      </x:c>
    </x:row>
    <x:row r="183" ht="36" customHeight="1">
      <x:c r="A183" s="3" t="str">
        <x:v>Nguồn dự án</x:v>
      </x:c>
      <x:c r="B183" s="3" t="str">
        <x:v>docs/handover/15_RELEASE_NOTES.md</x:v>
      </x:c>
      <x:c r="C183" s="3" t="str">
        <x:v>102 dòng. SHA256 snapshot: 07b0f89308e9437a1982bb53f8f8dd93b74556f112429e4914f133f753860f12</x:v>
      </x:c>
    </x:row>
    <x:row r="184" ht="36" customHeight="1">
      <x:c r="A184" s="3" t="str">
        <x:v>Nguồn dự án</x:v>
      </x:c>
      <x:c r="B184" s="3" t="str">
        <x:v>docs/handover/IT_HANDOVER_SUMMARY.md</x:v>
      </x:c>
      <x:c r="C184" s="3" t="str">
        <x:v>142 dòng. SHA256 snapshot: 17e5836b514946e3523c03f4a6d4d8f48bbef56557bf186a182d4721a41783a6</x:v>
      </x:c>
    </x:row>
    <x:row r="185" ht="36" customHeight="1">
      <x:c r="A185" s="3" t="str">
        <x:v>Nguồn dự án</x:v>
      </x:c>
      <x:c r="B185" s="3" t="str">
        <x:v>docs/ba/03-diagrams/VGG_ACTIVITY-CONSULTATION_v0.1_2026-09-04.mmd</x:v>
      </x:c>
      <x:c r="C185" s="3" t="str">
        <x:v>13 dòng. SHA256 snapshot: 4f89487cb83c203a7e186331e9015860c54df6770f3af314429a26895e7912d0</x:v>
      </x:c>
    </x:row>
    <x:row r="186" ht="36" customHeight="1">
      <x:c r="A186" s="3" t="str">
        <x:v>Nguồn dự án</x:v>
      </x:c>
      <x:c r="B186" s="3" t="str">
        <x:v>docs/ba/03-diagrams/VGG_ERD_v0.1_2026-09-04.mmd</x:v>
      </x:c>
      <x:c r="C186" s="3" t="str">
        <x:v>21 dòng. SHA256 snapshot: 15efcd66a3f3f1487f72fb087a83650d09e590b9743fc9b6393b2726ba253147</x:v>
      </x:c>
    </x:row>
    <x:row r="187" ht="36" customHeight="1">
      <x:c r="A187" s="3" t="str">
        <x:v>Nguồn dự án</x:v>
      </x:c>
      <x:c r="B187" s="3" t="str">
        <x:v>docs/ba/03-diagrams/VGG_USE-CASE_v0.1_2026-09-04.mmd</x:v>
      </x:c>
      <x:c r="C187" s="3" t="str">
        <x:v>15 dòng. SHA256 snapshot: 43c4fc2996a621bcbfcd48c70f4506a1ff247df7b24e77f849be7002f548bfb7</x:v>
      </x:c>
    </x:row>
    <x:row r="188" ht="36" customHeight="1">
      <x:c r="A188" s="3" t="str">
        <x:v>Nguồn dự án</x:v>
      </x:c>
      <x:c r="B188" s="3" t="str">
        <x:v>docs/ba/05-reports/VGG_QA-CHECK_v0.1_2026-09-04.md</x:v>
      </x:c>
      <x:c r="C188" s="3" t="str">
        <x:v>19 dòng. SHA256 snapshot: dae4ffaba476b21972037852cd42cdb8a3ba5b263246f935170f6799b6c65935</x:v>
      </x:c>
    </x:row>
    <x:row r="189" ht="36" customHeight="1">
      <x:c r="A189" s="3" t="str">
        <x:v>Nguồn dự án</x:v>
      </x:c>
      <x:c r="B189" s="3" t="str">
        <x:v>frontend/src/proxy.ts</x:v>
      </x:c>
      <x:c r="C189" s="3" t="str">
        <x:v>26 dòng. SHA256 snapshot: 4ef4b6341ff52baaf4dcad150eccce6054606bbb15f79429d5e0c26f12257907</x:v>
      </x:c>
    </x:row>
    <x:row r="190" ht="36" customHeight="1">
      <x:c r="A190" s="3" t="str">
        <x:v>Nguồn dự án</x:v>
      </x:c>
      <x:c r="B190" s="3" t="str">
        <x:v>frontend/tests/project.test.mjs</x:v>
      </x:c>
      <x:c r="C190" s="3" t="str">
        <x:v>49 dòng. SHA256 snapshot: 7de3b5992609012a1544851fc1f09a9e2f74ca13899ad258ef87a91c4448c38c</x:v>
      </x:c>
    </x:row>
    <x:row r="191" ht="36" customHeight="1">
      <x:c r="A191" s="3" t="str">
        <x:v>Nguồn dự án</x:v>
      </x:c>
      <x:c r="B191" s="3" t="str">
        <x:v>frontend/public/images/pages/README.md</x:v>
      </x:c>
      <x:c r="C191" s="3" t="str">
        <x:v>48 dòng. SHA256 snapshot: 3f1ce0ddccef4eeecd48403547904e07e4a911f2f8871e5fa2bc56ca4438dfa6</x:v>
      </x:c>
    </x:row>
    <x:row r="192" ht="36" customHeight="1">
      <x:c r="A192" s="3" t="str">
        <x:v>Nguồn dự án</x:v>
      </x:c>
      <x:c r="B192" s="3" t="str">
        <x:v>frontend/src/app/globals.css</x:v>
      </x:c>
      <x:c r="C192" s="3" t="str">
        <x:v>8663 dòng. SHA256 snapshot: 8960f43d8a46c73319ddcf34c4c2605f5e1feeb2beed751fd588fcc3ac9dd0e3</x:v>
      </x:c>
    </x:row>
    <x:row r="193" ht="36" customHeight="1">
      <x:c r="A193" s="3" t="str">
        <x:v>Nguồn dự án</x:v>
      </x:c>
      <x:c r="B193" s="3" t="str">
        <x:v>frontend/src/app/home.css</x:v>
      </x:c>
      <x:c r="C193" s="3" t="str">
        <x:v>4873 dòng. SHA256 snapshot: 560c3d2a3581d01295ebaf7003fe31d4a2263840175a8073cea98e552087fb4d</x:v>
      </x:c>
    </x:row>
    <x:row r="194" ht="36" customHeight="1">
      <x:c r="A194" s="3" t="str">
        <x:v>Nguồn dự án</x:v>
      </x:c>
      <x:c r="B194" s="3" t="str">
        <x:v>frontend/src/app/layout.tsx</x:v>
      </x:c>
      <x:c r="C194" s="3" t="str">
        <x:v>100 dòng. SHA256 snapshot: 48e08d7e8f3c09dff0b1b6148b3abb4c2a419e002cb1120e2bd615a66d0676ef</x:v>
      </x:c>
    </x:row>
    <x:row r="195" ht="36" customHeight="1">
      <x:c r="A195" s="3" t="str">
        <x:v>Nguồn dự án</x:v>
      </x:c>
      <x:c r="B195" s="3" t="str">
        <x:v>frontend/src/app/not-found.tsx</x:v>
      </x:c>
      <x:c r="C195" s="3" t="str">
        <x:v>20 dòng. SHA256 snapshot: f1b6ead9aad54b4e90629abfbae5742f47f0b458c9ddf0ff670bdcc97ff2ea1e</x:v>
      </x:c>
    </x:row>
    <x:row r="196" ht="36" customHeight="1">
      <x:c r="A196" s="3" t="str">
        <x:v>Nguồn dự án</x:v>
      </x:c>
      <x:c r="B196" s="3" t="str">
        <x:v>frontend/src/app/robots.ts</x:v>
      </x:c>
      <x:c r="C196" s="3" t="str">
        <x:v>8 dòng. SHA256 snapshot: 447b04f34d91d1f50846cb63c25f3ef4b1eb37899ccf656aecf01a49d9cdb051</x:v>
      </x:c>
    </x:row>
    <x:row r="197" ht="36" customHeight="1">
      <x:c r="A197" s="3" t="str">
        <x:v>Nguồn dự án</x:v>
      </x:c>
      <x:c r="B197" s="3" t="str">
        <x:v>frontend/src/app/sitemap.ts</x:v>
      </x:c>
      <x:c r="C197" s="3" t="str">
        <x:v>21 dòng. SHA256 snapshot: 9c8439ec97ee94891141af5124fda57e1a682a79887cb92daf7751e6cf47d628</x:v>
      </x:c>
    </x:row>
    <x:row r="198" ht="36" customHeight="1">
      <x:c r="A198" s="3" t="str">
        <x:v>Nguồn dự án</x:v>
      </x:c>
      <x:c r="B198" s="3" t="str">
        <x:v>frontend/src/data/curricula.ts</x:v>
      </x:c>
      <x:c r="C198" s="3" t="str">
        <x:v>2635 dòng. SHA256 snapshot: c374ee9744c39c9834cf24ede7e8e995c4e8af17de8f25e687a6568cdc791f42</x:v>
      </x:c>
    </x:row>
    <x:row r="199" ht="36" customHeight="1">
      <x:c r="A199" s="3" t="str">
        <x:v>Nguồn dự án</x:v>
      </x:c>
      <x:c r="B199" s="3" t="str">
        <x:v>frontend/src/data/programmes.ts</x:v>
      </x:c>
      <x:c r="C199" s="3" t="str">
        <x:v>605 dòng. SHA256 snapshot: 60b2c73fc033fa9313b99db6f234e95afcd8e48945617b5b793aab1f6da61bb8</x:v>
      </x:c>
    </x:row>
    <x:row r="200" ht="36" customHeight="1">
      <x:c r="A200" s="3" t="str">
        <x:v>Nguồn dự án</x:v>
      </x:c>
      <x:c r="B200" s="3" t="str">
        <x:v>frontend/src/data/research.ts</x:v>
      </x:c>
      <x:c r="C200" s="3" t="str">
        <x:v>259 dòng. SHA256 snapshot: c97e13ee7c966577af2bc8e89ee719763e6e5270183c56c5c9245e586e3a9afb</x:v>
      </x:c>
    </x:row>
    <x:row r="201" ht="36" customHeight="1">
      <x:c r="A201" s="3" t="str">
        <x:v>Nguồn dự án</x:v>
      </x:c>
      <x:c r="B201" s="3" t="str">
        <x:v>frontend/src/data/site.ts</x:v>
      </x:c>
      <x:c r="C201" s="3" t="str">
        <x:v>428 dòng. SHA256 snapshot: 7037a87aca9e57d2cbbbf241d4e711e801cd2dfe4088e2834518d77f91076ee9</x:v>
      </x:c>
    </x:row>
    <x:row r="202" ht="36" customHeight="1">
      <x:c r="A202" s="3" t="str">
        <x:v>Nguồn dự án</x:v>
      </x:c>
      <x:c r="B202" s="3" t="str">
        <x:v>frontend/src/lib/i18n.ts</x:v>
      </x:c>
      <x:c r="C202" s="3" t="str">
        <x:v>19 dòng. SHA256 snapshot: bc750690cee082886458e672c514a5b20c2f3851b6c00948c7ca16fe5ce08586</x:v>
      </x:c>
    </x:row>
    <x:row r="203" ht="36" customHeight="1">
      <x:c r="A203" s="3" t="str">
        <x:v>Nguồn dự án</x:v>
      </x:c>
      <x:c r="B203" s="3" t="str">
        <x:v>frontend/src/lib/serverLocale.ts</x:v>
      </x:c>
      <x:c r="C203" s="3" t="str">
        <x:v>10 dòng. SHA256 snapshot: 4a637d7d7fc23b62be2aa7648d193eb015276dad4b695997a9dc094c15c766d6</x:v>
      </x:c>
    </x:row>
    <x:row r="204" ht="36" customHeight="1">
      <x:c r="A204" s="3" t="str">
        <x:v>Nguồn dự án</x:v>
      </x:c>
      <x:c r="B204" s="3" t="str">
        <x:v>frontend/src/messages/en.json</x:v>
      </x:c>
      <x:c r="C204" s="3" t="str">
        <x:v>45 dòng. SHA256 snapshot: a8e2cfcc848e7c37542ce15e4863f57fa09dabcb73a355611b1a1e734ef32e69</x:v>
      </x:c>
    </x:row>
    <x:row r="205" ht="36" customHeight="1">
      <x:c r="A205" s="3" t="str">
        <x:v>Nguồn dự án</x:v>
      </x:c>
      <x:c r="B205" s="3" t="str">
        <x:v>frontend/src/messages/vi.json</x:v>
      </x:c>
      <x:c r="C205" s="3" t="str">
        <x:v>45 dòng. SHA256 snapshot: b5bd10ee1f6f0f4c758909d9cefb07a15511d7cb8ce0f1bcb1fb7c11664df57c</x:v>
      </x:c>
    </x:row>
    <x:row r="206" ht="36" customHeight="1">
      <x:c r="A206" s="3" t="str">
        <x:v>Nguồn dự án</x:v>
      </x:c>
      <x:c r="B206" s="3" t="str">
        <x:v>frontend/src/app/(public)/page.tsx</x:v>
      </x:c>
      <x:c r="C206" s="3" t="str">
        <x:v>41 dòng. SHA256 snapshot: 2c5e25e73ddb0e59268bf610ca88afce020f1ef9c11bdfc3af036e40eb664928</x:v>
      </x:c>
    </x:row>
    <x:row r="207" ht="36" customHeight="1">
      <x:c r="A207" s="3" t="str">
        <x:v>Nguồn dự án</x:v>
      </x:c>
      <x:c r="B207" s="3" t="str">
        <x:v>frontend/src/app/(public)/admissions/AdmissionsPage.module.css</x:v>
      </x:c>
      <x:c r="C207" s="3" t="str">
        <x:v>731 dòng. SHA256 snapshot: 8235cd45687c2363e60d42691b4321e5eb0840d89d8efa21788414ee8763d03c</x:v>
      </x:c>
    </x:row>
    <x:row r="208" ht="36" customHeight="1">
      <x:c r="A208" s="3" t="str">
        <x:v>Nguồn dự án</x:v>
      </x:c>
      <x:c r="B208" s="3" t="str">
        <x:v>frontend/src/app/(public)/admissions/page.tsx</x:v>
      </x:c>
      <x:c r="C208" s="3" t="str">
        <x:v>223 dòng. SHA256 snapshot: 6eda6572b2fd4c7ad92442ae543d19c0832a9e4fca1f31cbfb5e007ce7c2a62e</x:v>
      </x:c>
    </x:row>
    <x:row r="209" ht="36" customHeight="1">
      <x:c r="A209" s="3" t="str">
        <x:v>Nguồn dự án</x:v>
      </x:c>
      <x:c r="B209" s="3" t="str">
        <x:v>frontend/src/app/(public)/discover/page.tsx</x:v>
      </x:c>
      <x:c r="C209" s="3" t="str">
        <x:v>140 dòng. SHA256 snapshot: 979d924157de18409f7711b27cac4896f3339d3169fc0bd30e6654ed2dd68a73</x:v>
      </x:c>
    </x:row>
    <x:row r="210" ht="36" customHeight="1">
      <x:c r="A210" s="3" t="str">
        <x:v>Nguồn dự án</x:v>
      </x:c>
      <x:c r="B210" s="3" t="str">
        <x:v>frontend/src/app/(public)/global/page.tsx</x:v>
      </x:c>
      <x:c r="C210" s="3" t="str">
        <x:v>7 dòng. SHA256 snapshot: 7442acfe096897c3469181cb962b0c358a5897087b308c7d57fa5a7651976d16</x:v>
      </x:c>
    </x:row>
    <x:row r="211" ht="36" customHeight="1">
      <x:c r="A211" s="3" t="str">
        <x:v>Nguồn dự án</x:v>
      </x:c>
      <x:c r="B211" s="3" t="str">
        <x:v>frontend/src/app/(public)/news/page.tsx</x:v>
      </x:c>
      <x:c r="C211" s="3" t="str">
        <x:v>33 dòng. SHA256 snapshot: 98418e9150b92a7a57eb8567e857bf7dff6afd73f33d667a68386289e9de5ba0</x:v>
      </x:c>
    </x:row>
    <x:row r="212" ht="36" customHeight="1">
      <x:c r="A212" s="3" t="str">
        <x:v>Nguồn dự án</x:v>
      </x:c>
      <x:c r="B212" s="3" t="str">
        <x:v>frontend/src/app/(public)/programmes/page.tsx</x:v>
      </x:c>
      <x:c r="C212" s="3" t="str">
        <x:v>8 dòng. SHA256 snapshot: 7ed5618c5b71d6edc978e5dcd48cc6e4b7df9d3a75bdc68b0fcefaeba9dba85a</x:v>
      </x:c>
    </x:row>
    <x:row r="213" ht="36" customHeight="1">
      <x:c r="A213" s="3" t="str">
        <x:v>Nguồn dự án</x:v>
      </x:c>
      <x:c r="B213" s="3" t="str">
        <x:v>frontend/src/app/(public)/research/page.tsx</x:v>
      </x:c>
      <x:c r="C213" s="3" t="str">
        <x:v>8 dòng. SHA256 snapshot: aa4c6514c08d3467990a2b90bbe053303d24f687fa6033bd8f230a942e2d045b</x:v>
      </x:c>
    </x:row>
    <x:row r="214" ht="36" customHeight="1">
      <x:c r="A214" s="3" t="str">
        <x:v>Nguồn dự án</x:v>
      </x:c>
      <x:c r="B214" s="3" t="str">
        <x:v>frontend/src/app/(public)/resources/page.tsx</x:v>
      </x:c>
      <x:c r="C214" s="3" t="str">
        <x:v>10 dòng. SHA256 snapshot: b4bb7122d8875bb231f88d933b6662619121bfab2475cfbb90007009d0cfa940</x:v>
      </x:c>
    </x:row>
    <x:row r="215" ht="36" customHeight="1">
      <x:c r="A215" s="3" t="str">
        <x:v>Nguồn dự án</x:v>
      </x:c>
      <x:c r="B215" s="3" t="str">
        <x:v>frontend/src/app/(public)/student-success/page.tsx</x:v>
      </x:c>
      <x:c r="C215" s="3" t="str">
        <x:v>27 dòng. SHA256 snapshot: f63b61deda06853c943c79c26c429c7e78c2fdd18b009172a4dccc6455a93e7e</x:v>
      </x:c>
    </x:row>
    <x:row r="216" ht="36" customHeight="1">
      <x:c r="A216" s="3" t="str">
        <x:v>Nguồn dự án</x:v>
      </x:c>
      <x:c r="B216" s="3" t="str">
        <x:v>frontend/src/app/(public)/student-success/StudentSuccessPage.module.css</x:v>
      </x:c>
      <x:c r="C216" s="3" t="str">
        <x:v>439 dòng. SHA256 snapshot: 77ee30f857bdc95aacdcce084a143c8df0a49dfe0a20ec474f9bd2118b56353d</x:v>
      </x:c>
    </x:row>
    <x:row r="217" ht="36" customHeight="1">
      <x:c r="A217" s="3" t="str">
        <x:v>Nguồn dự án</x:v>
      </x:c>
      <x:c r="B217" s="3" t="str">
        <x:v>frontend/src/app/(public)/admissions/[slug]/page.tsx</x:v>
      </x:c>
      <x:c r="C217" s="3" t="str">
        <x:v>7 dòng. SHA256 snapshot: 4f11f16b0ce7068e9d56f23b6d47451e44b8f1b8f7d814a30308e1e9ab78c916</x:v>
      </x:c>
    </x:row>
    <x:row r="218" ht="36" customHeight="1">
      <x:c r="A218" s="3" t="str">
        <x:v>Nguồn dự án</x:v>
      </x:c>
      <x:c r="B218" s="3" t="str">
        <x:v>frontend/src/app/(public)/discover/[slug]/page.tsx</x:v>
      </x:c>
      <x:c r="C218" s="3" t="str">
        <x:v>138 dòng. SHA256 snapshot: a58395192f425a8da23b44daf665128a44e85a73e256681b48691998419f135a</x:v>
      </x:c>
    </x:row>
    <x:row r="219" ht="36" customHeight="1">
      <x:c r="A219" s="3" t="str">
        <x:v>Nguồn dự án</x:v>
      </x:c>
      <x:c r="B219" s="3" t="str">
        <x:v>frontend/src/app/(public)/global/[slug]/page.tsx</x:v>
      </x:c>
      <x:c r="C219" s="3" t="str">
        <x:v>6 dòng. SHA256 snapshot: 991aa94471fcda2315f0de8668b8626f03e6f68bdb5bf17bf427ec85b2caa0a8</x:v>
      </x:c>
    </x:row>
    <x:row r="220" ht="36" customHeight="1">
      <x:c r="A220" s="3" t="str">
        <x:v>Nguồn dự án</x:v>
      </x:c>
      <x:c r="B220" s="3" t="str">
        <x:v>frontend/src/app/(public)/news/[slug]/page.tsx</x:v>
      </x:c>
      <x:c r="C220" s="3" t="str">
        <x:v>118 dòng. SHA256 snapshot: fcdfb9827d13698302c66208a9156f9945634c74ec880df2fcb3f61de415ebff</x:v>
      </x:c>
    </x:row>
    <x:row r="221" ht="36" customHeight="1">
      <x:c r="A221" s="3" t="str">
        <x:v>Nguồn dự án</x:v>
      </x:c>
      <x:c r="B221" s="3" t="str">
        <x:v>frontend/src/app/(public)/programmes/[slug]/page.tsx</x:v>
      </x:c>
      <x:c r="C221" s="3" t="str">
        <x:v>6 dòng. SHA256 snapshot: 3affd173a53b1573fed86d435e80af165efd6afc6432718ffbc97a9b57514013</x:v>
      </x:c>
    </x:row>
    <x:row r="222" ht="36" customHeight="1">
      <x:c r="A222" s="3" t="str">
        <x:v>Nguồn dự án</x:v>
      </x:c>
      <x:c r="B222" s="3" t="str">
        <x:v>frontend/src/app/(public)/research/[slug]/page.tsx</x:v>
      </x:c>
      <x:c r="C222" s="3" t="str">
        <x:v>7 dòng. SHA256 snapshot: 89543e8b15725ce01d9224af2b6980ca8f380458c1f6ab2fd44cee48f2c5fb08</x:v>
      </x:c>
    </x:row>
    <x:row r="223" ht="36" customHeight="1">
      <x:c r="A223" s="3" t="str">
        <x:v>Nguồn dự án</x:v>
      </x:c>
      <x:c r="B223" s="3" t="str">
        <x:v>frontend/src/app/(public)/resources/[slug]/page.tsx</x:v>
      </x:c>
      <x:c r="C223" s="3" t="str">
        <x:v>6 dòng. SHA256 snapshot: 0643bdf568d5660dd60f2c192ec8feef554e533dc24b2987e6676e36dd86c03b</x:v>
      </x:c>
    </x:row>
    <x:row r="224" ht="36" customHeight="1">
      <x:c r="A224" s="3" t="str">
        <x:v>Nguồn dự án</x:v>
      </x:c>
      <x:c r="B224" s="3" t="str">
        <x:v>frontend/src/app/(public)/student-success/[slug]/page.tsx</x:v>
      </x:c>
      <x:c r="C224" s="3" t="str">
        <x:v>6 dòng. SHA256 snapshot: d1928d06a9be3379691a40bd7d4ec5d524af3adc7cef3a4f096563654e6b5d04</x:v>
      </x:c>
    </x:row>
    <x:row r="225" ht="36" customHeight="1">
      <x:c r="A225" s="3" t="str">
        <x:v>Nguồn dự án</x:v>
      </x:c>
      <x:c r="B225" s="3" t="str">
        <x:v>frontend/src/app/api/consultations/route.ts</x:v>
      </x:c>
      <x:c r="C225" s="3" t="str">
        <x:v>19 dòng. SHA256 snapshot: b1bde1c8c6f6ebc7236f3e6a4f211184b38780ba4383f3921ec0b7c324eccada</x:v>
      </x:c>
    </x:row>
    <x:row r="226" ht="36" customHeight="1">
      <x:c r="A226" s="3" t="str">
        <x:v>Nguồn dự án</x:v>
      </x:c>
      <x:c r="B226" s="3" t="str">
        <x:v>frontend/src/app/api/analytics/visit/route.ts</x:v>
      </x:c>
      <x:c r="C226" s="3" t="str">
        <x:v>26 dòng. SHA256 snapshot: 1d5e782d307663a1e2ccdc62dc828c4b2dc6ac36f5644f14033a49e0f86cc897</x:v>
      </x:c>
    </x:row>
    <x:row r="227" ht="36" customHeight="1">
      <x:c r="A227" s="3" t="str">
        <x:v>Nguồn dự án</x:v>
      </x:c>
      <x:c r="B227" s="3" t="str">
        <x:v>frontend/src/app/api/media/[...path]/route.ts</x:v>
      </x:c>
      <x:c r="C227" s="3" t="str">
        <x:v>18 dòng. SHA256 snapshot: dbb7e2d2cfebdb01c592d1675198600343159295d7eb2ef4d8dfa1a282649665</x:v>
      </x:c>
    </x:row>
    <x:row r="228" ht="36" customHeight="1">
      <x:c r="A228" s="3" t="str">
        <x:v>Nguồn dự án</x:v>
      </x:c>
      <x:c r="B228" s="3" t="str">
        <x:v>frontend/src/app/api/resources/file/route.ts</x:v>
      </x:c>
      <x:c r="C228" s="3" t="str">
        <x:v>51 dòng. SHA256 snapshot: 0a70094f7e67d77f0cf8e3b086a1f4bd23b0b47508927337078814628abf08e5</x:v>
      </x:c>
    </x:row>
    <x:row r="229" ht="36" customHeight="1">
      <x:c r="A229" s="3" t="str">
        <x:v>Nguồn dự án</x:v>
      </x:c>
      <x:c r="B229" s="3" t="str">
        <x:v>frontend/src/features/news/data.ts</x:v>
      </x:c>
      <x:c r="C229" s="3" t="str">
        <x:v>101 dòng. SHA256 snapshot: 59ed812319b334ff696c5b13fa43a2bf3a65bdfcc692f1b4f77b64e504007fed</x:v>
      </x:c>
    </x:row>
    <x:row r="230" ht="36" customHeight="1">
      <x:c r="A230" s="3" t="str">
        <x:v>Nguồn dự án</x:v>
      </x:c>
      <x:c r="B230" s="3" t="str">
        <x:v>frontend/src/features/news/demo-posts.ts</x:v>
      </x:c>
      <x:c r="C230" s="3" t="str">
        <x:v>58 dòng. SHA256 snapshot: e0d2c835242b88bbfa4e9b0f93ddb5fdee03fbb3c80271f86385e90cc18fe51d</x:v>
      </x:c>
    </x:row>
    <x:row r="231" ht="36" customHeight="1">
      <x:c r="A231" s="3" t="str">
        <x:v>Nguồn dự án</x:v>
      </x:c>
      <x:c r="B231" s="3" t="str">
        <x:v>frontend/src/features/resources/data.ts</x:v>
      </x:c>
      <x:c r="C231" s="3" t="str">
        <x:v>46 dòng. SHA256 snapshot: 108cd50f314da20acb7f21d64acb54136ce81c9663b3a58bb812a8c0dd8264cf</x:v>
      </x:c>
    </x:row>
    <x:row r="232" ht="36" customHeight="1">
      <x:c r="A232" s="3" t="str">
        <x:v>Nguồn dự án</x:v>
      </x:c>
      <x:c r="B232" s="3" t="str">
        <x:v>frontend/src/features/resources/demo-resources.ts</x:v>
      </x:c>
      <x:c r="C232" s="3" t="str">
        <x:v>85 dòng. SHA256 snapshot: 2b362e294a62e65c509b3b06791ea51d665701e6c0c092d5f333a0edea8310c4</x:v>
      </x:c>
    </x:row>
    <x:row r="233" ht="36" customHeight="1">
      <x:c r="A233" s="3" t="str">
        <x:v>Nguồn dự án</x:v>
      </x:c>
      <x:c r="B233" s="3" t="str">
        <x:v>frontend/src/features/admissions/components/AdmissionsMore.tsx</x:v>
      </x:c>
      <x:c r="C233" s="3" t="str">
        <x:v>52 dòng. SHA256 snapshot: 6c17e31d3277ae523af2c4de2e5ac9622e2f57e894801756c32298e42c657689</x:v>
      </x:c>
    </x:row>
    <x:row r="234" ht="36" customHeight="1">
      <x:c r="A234" s="3" t="str">
        <x:v>Nguồn dự án</x:v>
      </x:c>
      <x:c r="B234" s="3" t="str">
        <x:v>frontend/src/features/admissions/components/AdmissionsSubpage.module.css</x:v>
      </x:c>
      <x:c r="C234" s="3" t="str">
        <x:v>911 dòng. SHA256 snapshot: f5bd3f2422426368acb6e394c520157ea565f2c7766f39582bbe00c72b021e1e</x:v>
      </x:c>
    </x:row>
    <x:row r="235" ht="36" customHeight="1">
      <x:c r="A235" s="3" t="str">
        <x:v>Nguồn dự án</x:v>
      </x:c>
      <x:c r="B235" s="3" t="str">
        <x:v>frontend/src/features/admissions/components/AdmissionsSubpage.tsx</x:v>
      </x:c>
      <x:c r="C235" s="3" t="str">
        <x:v>241 dòng. SHA256 snapshot: 66e16a196d517684dee0718d2c0033d0b5d806147db58656feaba40cfeb5cfee</x:v>
      </x:c>
    </x:row>
    <x:row r="236" ht="36" customHeight="1">
      <x:c r="A236" s="3" t="str">
        <x:v>Nguồn dự án</x:v>
      </x:c>
      <x:c r="B236" s="3" t="str">
        <x:v>frontend/src/features/admissions/components/ApplicationProcess.module.css</x:v>
      </x:c>
      <x:c r="C236" s="3" t="str">
        <x:v>281 dòng. SHA256 snapshot: 79c2156bb7c43bb324ef8d5f6b92fe529d0bb2ac3dcfafaf40cd7782ee6453e4</x:v>
      </x:c>
    </x:row>
    <x:row r="237" ht="36" customHeight="1">
      <x:c r="A237" s="3" t="str">
        <x:v>Nguồn dự án</x:v>
      </x:c>
      <x:c r="B237" s="3" t="str">
        <x:v>frontend/src/features/admissions/components/ApplicationProcess.tsx</x:v>
      </x:c>
      <x:c r="C237" s="3" t="str">
        <x:v>116 dòng. SHA256 snapshot: 708845dfb67684e8b18ff8b82e5d0fb102494e92f994d3c09dec035d389a2910</x:v>
      </x:c>
    </x:row>
    <x:row r="238" ht="36" customHeight="1">
      <x:c r="A238" s="3" t="str">
        <x:v>Nguồn dự án</x:v>
      </x:c>
      <x:c r="B238" s="3" t="str">
        <x:v>frontend/src/features/admissions/components/ScholarshipsPage.module.css</x:v>
      </x:c>
      <x:c r="C238" s="3" t="str">
        <x:v>557 dòng. SHA256 snapshot: 0e842775aa9b6efa56f2bf93c1cc7b28259d504c20ff78e50bfb4e09a402dca4</x:v>
      </x:c>
    </x:row>
    <x:row r="239" ht="36" customHeight="1">
      <x:c r="A239" s="3" t="str">
        <x:v>Nguồn dự án</x:v>
      </x:c>
      <x:c r="B239" s="3" t="str">
        <x:v>frontend/src/features/admissions/components/ScholarshipsPage.tsx</x:v>
      </x:c>
      <x:c r="C239" s="3" t="str">
        <x:v>224 dòng. SHA256 snapshot: 67b2175bb49bf3fd608354846698eebb3a05f1bbe1df82382e53ae64dea5e3a5</x:v>
      </x:c>
    </x:row>
    <x:row r="240" ht="36" customHeight="1">
      <x:c r="A240" s="3" t="str">
        <x:v>Nguồn dự án</x:v>
      </x:c>
      <x:c r="B240" s="3" t="str">
        <x:v>frontend/src/features/content/components/CmsPublishedItems.tsx</x:v>
      </x:c>
      <x:c r="C240" s="3" t="str">
        <x:v>36 dòng. SHA256 snapshot: ef13fabd7a896b2e77d94a9c1d6898c4db9dd6f25acffe711fd406e18052f300</x:v>
      </x:c>
    </x:row>
    <x:row r="241" ht="36" customHeight="1">
      <x:c r="A241" s="3" t="str">
        <x:v>Nguồn dự án</x:v>
      </x:c>
      <x:c r="B241" s="3" t="str">
        <x:v>frontend/src/features/content/components/NextStepCTA.tsx</x:v>
      </x:c>
      <x:c r="C241" s="3" t="str">
        <x:v>9 dòng. SHA256 snapshot: 1b8eef5edc26dfeccd0782f7ca96226945af1e10666283012435bde323846552</x:v>
      </x:c>
    </x:row>
    <x:row r="242" ht="36" customHeight="1">
      <x:c r="A242" s="3" t="str">
        <x:v>Nguồn dự án</x:v>
      </x:c>
      <x:c r="B242" s="3" t="str">
        <x:v>frontend/src/features/content/components/SectionPages.tsx</x:v>
      </x:c>
      <x:c r="C242" s="3" t="str">
        <x:v>153 dòng. SHA256 snapshot: 9bd8d3f552942fcbc179697206a802fda36afa1f1c1c710ea9f973a97d6e7de5</x:v>
      </x:c>
    </x:row>
    <x:row r="243" ht="36" customHeight="1">
      <x:c r="A243" s="3" t="str">
        <x:v>Nguồn dự án</x:v>
      </x:c>
      <x:c r="B243" s="3" t="str">
        <x:v>frontend/src/features/content/components/SubpageDetail.tsx</x:v>
      </x:c>
      <x:c r="C243" s="3" t="str">
        <x:v>58 dòng. SHA256 snapshot: 9bc7815bfb808de5e24dfbeab00b8e4e619857a3254180df6fd7855ad8caf90e</x:v>
      </x:c>
    </x:row>
    <x:row r="244" ht="36" customHeight="1">
      <x:c r="A244" s="3" t="str">
        <x:v>Nguồn dự án</x:v>
      </x:c>
      <x:c r="B244" s="3" t="str">
        <x:v>frontend/src/features/discover/components/AboutIntroduction.module.css</x:v>
      </x:c>
      <x:c r="C244" s="3" t="str">
        <x:v>653 dòng. SHA256 snapshot: b9b16f654c2eafd7f1152f8fc0d100030bb9ac973d0b9cea6e04a876460fcdeb</x:v>
      </x:c>
    </x:row>
    <x:row r="245" ht="36" customHeight="1">
      <x:c r="A245" s="3" t="str">
        <x:v>Nguồn dự án</x:v>
      </x:c>
      <x:c r="B245" s="3" t="str">
        <x:v>frontend/src/features/discover/components/AboutIntroduction.tsx</x:v>
      </x:c>
      <x:c r="C245" s="3" t="str">
        <x:v>135 dòng. SHA256 snapshot: 6745f343ce277525e2cee4bfb5f4f6a0ce5633748ce6bb9c99714633c4a74214</x:v>
      </x:c>
    </x:row>
    <x:row r="246" ht="36" customHeight="1">
      <x:c r="A246" s="3" t="str">
        <x:v>Nguồn dự án</x:v>
      </x:c>
      <x:c r="B246" s="3" t="str">
        <x:v>frontend/src/features/discover/components/ContactPage.module.css</x:v>
      </x:c>
      <x:c r="C246" s="3" t="str">
        <x:v>318 dòng. SHA256 snapshot: c11ae9ba066d37ed93f0571cb5a954337b1131abfd2fa9e76ed7c761a6f5537b</x:v>
      </x:c>
    </x:row>
    <x:row r="247" ht="36" customHeight="1">
      <x:c r="A247" s="3" t="str">
        <x:v>Nguồn dự án</x:v>
      </x:c>
      <x:c r="B247" s="3" t="str">
        <x:v>frontend/src/features/discover/components/ContactPage.tsx</x:v>
      </x:c>
      <x:c r="C247" s="3" t="str">
        <x:v>96 dòng. SHA256 snapshot: b8ac790eecc0b18cde5b97c30fab3e57e43be154e8116689ed9a349d63888017</x:v>
      </x:c>
    </x:row>
    <x:row r="248" ht="36" customHeight="1">
      <x:c r="A248" s="3" t="str">
        <x:v>Nguồn dự án</x:v>
      </x:c>
      <x:c r="B248" s="3" t="str">
        <x:v>frontend/src/features/discover/components/DiscoverMore.tsx</x:v>
      </x:c>
      <x:c r="C248" s="3" t="str">
        <x:v>27 dòng. SHA256 snapshot: efdad132d510838205ed37420a9032eb39f71f53ab7b795722f067bdd0b7664c</x:v>
      </x:c>
    </x:row>
    <x:row r="249" ht="36" customHeight="1">
      <x:c r="A249" s="3" t="str">
        <x:v>Nguồn dự án</x:v>
      </x:c>
      <x:c r="B249" s="3" t="str">
        <x:v>frontend/src/features/discover/components/DiscoverSubpageVM.module.css</x:v>
      </x:c>
      <x:c r="C249" s="3" t="str">
        <x:v>1059 dòng. SHA256 snapshot: 1caa4e231580d5b920fda8f448855253d1f586218cb2c36e9b238804c8be71b6</x:v>
      </x:c>
    </x:row>
    <x:row r="250" ht="36" customHeight="1">
      <x:c r="A250" s="3" t="str">
        <x:v>Nguồn dự án</x:v>
      </x:c>
      <x:c r="B250" s="3" t="str">
        <x:v>frontend/src/features/discover/components/DiscoverSubpageVM.tsx</x:v>
      </x:c>
      <x:c r="C250" s="3" t="str">
        <x:v>339 dòng. SHA256 snapshot: 6885cac3ef73a47e47c804b7b1df800738b1cd9c2ad2505978d9012c4b697670</x:v>
      </x:c>
    </x:row>
    <x:row r="251" ht="36" customHeight="1">
      <x:c r="A251" s="3" t="str">
        <x:v>Nguồn dự án</x:v>
      </x:c>
      <x:c r="B251" s="3" t="str">
        <x:v>frontend/src/features/discover/components/LeadershipFloatingGuard.tsx</x:v>
      </x:c>
      <x:c r="C251" s="3" t="str">
        <x:v>25 dòng. SHA256 snapshot: 32d01c763b70e4e4d49239e6e15c95fc4120e7149dbf8cfc7fd941a243c85213</x:v>
      </x:c>
    </x:row>
    <x:row r="252" ht="36" customHeight="1">
      <x:c r="A252" s="3" t="str">
        <x:v>Nguồn dự án</x:v>
      </x:c>
      <x:c r="B252" s="3" t="str">
        <x:v>frontend/src/features/discover/components/LeadershipPage.module.css</x:v>
      </x:c>
      <x:c r="C252" s="3" t="str">
        <x:v>320 dòng. SHA256 snapshot: 45ac9bc1390131744efe048b5e8441fd8463b40f51c2fe6c9abae6f04e653ace</x:v>
      </x:c>
    </x:row>
    <x:row r="253" ht="36" customHeight="1">
      <x:c r="A253" s="3" t="str">
        <x:v>Nguồn dự án</x:v>
      </x:c>
      <x:c r="B253" s="3" t="str">
        <x:v>frontend/src/features/discover/components/LeadershipPage.tsx</x:v>
      </x:c>
      <x:c r="C253" s="3" t="str">
        <x:v>167 dòng. SHA256 snapshot: 60b124f5d0750d136cc59813b9d97a8d0c5d0c0454f2744df58b186e1ce88d0d</x:v>
      </x:c>
    </x:row>
    <x:row r="254" ht="36" customHeight="1">
      <x:c r="A254" s="3" t="str">
        <x:v>Nguồn dự án</x:v>
      </x:c>
      <x:c r="B254" s="3" t="str">
        <x:v>frontend/src/features/discover/components/VisionMissionPage.module.css</x:v>
      </x:c>
      <x:c r="C254" s="3" t="str">
        <x:v>796 dòng. SHA256 snapshot: c7e590bd7989a33fe6b6fcf8c49d6e603b86f07002f7c188d0ca367d57747979</x:v>
      </x:c>
    </x:row>
    <x:row r="255" ht="36" customHeight="1">
      <x:c r="A255" s="3" t="str">
        <x:v>Nguồn dự án</x:v>
      </x:c>
      <x:c r="B255" s="3" t="str">
        <x:v>frontend/src/features/discover/components/VisionMissionPage.tsx</x:v>
      </x:c>
      <x:c r="C255" s="3" t="str">
        <x:v>64 dòng. SHA256 snapshot: 56e275cb29dd405100e6f58bd4db9df8977464a7a221ddead36e4eda69c33884</x:v>
      </x:c>
    </x:row>
    <x:row r="256" ht="36" customHeight="1">
      <x:c r="A256" s="3" t="str">
        <x:v>Nguồn dự án</x:v>
      </x:c>
      <x:c r="B256" s="3" t="str">
        <x:v>frontend/src/features/discover/components/WhyChooseSection.module.css</x:v>
      </x:c>
      <x:c r="C256" s="3" t="str">
        <x:v>407 dòng. SHA256 snapshot: f67fc847a3ceab84c66a81cbfa8899e4f23645df46655c91f318dd3b04413aee</x:v>
      </x:c>
    </x:row>
    <x:row r="257" ht="36" customHeight="1">
      <x:c r="A257" s="3" t="str">
        <x:v>Nguồn dự án</x:v>
      </x:c>
      <x:c r="B257" s="3" t="str">
        <x:v>frontend/src/features/discover/components/WhyChooseSection.tsx</x:v>
      </x:c>
      <x:c r="C257" s="3" t="str">
        <x:v>119 dòng. SHA256 snapshot: c62c9aeff9d63a600620489c0d1d5e3f8fab32893d31a6638400a4b5006957fd</x:v>
      </x:c>
    </x:row>
    <x:row r="258" ht="36" customHeight="1">
      <x:c r="A258" s="3" t="str">
        <x:v>Nguồn dự án</x:v>
      </x:c>
      <x:c r="B258" s="3" t="str">
        <x:v>frontend/src/features/home/components/Admissions.tsx</x:v>
      </x:c>
      <x:c r="C258" s="3" t="str">
        <x:v>69 dòng. SHA256 snapshot: f7a58a85909c049c73935c491045cae8b2b4987734ab525bc9f7078164dc77ff</x:v>
      </x:c>
    </x:row>
    <x:row r="259" ht="36" customHeight="1">
      <x:c r="A259" s="3" t="str">
        <x:v>Nguồn dự án</x:v>
      </x:c>
      <x:c r="B259" s="3" t="str">
        <x:v>frontend/src/features/home/components/CountUp.tsx</x:v>
      </x:c>
      <x:c r="C259" s="3" t="str">
        <x:v>63 dòng. SHA256 snapshot: 90f97279ed22ee861d0a91072048d13eebc6b6cf326123fc2d8056fb5c835153</x:v>
      </x:c>
    </x:row>
    <x:row r="260" ht="36" customHeight="1">
      <x:c r="A260" s="3" t="str">
        <x:v>Nguồn dự án</x:v>
      </x:c>
      <x:c r="B260" s="3" t="str">
        <x:v>frontend/src/features/home/components/EditorialAccordion.tsx</x:v>
      </x:c>
      <x:c r="C260" s="3" t="str">
        <x:v>34 dòng. SHA256 snapshot: ab656d2151c7f87d0064fc09d693817e22c5a34347dee60a72f3cd324e1959f5</x:v>
      </x:c>
    </x:row>
    <x:row r="261" ht="36" customHeight="1">
      <x:c r="A261" s="3" t="str">
        <x:v>Nguồn dự án</x:v>
      </x:c>
      <x:c r="B261" s="3" t="str">
        <x:v>frontend/src/features/home/components/Footer.tsx</x:v>
      </x:c>
      <x:c r="C261" s="3" t="str">
        <x:v>2 dòng. SHA256 snapshot: 3411669a6e34720817e63e52820c7cb4fd31f347f64a0038952de927215e534c</x:v>
      </x:c>
    </x:row>
    <x:row r="262" ht="36" customHeight="1">
      <x:c r="A262" s="3" t="str">
        <x:v>Nguồn dự án</x:v>
      </x:c>
      <x:c r="B262" s="3" t="str">
        <x:v>frontend/src/features/home/components/Header.tsx</x:v>
      </x:c>
      <x:c r="C262" s="3" t="str">
        <x:v>246 dòng. SHA256 snapshot: 98b3cb17b60ac26dbe920fde53f2572f65d053c3d300c63d1285e9bfa8e73e67</x:v>
      </x:c>
    </x:row>
    <x:row r="263" ht="36" customHeight="1">
      <x:c r="A263" s="3" t="str">
        <x:v>Nguồn dự án</x:v>
      </x:c>
      <x:c r="B263" s="3" t="str">
        <x:v>frontend/src/features/home/components/Hero.tsx</x:v>
      </x:c>
      <x:c r="C263" s="3" t="str">
        <x:v>39 dòng. SHA256 snapshot: 3a8686363decff36891c3fd212497875a4fd38c6ed1d43e4fd8426c92f0add03</x:v>
      </x:c>
    </x:row>
    <x:row r="264" ht="36" customHeight="1">
      <x:c r="A264" s="3" t="str">
        <x:v>Nguồn dự án</x:v>
      </x:c>
      <x:c r="B264" s="3" t="str">
        <x:v>frontend/src/features/home/components/ImmersiveVideo.tsx</x:v>
      </x:c>
      <x:c r="C264" s="3" t="str">
        <x:v>140 dòng. SHA256 snapshot: ef1e33c9925b841f96790593af68190ac065fd679cc074023ff4325e8169bb84</x:v>
      </x:c>
    </x:row>
    <x:row r="265" ht="36" customHeight="1">
      <x:c r="A265" s="3" t="str">
        <x:v>Nguồn dự án</x:v>
      </x:c>
      <x:c r="B265" s="3" t="str">
        <x:v>frontend/src/features/home/components/index.ts</x:v>
      </x:c>
      <x:c r="C265" s="3" t="str">
        <x:v>14 dòng. SHA256 snapshot: 78c3c8a413323fd566666c4fdf8f773712a6e017eecdd0b40121bc75699d5db8</x:v>
      </x:c>
    </x:row>
    <x:row r="266" ht="36" customHeight="1">
      <x:c r="A266" s="3" t="str">
        <x:v>Nguồn dự án</x:v>
      </x:c>
      <x:c r="B266" s="3" t="str">
        <x:v>frontend/src/features/home/components/News.tsx</x:v>
      </x:c>
      <x:c r="C266" s="3" t="str">
        <x:v>50 dòng. SHA256 snapshot: 61d1efe283be9c18d39f6c31ceeadf36a0c67fc1429ce3d93623369d7065fab6</x:v>
      </x:c>
    </x:row>
    <x:row r="267" ht="36" customHeight="1">
      <x:c r="A267" s="3" t="str">
        <x:v>Nguồn dự án</x:v>
      </x:c>
      <x:c r="B267" s="3" t="str">
        <x:v>frontend/src/features/home/components/ProgrammeCatalog.tsx</x:v>
      </x:c>
      <x:c r="C267" s="3" t="str">
        <x:v>259 dòng. SHA256 snapshot: 4c2e72decb43d3f78026f1337f759bb872b37064133753eddd86a3eb23c37e46</x:v>
      </x:c>
    </x:row>
    <x:row r="268" ht="36" customHeight="1">
      <x:c r="A268" s="3" t="str">
        <x:v>Nguồn dự án</x:v>
      </x:c>
      <x:c r="B268" s="3" t="str">
        <x:v>frontend/src/features/home/components/Programmes.tsx</x:v>
      </x:c>
      <x:c r="C268" s="3" t="str">
        <x:v>63 dòng. SHA256 snapshot: db32368c3542e7b8c022de9349379b0e2da76c43186124d6d96ec8bf251b2698</x:v>
      </x:c>
    </x:row>
    <x:row r="269" ht="36" customHeight="1">
      <x:c r="A269" s="3" t="str">
        <x:v>Nguồn dự án</x:v>
      </x:c>
      <x:c r="B269" s="3" t="str">
        <x:v>frontend/src/features/home/components/Research.tsx</x:v>
      </x:c>
      <x:c r="C269" s="3" t="str">
        <x:v>51 dòng. SHA256 snapshot: e196b60ea7c6255b775cd8e837e32cbaa5ac1eb098338fa6fc52645c13d4da26</x:v>
      </x:c>
    </x:row>
    <x:row r="270" ht="36" customHeight="1">
      <x:c r="A270" s="3" t="str">
        <x:v>Nguồn dự án</x:v>
      </x:c>
      <x:c r="B270" s="3" t="str">
        <x:v>frontend/src/features/home/components/ResourcesConsultation.tsx</x:v>
      </x:c>
      <x:c r="C270" s="3" t="str">
        <x:v>184 dòng. SHA256 snapshot: d5631d5ef3d69f93a4b8691c0e9e18820ee674e1863a381979682e0e62014389</x:v>
      </x:c>
    </x:row>
    <x:row r="271" ht="36" customHeight="1">
      <x:c r="A271" s="3" t="str">
        <x:v>Nguồn dự án</x:v>
      </x:c>
      <x:c r="B271" s="3" t="str">
        <x:v>frontend/src/features/home/components/ScrollReveal.tsx</x:v>
      </x:c>
      <x:c r="C271" s="3" t="str">
        <x:v>66 dòng. SHA256 snapshot: 34fba78870941916d65c8c442389e14644242994211f176fda3983bb9b1ad8ad</x:v>
      </x:c>
    </x:row>
    <x:row r="272" ht="36" customHeight="1">
      <x:c r="A272" s="3" t="str">
        <x:v>Nguồn dự án</x:v>
      </x:c>
      <x:c r="B272" s="3" t="str">
        <x:v>frontend/src/features/home/components/StudentSuccess.tsx</x:v>
      </x:c>
      <x:c r="C272" s="3" t="str">
        <x:v>35 dòng. SHA256 snapshot: c094110b2735373f5e1bbef5b8d28a8918096962e2455d035b7b170273041d51</x:v>
      </x:c>
    </x:row>
    <x:row r="273" ht="36" customHeight="1">
      <x:c r="A273" s="3" t="str">
        <x:v>Nguồn dự án</x:v>
      </x:c>
      <x:c r="B273" s="3" t="str">
        <x:v>frontend/src/features/news/components/NewsDetail.module.css</x:v>
      </x:c>
      <x:c r="C273" s="3" t="str">
        <x:v>339 dòng. SHA256 snapshot: 95db7bb20b6fdb87f61b6ba8a9bb7fa1eaa110777d873abc4f8849e233abc68d</x:v>
      </x:c>
    </x:row>
    <x:row r="274" ht="36" customHeight="1">
      <x:c r="A274" s="3" t="str">
        <x:v>Nguồn dự án</x:v>
      </x:c>
      <x:c r="B274" s="3" t="str">
        <x:v>frontend/src/features/news/components/NewsLanding.module.css</x:v>
      </x:c>
      <x:c r="C274" s="3" t="str">
        <x:v>384 dòng. SHA256 snapshot: 221442b317e723f4b9cd208c112cf899da31c134d3a596ccdf88c1d6feae71b8</x:v>
      </x:c>
    </x:row>
    <x:row r="275" ht="36" customHeight="1">
      <x:c r="A275" s="3" t="str">
        <x:v>Nguồn dự án</x:v>
      </x:c>
      <x:c r="B275" s="3" t="str">
        <x:v>frontend/src/features/news/components/NewsLanding.tsx</x:v>
      </x:c>
      <x:c r="C275" s="3" t="str">
        <x:v>175 dòng. SHA256 snapshot: bb9b262523dc3399609891d8c583765d1d243a6c3426c9f8e366f2946c8780d8</x:v>
      </x:c>
    </x:row>
    <x:row r="276" ht="36" customHeight="1">
      <x:c r="A276" s="3" t="str">
        <x:v>Nguồn dự án</x:v>
      </x:c>
      <x:c r="B276" s="3" t="str">
        <x:v>frontend/src/features/news/components/NewsShare.tsx</x:v>
      </x:c>
      <x:c r="C276" s="3" t="str">
        <x:v>4 dòng. SHA256 snapshot: 27dfac580fc6def190dbcd29dd82facea52636505dcbbd1e3275944637e988d3</x:v>
      </x:c>
    </x:row>
    <x:row r="277" ht="36" customHeight="1">
      <x:c r="A277" s="3" t="str">
        <x:v>Nguồn dự án</x:v>
      </x:c>
      <x:c r="B277" s="3" t="str">
        <x:v>frontend/src/features/programmes/components/MasterProgrammesPage.module.css</x:v>
      </x:c>
      <x:c r="C277" s="3" t="str">
        <x:v>687 dòng. SHA256 snapshot: 30bff7ab4be12faf1f7f8be52f7c461c6dacdf932350d6ece9ef6d188e053d43</x:v>
      </x:c>
    </x:row>
    <x:row r="278" ht="36" customHeight="1">
      <x:c r="A278" s="3" t="str">
        <x:v>Nguồn dự án</x:v>
      </x:c>
      <x:c r="B278" s="3" t="str">
        <x:v>frontend/src/features/programmes/components/MasterProgrammesPage.tsx</x:v>
      </x:c>
      <x:c r="C278" s="3" t="str">
        <x:v>122 dòng. SHA256 snapshot: a63f49a19069212f1b79c7d32f3a6d73933b3c8685d6b8aac7108e9557ef9fe9</x:v>
      </x:c>
    </x:row>
    <x:row r="279" ht="36" customHeight="1">
      <x:c r="A279" s="3" t="str">
        <x:v>Nguồn dự án</x:v>
      </x:c>
      <x:c r="B279" s="3" t="str">
        <x:v>frontend/src/features/programmes/components/ProgrammeDirectory.tsx</x:v>
      </x:c>
      <x:c r="C279" s="3" t="str">
        <x:v>393 dòng. SHA256 snapshot: 9a7383319884ae7c96128464666499c7de35387e768cd1b6813be7f292c7401f</x:v>
      </x:c>
    </x:row>
    <x:row r="280" ht="36" customHeight="1">
      <x:c r="A280" s="3" t="str">
        <x:v>Nguồn dự án</x:v>
      </x:c>
      <x:c r="B280" s="3" t="str">
        <x:v>frontend/src/features/programmes/components/ProgrammeSearch.tsx</x:v>
      </x:c>
      <x:c r="C280" s="3" t="str">
        <x:v>99 dòng. SHA256 snapshot: 79e30ff00c749aeed2f8f1804373ce5f6d296549a896205f7b9c65e88c473776</x:v>
      </x:c>
    </x:row>
    <x:row r="281" ht="36" customHeight="1">
      <x:c r="A281" s="3" t="str">
        <x:v>Nguồn dự án</x:v>
      </x:c>
      <x:c r="B281" s="3" t="str">
        <x:v>frontend/src/features/programmes/components/ProgrammesPage.tsx</x:v>
      </x:c>
      <x:c r="C281" s="3" t="str">
        <x:v>60 dòng. SHA256 snapshot: 74bf82975ffd1a0e03ea9f75d17e6d7a21fcfdb3f177bce3419e271eb1b3d49b</x:v>
      </x:c>
    </x:row>
    <x:row r="282" ht="36" customHeight="1">
      <x:c r="A282" s="3" t="str">
        <x:v>Nguồn dự án</x:v>
      </x:c>
      <x:c r="B282" s="3" t="str">
        <x:v>frontend/src/features/programmes/components/SpecialProgrammesPage.tsx</x:v>
      </x:c>
      <x:c r="C282" s="3" t="str">
        <x:v>269 dòng. SHA256 snapshot: 95ad285785a532e4dffc5f57f6ea7018fdec84e1060b04fd3e06f25a925b0ffa</x:v>
      </x:c>
    </x:row>
    <x:row r="283" ht="36" customHeight="1">
      <x:c r="A283" s="3" t="str">
        <x:v>Nguồn dự án</x:v>
      </x:c>
      <x:c r="B283" s="3" t="str">
        <x:v>frontend/src/features/research/components/PublicationsSearch.tsx</x:v>
      </x:c>
      <x:c r="C283" s="3" t="str">
        <x:v>42 dòng. SHA256 snapshot: e529900ad03854ee9e204bff30c50fbe7089a1cd2364a050786f576963cbf056</x:v>
      </x:c>
    </x:row>
    <x:row r="284" ht="36" customHeight="1">
      <x:c r="A284" s="3" t="str">
        <x:v>Nguồn dự án</x:v>
      </x:c>
      <x:c r="B284" s="3" t="str">
        <x:v>frontend/src/features/research/components/ResearchAreas.tsx</x:v>
      </x:c>
      <x:c r="C284" s="3" t="str">
        <x:v>11 dòng. SHA256 snapshot: a393e50b89afac7345ce3c5f59dd0977f172bf10d583c4182b0d3321ba476c8d</x:v>
      </x:c>
    </x:row>
    <x:row r="285" ht="36" customHeight="1">
      <x:c r="A285" s="3" t="str">
        <x:v>Nguồn dự án</x:v>
      </x:c>
      <x:c r="B285" s="3" t="str">
        <x:v>frontend/src/features/research/components/ResearchClustersPage.module.css</x:v>
      </x:c>
      <x:c r="C285" s="3" t="str">
        <x:v>24 dòng. SHA256 snapshot: f1e99290589bd1cace9e0b3d0af891338c65b8317167254bf8552560af9b487e</x:v>
      </x:c>
    </x:row>
    <x:row r="286" ht="36" customHeight="1">
      <x:c r="A286" s="3" t="str">
        <x:v>Nguồn dự án</x:v>
      </x:c>
      <x:c r="B286" s="3" t="str">
        <x:v>frontend/src/features/research/components/ResearchClustersPage.tsx</x:v>
      </x:c>
      <x:c r="C286" s="3" t="str">
        <x:v>79 dòng. SHA256 snapshot: 6f3a58321626c39e9222d9c01028d7e5715d2c935ce22d413cfe2aacd21c0798</x:v>
      </x:c>
    </x:row>
    <x:row r="287" ht="36" customHeight="1">
      <x:c r="A287" s="3" t="str">
        <x:v>Nguồn dự án</x:v>
      </x:c>
      <x:c r="B287" s="3" t="str">
        <x:v>frontend/src/features/research/components/ResearchHighlights.tsx</x:v>
      </x:c>
      <x:c r="C287" s="3" t="str">
        <x:v>69 dòng. SHA256 snapshot: 4047666b529e0cf8521bb1c9e6f66fe17a9455754c2fb3f1ef54722006536df1</x:v>
      </x:c>
    </x:row>
    <x:row r="288" ht="36" customHeight="1">
      <x:c r="A288" s="3" t="str">
        <x:v>Nguồn dự án</x:v>
      </x:c>
      <x:c r="B288" s="3" t="str">
        <x:v>frontend/src/features/research/components/ResearchLanding.module.css</x:v>
      </x:c>
      <x:c r="C288" s="3" t="str">
        <x:v>640 dòng. SHA256 snapshot: 4047faabfa09519edcda1fc172c94e1b4c82eedb75fc5d71de6e914f95924a1e</x:v>
      </x:c>
    </x:row>
    <x:row r="289" ht="36" customHeight="1">
      <x:c r="A289" s="3" t="str">
        <x:v>Nguồn dự án</x:v>
      </x:c>
      <x:c r="B289" s="3" t="str">
        <x:v>frontend/src/features/research/components/ResearchLanding.tsx</x:v>
      </x:c>
      <x:c r="C289" s="3" t="str">
        <x:v>164 dòng. SHA256 snapshot: 98addaca63af47e1c81f60358e4b55941abb279fa32e1bacb90d8f79acf070fb</x:v>
      </x:c>
    </x:row>
    <x:row r="290" ht="36" customHeight="1">
      <x:c r="A290" s="3" t="str">
        <x:v>Nguồn dự án</x:v>
      </x:c>
      <x:c r="B290" s="3" t="str">
        <x:v>frontend/src/features/research/components/ResearchProjectsPage.tsx</x:v>
      </x:c>
      <x:c r="C290" s="3" t="str">
        <x:v>53 dòng. SHA256 snapshot: 4af6b068f392f2e0a0316bea3ffef729ba6e233df3803b86980df90b2f41dd8d</x:v>
      </x:c>
    </x:row>
    <x:row r="291" ht="36" customHeight="1">
      <x:c r="A291" s="3" t="str">
        <x:v>Nguồn dự án</x:v>
      </x:c>
      <x:c r="B291" s="3" t="str">
        <x:v>frontend/src/features/research/components/ResearchPublicationsPage.module.css</x:v>
      </x:c>
      <x:c r="C291" s="3" t="str">
        <x:v>44 dòng. SHA256 snapshot: 3dba76d5e343fda367c51d95fab0ac5af45c8dc89a24e2b82b99e02a717b86fc</x:v>
      </x:c>
    </x:row>
    <x:row r="292" ht="36" customHeight="1">
      <x:c r="A292" s="3" t="str">
        <x:v>Nguồn dự án</x:v>
      </x:c>
      <x:c r="B292" s="3" t="str">
        <x:v>frontend/src/features/research/components/ResearchPublicationsPage.tsx</x:v>
      </x:c>
      <x:c r="C292" s="3" t="str">
        <x:v>47 dòng. SHA256 snapshot: 65859f466eafc1ef143144812faf5feafc168dde50fbef1d175b71890e77ad21</x:v>
      </x:c>
    </x:row>
    <x:row r="293" ht="36" customHeight="1">
      <x:c r="A293" s="3" t="str">
        <x:v>Nguồn dự án</x:v>
      </x:c>
      <x:c r="B293" s="3" t="str">
        <x:v>frontend/src/features/research/components/ResearchSubpage.module.css</x:v>
      </x:c>
      <x:c r="C293" s="3" t="str">
        <x:v>510 dòng. SHA256 snapshot: 963b1966d42293319f08139e7fa05adedc0f9b3eec153ef52a8b8073b5ef5a8c</x:v>
      </x:c>
    </x:row>
    <x:row r="294" ht="36" customHeight="1">
      <x:c r="A294" s="3" t="str">
        <x:v>Nguồn dự án</x:v>
      </x:c>
      <x:c r="B294" s="3" t="str">
        <x:v>frontend/src/features/research/components/ResearchSubpage.tsx</x:v>
      </x:c>
      <x:c r="C294" s="3" t="str">
        <x:v>166 dòng. SHA256 snapshot: 8a1d1c6d0826ab3d75d64431dcc817363f36c8d5122a314f791568054754b109</x:v>
      </x:c>
    </x:row>
    <x:row r="295" ht="36" customHeight="1">
      <x:c r="A295" s="3" t="str">
        <x:v>Nguồn dự án</x:v>
      </x:c>
      <x:c r="B295" s="3" t="str">
        <x:v>frontend/src/features/research/components/StrategicPartnersCarousel.tsx</x:v>
      </x:c>
      <x:c r="C295" s="3" t="str">
        <x:v>89 dòng. SHA256 snapshot: f25f783f87ab966408ea2ea4bbe0e24ab39023410803df6aa3820b9f39752ec1</x:v>
      </x:c>
    </x:row>
    <x:row r="296" ht="36" customHeight="1">
      <x:c r="A296" s="3" t="str">
        <x:v>Nguồn dự án</x:v>
      </x:c>
      <x:c r="B296" s="3" t="str">
        <x:v>frontend/src/features/resources/components/ResourcesExplorer.tsx</x:v>
      </x:c>
      <x:c r="C296" s="3" t="str">
        <x:v>315 dòng. SHA256 snapshot: 6c2167879530e54f97ae3d4a8288e5a5ac092d5cdeb8c89a9c8a60e1dacef2eb</x:v>
      </x:c>
    </x:row>
    <x:row r="297" ht="36" customHeight="1">
      <x:c r="A297" s="3" t="str">
        <x:v>Nguồn dự án</x:v>
      </x:c>
      <x:c r="B297" s="3" t="str">
        <x:v>frontend/src/features/resources/components/ResourcesLanding.module.css</x:v>
      </x:c>
      <x:c r="C297" s="3" t="str">
        <x:v>630 dòng. SHA256 snapshot: a87894c6a0b2f40b919c1418eca1a5543cf25c5d6aec1398e5892036dd7936f8</x:v>
      </x:c>
    </x:row>
    <x:row r="298" ht="36" customHeight="1">
      <x:c r="A298" s="3" t="str">
        <x:v>Nguồn dự án</x:v>
      </x:c>
      <x:c r="B298" s="3" t="str">
        <x:v>frontend/src/features/resources/components/ResourcesLanding.tsx</x:v>
      </x:c>
      <x:c r="C298" s="3" t="str">
        <x:v>19 dòng. SHA256 snapshot: 82320731e0efacc8c19d455eb135015b3a999676ddcba7166ad6be5061235963</x:v>
      </x:c>
    </x:row>
    <x:row r="299" ht="36" customHeight="1">
      <x:c r="A299" s="3" t="str">
        <x:v>Nguồn dự án</x:v>
      </x:c>
      <x:c r="B299" s="3" t="str">
        <x:v>frontend/src/i18n/components/LocaleProvider.tsx</x:v>
      </x:c>
      <x:c r="C299" s="3" t="str">
        <x:v>18 dòng. SHA256 snapshot: 6fb6452e9e512139e49681b89e619fabf8f2a8f4ef1acb90cd6d2ca9475b99ae</x:v>
      </x:c>
    </x:row>
    <x:row r="300" ht="36" customHeight="1">
      <x:c r="A300" s="3" t="str">
        <x:v>Nguồn dự án</x:v>
      </x:c>
      <x:c r="B300" s="3" t="str">
        <x:v>frontend/src/i18n/components/LocalizedLink.tsx</x:v>
      </x:c>
      <x:c r="C300" s="3" t="str">
        <x:v>16 dòng. SHA256 snapshot: 5923b94c6942cc58fff426f48841baec5b555553a86b29b94495d8e0c35a1197</x:v>
      </x:c>
    </x:row>
    <x:row r="301" ht="36" customHeight="1">
      <x:c r="A301" s="3" t="str">
        <x:v>Nguồn dự án</x:v>
      </x:c>
      <x:c r="B301" s="3" t="str">
        <x:v>frontend/src/shared/analytics/components/VisitTracker.tsx</x:v>
      </x:c>
      <x:c r="C301" s="3" t="str">
        <x:v>53 dòng. SHA256 snapshot: 70ad2ea32cef9852044b5e5815bbea5cf4ebb6359892fff5a3bc54728193df35</x:v>
      </x:c>
    </x:row>
    <x:row r="302" ht="36" customHeight="1">
      <x:c r="A302" s="3" t="str">
        <x:v>Nguồn dự án</x:v>
      </x:c>
      <x:c r="B302" s="3" t="str">
        <x:v>frontend/src/shared/components/layout/LanguageToggle.tsx</x:v>
      </x:c>
      <x:c r="C302" s="3" t="str">
        <x:v>24 dòng. SHA256 snapshot: 1a49d0bb578444401e5669daafcb12d4a2fb9398a5a27a9cc76c028b2b47c093</x:v>
      </x:c>
    </x:row>
    <x:row r="303" ht="36" customHeight="1">
      <x:c r="A303" s="3" t="str">
        <x:v>Nguồn dự án</x:v>
      </x:c>
      <x:c r="B303" s="3" t="str">
        <x:v>frontend/src/shared/components/layout/RevealOnScroll.tsx</x:v>
      </x:c>
      <x:c r="C303" s="3" t="str">
        <x:v>29 dòng. SHA256 snapshot: ad59f8a9be41058f492bc280b016153e6dcafd699df5d2e22b28103e3ace1bce</x:v>
      </x:c>
    </x:row>
    <x:row r="304" ht="36" customHeight="1">
      <x:c r="A304" s="3" t="str">
        <x:v>Nguồn dự án</x:v>
      </x:c>
      <x:c r="B304" s="3" t="str">
        <x:v>frontend/src/shared/components/layout/SiteFooter.tsx</x:v>
      </x:c>
      <x:c r="C304" s="3" t="str">
        <x:v>61 dòng. SHA256 snapshot: 2dbf7b3e7eb136640fab36912cb254b01163d3c27f62743556d93e5bb344f308</x:v>
      </x:c>
    </x:row>
    <x:row r="305" ht="36" customHeight="1">
      <x:c r="A305" s="3" t="str">
        <x:v>Nguồn dự án</x:v>
      </x:c>
      <x:c r="B305" s="3" t="str">
        <x:v>frontend/src/shared/components/layout/SiteHeader.tsx</x:v>
      </x:c>
      <x:c r="C305" s="3" t="str">
        <x:v>153 dòng. SHA256 snapshot: 9785c6331d6326a0f407392cd395caaddf1f56b1fa3eff55f86df9d52fdbe3d8</x:v>
      </x:c>
    </x:row>
    <x:row r="306" ht="36" customHeight="1">
      <x:c r="A306" s="3" t="str">
        <x:v>Nguồn dự án</x:v>
      </x:c>
      <x:c r="B306" s="3" t="str">
        <x:v>frontend/src/shared/components/ui/Accordion.tsx</x:v>
      </x:c>
      <x:c r="C306" s="3" t="str">
        <x:v>11 dòng. SHA256 snapshot: 751fea25657cefc4dd4a50cf3f81ea239ba184a76af1f429aee2883dbcc10bfb</x:v>
      </x:c>
    </x:row>
    <x:row r="307" ht="36" customHeight="1">
      <x:c r="A307" s="3" t="str">
        <x:v>Nguồn dự án</x:v>
      </x:c>
      <x:c r="B307" s="3" t="str">
        <x:v>frontend/src/shared/components/ui/index.ts</x:v>
      </x:c>
      <x:c r="C307" s="3" t="str">
        <x:v>3 dòng. SHA256 snapshot: adeefd2d21a946998e431c92aa5ce0fdf004b7396fc86ef8688d856bedffcaf5</x:v>
      </x:c>
    </x:row>
    <x:row r="308" ht="36" customHeight="1">
      <x:c r="A308" s="3" t="str">
        <x:v>Nguồn dự án</x:v>
      </x:c>
      <x:c r="B308" s="3" t="str">
        <x:v>frontend/src/shared/components/ui/PagePrimitives.tsx</x:v>
      </x:c>
      <x:c r="C308" s="3" t="str">
        <x:v>35 dòng. SHA256 snapshot: a9612ac9ce66d5664b372613f0821bc85403a6a26b3e539170ada6af26fc87bd</x:v>
      </x:c>
    </x:row>
    <x:row r="309" ht="36" customHeight="1">
      <x:c r="A309" s="3" t="str">
        <x:v>Nguồn dự án</x:v>
      </x:c>
      <x:c r="B309" s="3" t="str">
        <x:v>frontend/src/shared/components/ui/PageUI.module.css</x:v>
      </x:c>
      <x:c r="C309" s="3" t="str">
        <x:v>334 dòng. SHA256 snapshot: 75bcad071a9f86c110fac8989c84c42c77eea18923349303e63243564c9e5216</x:v>
      </x:c>
    </x:row>
    <x:row r="310" ht="36" customHeight="1">
      <x:c r="A310" s="3" t="str">
        <x:v>Nguồn dự án</x:v>
      </x:c>
      <x:c r="B310" s="3" t="str">
        <x:v>frontend/src/shared/components/layout/footer/FooterBottom.tsx</x:v>
      </x:c>
      <x:c r="C310" s="3" t="str">
        <x:v>23 dòng. SHA256 snapshot: 889a4ba0578406a81bad6116187d277ca52df57d8fdde564faafdc151b7e90f4</x:v>
      </x:c>
    </x:row>
    <x:row r="311" ht="36" customHeight="1">
      <x:c r="A311" s="3" t="str">
        <x:v>Nguồn dự án</x:v>
      </x:c>
      <x:c r="B311" s="3" t="str">
        <x:v>frontend/src/shared/components/layout/footer/FooterColumns.tsx</x:v>
      </x:c>
      <x:c r="C311" s="3" t="str">
        <x:v>57 dòng. SHA256 snapshot: ff079545114e47f2308f442f843d124a4071f366a9a68bb2270f9ae9c2791eff</x:v>
      </x:c>
    </x:row>
    <x:row r="312" ht="36" customHeight="1">
      <x:c r="A312" s="3" t="str">
        <x:v>Nguồn dự án</x:v>
      </x:c>
      <x:c r="B312" s="3" t="str">
        <x:v>frontend/src/shared/components/layout/footer/FooterContact.tsx</x:v>
      </x:c>
      <x:c r="C312" s="3" t="str">
        <x:v>28 dòng. SHA256 snapshot: 019e68f3ba1882cae970fc4c527d5f6ebf25ed81916eab9e1b69432a9784e709</x:v>
      </x:c>
    </x:row>
    <x:row r="313" ht="36" customHeight="1">
      <x:c r="A313" s="3" t="str">
        <x:v>Nguồn dự án</x:v>
      </x:c>
      <x:c r="B313" s="3" t="str">
        <x:v>frontend/src/shared/components/layout/footer/footerData.ts</x:v>
      </x:c>
      <x:c r="C313" s="3" t="str">
        <x:v>51 dòng. SHA256 snapshot: 447fd060e9e876082029a98fb8b700ef67dfb8c59e2883e5b7060944dab73af9</x:v>
      </x:c>
    </x:row>
    <x:row r="314" ht="36" customHeight="1">
      <x:c r="A314" s="3" t="str">
        <x:v>Nguồn dự án</x:v>
      </x:c>
      <x:c r="B314" s="3" t="str">
        <x:v>frontend/src/shared/components/layout/footer/FooterIcon.tsx</x:v>
      </x:c>
      <x:c r="C314" s="3" t="str">
        <x:v>57 dòng. SHA256 snapshot: 9c68767236fce2ee49a59c956410d310bf1a01ac2d244c5cc60d50057222c2b0</x:v>
      </x:c>
    </x:row>
    <x:row r="315" ht="36" customHeight="1">
      <x:c r="A315" s="3" t="str">
        <x:v>Nguồn dự án</x:v>
      </x:c>
      <x:c r="B315" s="3" t="str">
        <x:v>frontend/src/shared/components/layout/footer/FooterLocation.tsx</x:v>
      </x:c>
      <x:c r="C315" s="3" t="str">
        <x:v>41 dòng. SHA256 snapshot: 48af2be0ee8c5e94e6a5b56778fa3af18124ce0dbb912638e4898a759f38bea9</x:v>
      </x:c>
    </x:row>
  </x:sheetData>
  <x:pageMargins left="0.7" right="0.7" top="0.75" bottom="0.75" header="0.3" footer="0.3"/>
  <x:tableParts count="1">
    <x:tablePart xmlns:r="http://schemas.openxmlformats.org/officeDocument/2006/relationships" r:id="R7dc1ef4395db4390"/>
  </x:tableParts>
</x:worksheet>
</file>

<file path=xl/worksheets/sheet2.xml><?xml version="1.0" encoding="utf-8"?>
<x:worksheet xmlns:x="http://schemas.openxmlformats.org/spreadsheetml/2006/main">
  <x:sheetPr>
    <x:tabColor rgb="FF9C2638"/>
  </x:sheetPr>
  <x:sheetViews>
    <x:sheetView showGridLines="0" workbookViewId="0">
      <x:pane ySplit="1" topLeftCell="A2" activePane="bottomLeft" state="frozen"/>
    </x:sheetView>
  </x:sheetViews>
  <x:sheetFormatPr defaultRowHeight="15"/>
  <x:cols>
    <x:col min="1" max="1" width="24" hidden="0" customWidth="1"/>
    <x:col min="2" max="2" width="39" hidden="0" customWidth="1"/>
    <x:col min="3" max="3" width="23" hidden="0" customWidth="1"/>
    <x:col min="4" max="4" width="105" hidden="0" customWidth="1"/>
    <x:col min="6" max="6" width="27" hidden="0" customWidth="1"/>
    <x:col min="7" max="7" width="16" hidden="0" customWidth="1"/>
  </x:cols>
  <x:sheetData>
    <x:row r="1" ht="34" customHeight="1">
      <x:c r="A1" s="7" t="str">
        <x:v>Nhóm</x:v>
      </x:c>
      <x:c r="B1" s="7" t="str">
        <x:v>Chỉ tiêu</x:v>
      </x:c>
      <x:c r="C1" s="7" t="str">
        <x:v>Số lượng / Tỷ lệ</x:v>
      </x:c>
      <x:c r="D1" s="7" t="str">
        <x:v>Ghi chú</x:v>
      </x:c>
    </x:row>
    <x:row r="2" ht="36" customHeight="1">
      <x:c r="A2" s="3" t="str">
        <x:v>Tổng quan</x:v>
      </x:c>
      <x:c r="B2" s="3" t="str">
        <x:v>Tổng test case</x:v>
      </x:c>
      <x:c r="C2" s="3" t="n">
        <x:f>COUNTA('Functional Test Cases'!$B$2:$B$337)+COUNTA('UI-UX &amp; Responsive'!$B$2:$B$257)+COUNTA('API Test Cases'!$B$2:$B$346)+COUNTA('Security &amp; Permission'!$B$2:$B$147)+COUNTA('Performance'!$B$2:$B$16)+COUNTA('Compatibility'!$B$2:$B$25)</x:f>
        <x:v>1122</x:v>
      </x:c>
      <x:c r="D2" s="3" t="str">
        <x:v>Chỉ6 sheet test, không đếm checklist/traces</x:v>
      </x:c>
    </x:row>
    <x:row r="3" ht="36" customHeight="1">
      <x:c r="A3" s="3" t="str">
        <x:v>Tổng quan</x:v>
      </x:c>
      <x:c r="B3" s="3" t="str">
        <x:v>Đã có kết quả PASS/FAIL</x:v>
      </x:c>
      <x:c r="C3" s="3" t="n">
        <x:f>C4+C5</x:f>
        <x:v>0</x:v>
      </x:c>
      <x:c r="D3" s="3" t="str">
        <x:v>Không gồm BLOCKED</x:v>
      </x:c>
    </x:row>
    <x:row r="4" ht="36" customHeight="1">
      <x:c r="A4" s="3" t="str">
        <x:v>Status</x:v>
      </x:c>
      <x:c r="B4" s="3" t="str">
        <x:v>PASS</x:v>
      </x:c>
      <x:c r="C4" s="3" t="n">
        <x:f>COUNTIFS('Functional Test Cases'!$R$2:$R$337,"PASS")+COUNTIFS('UI-UX &amp; Responsive'!$R$2:$R$257,"PASS")+COUNTIFS('API Test Cases'!$R$2:$R$346,"PASS")+COUNTIFS('Security &amp; Permission'!$R$2:$R$147,"PASS")+COUNTIFS('Performance'!$R$2:$R$16,"PASS")+COUNTIFS('Compatibility'!$R$2:$R$25,"PASS")</x:f>
        <x:v>0</x:v>
      </x:c>
      <x:c r="D4" s="3" t="str"/>
    </x:row>
    <x:row r="5" ht="36" customHeight="1">
      <x:c r="A5" s="3" t="str">
        <x:v>Status</x:v>
      </x:c>
      <x:c r="B5" s="3" t="str">
        <x:v>FAIL</x:v>
      </x:c>
      <x:c r="C5" s="3" t="n">
        <x:f>COUNTIFS('Functional Test Cases'!$R$2:$R$337,"FAIL")+COUNTIFS('UI-UX &amp; Responsive'!$R$2:$R$257,"FAIL")+COUNTIFS('API Test Cases'!$R$2:$R$346,"FAIL")+COUNTIFS('Security &amp; Permission'!$R$2:$R$147,"FAIL")+COUNTIFS('Performance'!$R$2:$R$16,"FAIL")+COUNTIFS('Compatibility'!$R$2:$R$25,"FAIL")</x:f>
        <x:v>0</x:v>
      </x:c>
      <x:c r="D5" s="3" t="str"/>
    </x:row>
    <x:row r="6" ht="36" customHeight="1">
      <x:c r="A6" s="3" t="str">
        <x:v>Status</x:v>
      </x:c>
      <x:c r="B6" s="3" t="str">
        <x:v>BLOCKED</x:v>
      </x:c>
      <x:c r="C6" s="3" t="n">
        <x:f>COUNTIFS('Functional Test Cases'!$R$2:$R$337,"BLOCKED")+COUNTIFS('UI-UX &amp; Responsive'!$R$2:$R$257,"BLOCKED")+COUNTIFS('API Test Cases'!$R$2:$R$346,"BLOCKED")+COUNTIFS('Security &amp; Permission'!$R$2:$R$147,"BLOCKED")+COUNTIFS('Performance'!$R$2:$R$16,"BLOCKED")+COUNTIFS('Compatibility'!$R$2:$R$25,"BLOCKED")</x:f>
        <x:v>0</x:v>
      </x:c>
      <x:c r="D6" s="3" t="str"/>
    </x:row>
    <x:row r="7" ht="36" customHeight="1">
      <x:c r="A7" s="3" t="str">
        <x:v>Status</x:v>
      </x:c>
      <x:c r="B7" s="3" t="str">
        <x:v>NOT RUN</x:v>
      </x:c>
      <x:c r="C7" s="3" t="n">
        <x:f>COUNTIFS('Functional Test Cases'!$R$2:$R$337,"NOT RUN")+COUNTIFS('UI-UX &amp; Responsive'!$R$2:$R$257,"NOT RUN")+COUNTIFS('API Test Cases'!$R$2:$R$346,"NOT RUN")+COUNTIFS('Security &amp; Permission'!$R$2:$R$147,"NOT RUN")+COUNTIFS('Performance'!$R$2:$R$16,"NOT RUN")+COUNTIFS('Compatibility'!$R$2:$R$25,"NOT RUN")</x:f>
        <x:v>1057</x:v>
      </x:c>
      <x:c r="D7" s="3" t="str"/>
    </x:row>
    <x:row r="8" ht="36" customHeight="1">
      <x:c r="A8" s="3" t="str">
        <x:v>Status</x:v>
      </x:c>
      <x:c r="B8" s="3" t="str">
        <x:v>NEED CONFIRMATION</x:v>
      </x:c>
      <x:c r="C8" s="3" t="n">
        <x:f>COUNTIFS('Functional Test Cases'!$R$2:$R$337,"NEED CONFIRMATION")+COUNTIFS('UI-UX &amp; Responsive'!$R$2:$R$257,"NEED CONFIRMATION")+COUNTIFS('API Test Cases'!$R$2:$R$346,"NEED CONFIRMATION")+COUNTIFS('Security &amp; Permission'!$R$2:$R$147,"NEED CONFIRMATION")+COUNTIFS('Performance'!$R$2:$R$16,"NEED CONFIRMATION")+COUNTIFS('Compatibility'!$R$2:$R$25,"NEED CONFIRMATION")</x:f>
        <x:v>65</x:v>
      </x:c>
      <x:c r="D8" s="3" t="str"/>
    </x:row>
    <x:row r="9" ht="36" customHeight="1">
      <x:c r="A9" s="3" t="str">
        <x:v>Tỷ lệ</x:v>
      </x:c>
      <x:c r="B9" s="3" t="str">
        <x:v>Pass rate</x:v>
      </x:c>
      <x:c r="C9" s="13" t="str">
        <x:f>IF(C3=0,"",C4/C3)</x:f>
      </x:c>
      <x:c r="D9" s="3" t="str">
        <x:v>PASS/(PASS+FAIL); trống nếu chưa chạy</x:v>
      </x:c>
    </x:row>
    <x:row r="10" ht="36" customHeight="1">
      <x:c r="A10" s="3" t="str">
        <x:v>Tỷ lệ</x:v>
      </x:c>
      <x:c r="B10" s="3" t="str">
        <x:v>Fail rate</x:v>
      </x:c>
      <x:c r="C10" s="13" t="str">
        <x:f>IF(C3=0,"",C5/C3)</x:f>
      </x:c>
      <x:c r="D10" s="3" t="str">
        <x:v>FAIL/(PASS+FAIL); trống nếu chưa chạy</x:v>
      </x:c>
    </x:row>
    <x:row r="11" ht="36" customHeight="1">
      <x:c r="A11" s="3" t="str">
        <x:v>Tỷ lệ</x:v>
      </x:c>
      <x:c r="B11" s="3" t="str">
        <x:v>Execution rate</x:v>
      </x:c>
      <x:c r="C11" s="13" t="n">
        <x:f>IF(C2=0,"",C3/C2)</x:f>
        <x:v>0</x:v>
      </x:c>
      <x:c r="D11" s="3" t="str">
        <x:v>(PASS+FAIL)/Tổng case</x:v>
      </x:c>
    </x:row>
    <x:row r="12" ht="36" customHeight="1">
      <x:c r="A12" s="3" t="str">
        <x:v>Sheet</x:v>
      </x:c>
      <x:c r="B12" s="3" t="str">
        <x:v>Functional Test Cases</x:v>
      </x:c>
      <x:c r="C12" s="3" t="n">
        <x:f>COUNTA('Functional Test Cases'!$B$2:$B$337)</x:f>
        <x:v>336</x:v>
      </x:c>
      <x:c r="D12" s="3" t="str"/>
    </x:row>
    <x:row r="13" ht="36" customHeight="1">
      <x:c r="A13" s="3" t="str">
        <x:v>Sheet</x:v>
      </x:c>
      <x:c r="B13" s="3" t="str">
        <x:v>UI-UX &amp; Responsive</x:v>
      </x:c>
      <x:c r="C13" s="3" t="n">
        <x:f>COUNTA('UI-UX &amp; Responsive'!$B$2:$B$257)</x:f>
        <x:v>256</x:v>
      </x:c>
      <x:c r="D13" s="3" t="str"/>
    </x:row>
    <x:row r="14" ht="36" customHeight="1">
      <x:c r="A14" s="3" t="str">
        <x:v>Sheet</x:v>
      </x:c>
      <x:c r="B14" s="3" t="str">
        <x:v>API Test Cases</x:v>
      </x:c>
      <x:c r="C14" s="3" t="n">
        <x:f>COUNTA('API Test Cases'!$B$2:$B$346)</x:f>
        <x:v>345</x:v>
      </x:c>
      <x:c r="D14" s="3" t="str"/>
    </x:row>
    <x:row r="15" ht="36" customHeight="1">
      <x:c r="A15" s="3" t="str">
        <x:v>Sheet</x:v>
      </x:c>
      <x:c r="B15" s="3" t="str">
        <x:v>Security &amp; Permission</x:v>
      </x:c>
      <x:c r="C15" s="3" t="n">
        <x:f>COUNTA('Security &amp; Permission'!$B$2:$B$147)</x:f>
        <x:v>146</x:v>
      </x:c>
      <x:c r="D15" s="3" t="str"/>
    </x:row>
    <x:row r="16" ht="36" customHeight="1">
      <x:c r="A16" s="3" t="str">
        <x:v>Sheet</x:v>
      </x:c>
      <x:c r="B16" s="3" t="str">
        <x:v>Performance</x:v>
      </x:c>
      <x:c r="C16" s="3" t="n">
        <x:f>COUNTA('Performance'!$B$2:$B$16)</x:f>
        <x:v>15</x:v>
      </x:c>
      <x:c r="D16" s="3" t="str"/>
    </x:row>
    <x:row r="17" ht="36" customHeight="1">
      <x:c r="A17" s="3" t="str">
        <x:v>Sheet</x:v>
      </x:c>
      <x:c r="B17" s="3" t="str">
        <x:v>Compatibility</x:v>
      </x:c>
      <x:c r="C17" s="3" t="n">
        <x:f>COUNTA('Compatibility'!$B$2:$B$25)</x:f>
        <x:v>24</x:v>
      </x:c>
      <x:c r="D17" s="3" t="str"/>
    </x:row>
    <x:row r="18" ht="36" customHeight="1">
      <x:c r="A18" s="3" t="str">
        <x:v>Module</x:v>
      </x:c>
      <x:c r="B18" s="3" t="str">
        <x:v>ANALYTICS</x:v>
      </x:c>
      <x:c r="C18" s="3" t="n">
        <x:f>COUNTIFS('Functional Test Cases'!$C$2:$C$337,"ANALYTICS")+COUNTIFS('UI-UX &amp; Responsive'!$C$2:$C$257,"ANALYTICS")+COUNTIFS('API Test Cases'!$C$2:$C$346,"ANALYTICS")+COUNTIFS('Security &amp; Permission'!$C$2:$C$147,"ANALYTICS")+COUNTIFS('Performance'!$C$2:$C$16,"ANALYTICS")+COUNTIFS('Compatibility'!$C$2:$C$25,"ANALYTICS")</x:f>
        <x:v>15</x:v>
      </x:c>
      <x:c r="D18" s="3" t="str"/>
    </x:row>
    <x:row r="19" ht="22" customHeight="1">
      <x:c r="A19" s="3" t="str">
        <x:v>Module</x:v>
      </x:c>
      <x:c r="B19" s="3" t="str">
        <x:v>API</x:v>
      </x:c>
      <x:c r="C19" s="3" t="n">
        <x:f>COUNTIFS('Functional Test Cases'!$C$2:$C$337,"API")+COUNTIFS('UI-UX &amp; Responsive'!$C$2:$C$257,"API")+COUNTIFS('API Test Cases'!$C$2:$C$346,"API")+COUNTIFS('Security &amp; Permission'!$C$2:$C$147,"API")+COUNTIFS('Performance'!$C$2:$C$16,"API")+COUNTIFS('Compatibility'!$C$2:$C$25,"API")</x:f>
        <x:v>89</x:v>
      </x:c>
      <x:c r="D19" s="3" t="str"/>
      <x:c r="F19" s="14" t="str">
        <x:v>Status</x:v>
      </x:c>
      <x:c r="G19" s="14" t="str">
        <x:v>Số test</x:v>
      </x:c>
    </x:row>
    <x:row r="20" ht="22" customHeight="1">
      <x:c r="A20" s="3" t="str">
        <x:v>Module</x:v>
      </x:c>
      <x:c r="B20" s="3" t="str">
        <x:v>APPLICATION</x:v>
      </x:c>
      <x:c r="C20" s="3" t="n">
        <x:f>COUNTIFS('Functional Test Cases'!$C$2:$C$337,"APPLICATION")+COUNTIFS('UI-UX &amp; Responsive'!$C$2:$C$257,"APPLICATION")+COUNTIFS('API Test Cases'!$C$2:$C$346,"APPLICATION")+COUNTIFS('Security &amp; Permission'!$C$2:$C$147,"APPLICATION")+COUNTIFS('Performance'!$C$2:$C$16,"APPLICATION")+COUNTIFS('Compatibility'!$C$2:$C$25,"APPLICATION")</x:f>
        <x:v>1</x:v>
      </x:c>
      <x:c r="D20" s="3" t="str"/>
      <x:c r="F20" s="14" t="str">
        <x:v>PASS</x:v>
      </x:c>
      <x:c r="G20" s="14" t="n">
        <x:f>C4</x:f>
        <x:v>0</x:v>
      </x:c>
    </x:row>
    <x:row r="21" ht="22" customHeight="1">
      <x:c r="A21" s="3" t="str">
        <x:v>Module</x:v>
      </x:c>
      <x:c r="B21" s="3" t="str">
        <x:v>AUDIT</x:v>
      </x:c>
      <x:c r="C21" s="3" t="n">
        <x:f>COUNTIFS('Functional Test Cases'!$C$2:$C$337,"AUDIT")+COUNTIFS('UI-UX &amp; Responsive'!$C$2:$C$257,"AUDIT")+COUNTIFS('API Test Cases'!$C$2:$C$346,"AUDIT")+COUNTIFS('Security &amp; Permission'!$C$2:$C$147,"AUDIT")+COUNTIFS('Performance'!$C$2:$C$16,"AUDIT")+COUNTIFS('Compatibility'!$C$2:$C$25,"AUDIT")</x:f>
        <x:v>7</x:v>
      </x:c>
      <x:c r="D21" s="3" t="str"/>
      <x:c r="F21" s="14" t="str">
        <x:v>FAIL</x:v>
      </x:c>
      <x:c r="G21" s="14" t="n">
        <x:f>C5</x:f>
        <x:v>0</x:v>
      </x:c>
    </x:row>
    <x:row r="22" ht="22" customHeight="1">
      <x:c r="A22" s="3" t="str">
        <x:v>Module</x:v>
      </x:c>
      <x:c r="B22" s="3" t="str">
        <x:v>AUTH</x:v>
      </x:c>
      <x:c r="C22" s="3" t="n">
        <x:f>COUNTIFS('Functional Test Cases'!$C$2:$C$337,"AUTH")+COUNTIFS('UI-UX &amp; Responsive'!$C$2:$C$257,"AUTH")+COUNTIFS('API Test Cases'!$C$2:$C$346,"AUTH")+COUNTIFS('Security &amp; Permission'!$C$2:$C$147,"AUTH")+COUNTIFS('Performance'!$C$2:$C$16,"AUTH")+COUNTIFS('Compatibility'!$C$2:$C$25,"AUTH")</x:f>
        <x:v>70</x:v>
      </x:c>
      <x:c r="D22" s="3" t="str"/>
      <x:c r="F22" s="14" t="str">
        <x:v>BLOCKED</x:v>
      </x:c>
      <x:c r="G22" s="14" t="n">
        <x:f>C6</x:f>
        <x:v>0</x:v>
      </x:c>
    </x:row>
    <x:row r="23" ht="22" customHeight="1">
      <x:c r="A23" s="3" t="str">
        <x:v>Module</x:v>
      </x:c>
      <x:c r="B23" s="3" t="str">
        <x:v>COMPAT</x:v>
      </x:c>
      <x:c r="C23" s="3" t="n">
        <x:f>COUNTIFS('Functional Test Cases'!$C$2:$C$337,"COMPAT")+COUNTIFS('UI-UX &amp; Responsive'!$C$2:$C$257,"COMPAT")+COUNTIFS('API Test Cases'!$C$2:$C$346,"COMPAT")+COUNTIFS('Security &amp; Permission'!$C$2:$C$147,"COMPAT")+COUNTIFS('Performance'!$C$2:$C$16,"COMPAT")+COUNTIFS('Compatibility'!$C$2:$C$25,"COMPAT")</x:f>
        <x:v>24</x:v>
      </x:c>
      <x:c r="D23" s="3" t="str"/>
      <x:c r="F23" s="14" t="str">
        <x:v>NOT RUN</x:v>
      </x:c>
      <x:c r="G23" s="14" t="n">
        <x:f>C7</x:f>
        <x:v>1057</x:v>
      </x:c>
    </x:row>
    <x:row r="24" ht="22" customHeight="1">
      <x:c r="A24" s="3" t="str">
        <x:v>Module</x:v>
      </x:c>
      <x:c r="B24" s="3" t="str">
        <x:v>CONSULT</x:v>
      </x:c>
      <x:c r="C24" s="3" t="n">
        <x:f>COUNTIFS('Functional Test Cases'!$C$2:$C$337,"CONSULT")+COUNTIFS('UI-UX &amp; Responsive'!$C$2:$C$257,"CONSULT")+COUNTIFS('API Test Cases'!$C$2:$C$346,"CONSULT")+COUNTIFS('Security &amp; Permission'!$C$2:$C$147,"CONSULT")+COUNTIFS('Performance'!$C$2:$C$16,"CONSULT")+COUNTIFS('Compatibility'!$C$2:$C$25,"CONSULT")</x:f>
        <x:v>106</x:v>
      </x:c>
      <x:c r="D24" s="3" t="str"/>
      <x:c r="F24" s="14" t="str">
        <x:v>NEED CONFIRMATION</x:v>
      </x:c>
      <x:c r="G24" s="14" t="n">
        <x:f>C8</x:f>
        <x:v>65</x:v>
      </x:c>
    </x:row>
    <x:row r="25" ht="36" customHeight="1">
      <x:c r="A25" s="3" t="str">
        <x:v>Module</x:v>
      </x:c>
      <x:c r="B25" s="3" t="str">
        <x:v>DASH</x:v>
      </x:c>
      <x:c r="C25" s="3" t="n">
        <x:f>COUNTIFS('Functional Test Cases'!$C$2:$C$337,"DASH")+COUNTIFS('UI-UX &amp; Responsive'!$C$2:$C$257,"DASH")+COUNTIFS('API Test Cases'!$C$2:$C$346,"DASH")+COUNTIFS('Security &amp; Permission'!$C$2:$C$147,"DASH")+COUNTIFS('Performance'!$C$2:$C$16,"DASH")+COUNTIFS('Compatibility'!$C$2:$C$25,"DASH")</x:f>
        <x:v>11</x:v>
      </x:c>
      <x:c r="D25" s="3" t="str"/>
    </x:row>
    <x:row r="26" ht="36" customHeight="1">
      <x:c r="A26" s="3" t="str">
        <x:v>Module</x:v>
      </x:c>
      <x:c r="B26" s="3" t="str">
        <x:v>DATA</x:v>
      </x:c>
      <x:c r="C26" s="3" t="n">
        <x:f>COUNTIFS('Functional Test Cases'!$C$2:$C$337,"DATA")+COUNTIFS('UI-UX &amp; Responsive'!$C$2:$C$257,"DATA")+COUNTIFS('API Test Cases'!$C$2:$C$346,"DATA")+COUNTIFS('Security &amp; Permission'!$C$2:$C$147,"DATA")+COUNTIFS('Performance'!$C$2:$C$16,"DATA")+COUNTIFS('Compatibility'!$C$2:$C$25,"DATA")</x:f>
        <x:v>7</x:v>
      </x:c>
      <x:c r="D26" s="3" t="str"/>
    </x:row>
    <x:row r="27" ht="36" customHeight="1">
      <x:c r="A27" s="3" t="str">
        <x:v>Module</x:v>
      </x:c>
      <x:c r="B27" s="3" t="str">
        <x:v>I18N</x:v>
      </x:c>
      <x:c r="C27" s="3" t="n">
        <x:f>COUNTIFS('Functional Test Cases'!$C$2:$C$337,"I18N")+COUNTIFS('UI-UX &amp; Responsive'!$C$2:$C$257,"I18N")+COUNTIFS('API Test Cases'!$C$2:$C$346,"I18N")+COUNTIFS('Security &amp; Permission'!$C$2:$C$147,"I18N")+COUNTIFS('Performance'!$C$2:$C$16,"I18N")+COUNTIFS('Compatibility'!$C$2:$C$25,"I18N")</x:f>
        <x:v>45</x:v>
      </x:c>
      <x:c r="D27" s="3" t="str"/>
    </x:row>
    <x:row r="28" ht="36" customHeight="1">
      <x:c r="A28" s="3" t="str">
        <x:v>Module</x:v>
      </x:c>
      <x:c r="B28" s="3" t="str">
        <x:v>MEDIA</x:v>
      </x:c>
      <x:c r="C28" s="3" t="n">
        <x:f>COUNTIFS('Functional Test Cases'!$C$2:$C$337,"MEDIA")+COUNTIFS('UI-UX &amp; Responsive'!$C$2:$C$257,"MEDIA")+COUNTIFS('API Test Cases'!$C$2:$C$346,"MEDIA")+COUNTIFS('Security &amp; Permission'!$C$2:$C$147,"MEDIA")+COUNTIFS('Performance'!$C$2:$C$16,"MEDIA")+COUNTIFS('Compatibility'!$C$2:$C$25,"MEDIA")</x:f>
        <x:v>18</x:v>
      </x:c>
      <x:c r="D28" s="3" t="str"/>
    </x:row>
    <x:row r="29" ht="36" customHeight="1">
      <x:c r="A29" s="3" t="str">
        <x:v>Module</x:v>
      </x:c>
      <x:c r="B29" s="3" t="str">
        <x:v>NEWS</x:v>
      </x:c>
      <x:c r="C29" s="3" t="n">
        <x:f>COUNTIFS('Functional Test Cases'!$C$2:$C$337,"NEWS")+COUNTIFS('UI-UX &amp; Responsive'!$C$2:$C$257,"NEWS")+COUNTIFS('API Test Cases'!$C$2:$C$346,"NEWS")+COUNTIFS('Security &amp; Permission'!$C$2:$C$147,"NEWS")+COUNTIFS('Performance'!$C$2:$C$16,"NEWS")+COUNTIFS('Compatibility'!$C$2:$C$25,"NEWS")</x:f>
        <x:v>77</x:v>
      </x:c>
      <x:c r="D29" s="3" t="str"/>
    </x:row>
    <x:row r="30" ht="36" customHeight="1">
      <x:c r="A30" s="3" t="str">
        <x:v>Module</x:v>
      </x:c>
      <x:c r="B30" s="3" t="str">
        <x:v>PERF</x:v>
      </x:c>
      <x:c r="C30" s="3" t="n">
        <x:f>COUNTIFS('Functional Test Cases'!$C$2:$C$337,"PERF")+COUNTIFS('UI-UX &amp; Responsive'!$C$2:$C$257,"PERF")+COUNTIFS('API Test Cases'!$C$2:$C$346,"PERF")+COUNTIFS('Security &amp; Permission'!$C$2:$C$147,"PERF")+COUNTIFS('Performance'!$C$2:$C$16,"PERF")+COUNTIFS('Compatibility'!$C$2:$C$25,"PERF")</x:f>
        <x:v>15</x:v>
      </x:c>
      <x:c r="D30" s="3" t="str"/>
    </x:row>
    <x:row r="31" ht="36" customHeight="1">
      <x:c r="A31" s="3" t="str">
        <x:v>Module</x:v>
      </x:c>
      <x:c r="B31" s="3" t="str">
        <x:v>PERMISSION</x:v>
      </x:c>
      <x:c r="C31" s="3" t="n">
        <x:f>COUNTIFS('Functional Test Cases'!$C$2:$C$337,"PERMISSION")+COUNTIFS('UI-UX &amp; Responsive'!$C$2:$C$257,"PERMISSION")+COUNTIFS('API Test Cases'!$C$2:$C$346,"PERMISSION")+COUNTIFS('Security &amp; Permission'!$C$2:$C$147,"PERMISSION")+COUNTIFS('Performance'!$C$2:$C$16,"PERMISSION")+COUNTIFS('Compatibility'!$C$2:$C$25,"PERMISSION")</x:f>
        <x:v>106</x:v>
      </x:c>
      <x:c r="D31" s="3" t="str"/>
    </x:row>
    <x:row r="32" ht="36" customHeight="1">
      <x:c r="A32" s="3" t="str">
        <x:v>Module</x:v>
      </x:c>
      <x:c r="B32" s="3" t="str">
        <x:v>PROGRAMME</x:v>
      </x:c>
      <x:c r="C32" s="3" t="n">
        <x:f>COUNTIFS('Functional Test Cases'!$C$2:$C$337,"PROGRAMME")+COUNTIFS('UI-UX &amp; Responsive'!$C$2:$C$257,"PROGRAMME")+COUNTIFS('API Test Cases'!$C$2:$C$346,"PROGRAMME")+COUNTIFS('Security &amp; Permission'!$C$2:$C$147,"PROGRAMME")+COUNTIFS('Performance'!$C$2:$C$16,"PROGRAMME")+COUNTIFS('Compatibility'!$C$2:$C$25,"PROGRAMME")</x:f>
        <x:v>8</x:v>
      </x:c>
      <x:c r="D32" s="3" t="str"/>
    </x:row>
    <x:row r="33" ht="36" customHeight="1">
      <x:c r="A33" s="3" t="str">
        <x:v>Module</x:v>
      </x:c>
      <x:c r="B33" s="3" t="str">
        <x:v>PUBLIC</x:v>
      </x:c>
      <x:c r="C33" s="3" t="n">
        <x:f>COUNTIFS('Functional Test Cases'!$C$2:$C$337,"PUBLIC")+COUNTIFS('UI-UX &amp; Responsive'!$C$2:$C$257,"PUBLIC")+COUNTIFS('API Test Cases'!$C$2:$C$346,"PUBLIC")+COUNTIFS('Security &amp; Permission'!$C$2:$C$147,"PUBLIC")+COUNTIFS('Performance'!$C$2:$C$16,"PUBLIC")+COUNTIFS('Compatibility'!$C$2:$C$25,"PUBLIC")</x:f>
        <x:v>63</x:v>
      </x:c>
      <x:c r="D33" s="3" t="str"/>
    </x:row>
    <x:row r="34" ht="36" customHeight="1">
      <x:c r="A34" s="3" t="str">
        <x:v>Module</x:v>
      </x:c>
      <x:c r="B34" s="3" t="str">
        <x:v>RESEARCH</x:v>
      </x:c>
      <x:c r="C34" s="3" t="n">
        <x:f>COUNTIFS('Functional Test Cases'!$C$2:$C$337,"RESEARCH")+COUNTIFS('UI-UX &amp; Responsive'!$C$2:$C$257,"RESEARCH")+COUNTIFS('API Test Cases'!$C$2:$C$346,"RESEARCH")+COUNTIFS('Security &amp; Permission'!$C$2:$C$147,"RESEARCH")+COUNTIFS('Performance'!$C$2:$C$16,"RESEARCH")+COUNTIFS('Compatibility'!$C$2:$C$25,"RESEARCH")</x:f>
        <x:v>10</x:v>
      </x:c>
      <x:c r="D34" s="3" t="str"/>
    </x:row>
    <x:row r="35" ht="36" customHeight="1">
      <x:c r="A35" s="3" t="str">
        <x:v>Module</x:v>
      </x:c>
      <x:c r="B35" s="3" t="str">
        <x:v>RESOURCE</x:v>
      </x:c>
      <x:c r="C35" s="3" t="n">
        <x:f>COUNTIFS('Functional Test Cases'!$C$2:$C$337,"RESOURCE")+COUNTIFS('UI-UX &amp; Responsive'!$C$2:$C$257,"RESOURCE")+COUNTIFS('API Test Cases'!$C$2:$C$346,"RESOURCE")+COUNTIFS('Security &amp; Permission'!$C$2:$C$147,"RESOURCE")+COUNTIFS('Performance'!$C$2:$C$16,"RESOURCE")+COUNTIFS('Compatibility'!$C$2:$C$25,"RESOURCE")</x:f>
        <x:v>103</x:v>
      </x:c>
      <x:c r="D35" s="3" t="str"/>
    </x:row>
    <x:row r="36" ht="36" customHeight="1">
      <x:c r="A36" s="3" t="str">
        <x:v>Module</x:v>
      </x:c>
      <x:c r="B36" s="3" t="str">
        <x:v>SCOPE</x:v>
      </x:c>
      <x:c r="C36" s="3" t="n">
        <x:f>COUNTIFS('Functional Test Cases'!$C$2:$C$337,"SCOPE")+COUNTIFS('UI-UX &amp; Responsive'!$C$2:$C$257,"SCOPE")+COUNTIFS('API Test Cases'!$C$2:$C$346,"SCOPE")+COUNTIFS('Security &amp; Permission'!$C$2:$C$147,"SCOPE")+COUNTIFS('Performance'!$C$2:$C$16,"SCOPE")+COUNTIFS('Compatibility'!$C$2:$C$25,"SCOPE")</x:f>
        <x:v>10</x:v>
      </x:c>
      <x:c r="D36" s="3" t="str"/>
    </x:row>
    <x:row r="37" ht="36" customHeight="1">
      <x:c r="A37" s="3" t="str">
        <x:v>Module</x:v>
      </x:c>
      <x:c r="B37" s="3" t="str">
        <x:v>SECURITY</x:v>
      </x:c>
      <x:c r="C37" s="3" t="n">
        <x:f>COUNTIFS('Functional Test Cases'!$C$2:$C$337,"SECURITY")+COUNTIFS('UI-UX &amp; Responsive'!$C$2:$C$257,"SECURITY")+COUNTIFS('API Test Cases'!$C$2:$C$346,"SECURITY")+COUNTIFS('Security &amp; Permission'!$C$2:$C$147,"SECURITY")+COUNTIFS('Performance'!$C$2:$C$16,"SECURITY")+COUNTIFS('Compatibility'!$C$2:$C$25,"SECURITY")</x:f>
        <x:v>18</x:v>
      </x:c>
      <x:c r="D37" s="3" t="str"/>
    </x:row>
    <x:row r="38" ht="36" customHeight="1">
      <x:c r="A38" s="3" t="str">
        <x:v>Module</x:v>
      </x:c>
      <x:c r="B38" s="3" t="str">
        <x:v>SITE</x:v>
      </x:c>
      <x:c r="C38" s="3" t="n">
        <x:f>COUNTIFS('Functional Test Cases'!$C$2:$C$337,"SITE")+COUNTIFS('UI-UX &amp; Responsive'!$C$2:$C$257,"SITE")+COUNTIFS('API Test Cases'!$C$2:$C$346,"SITE")+COUNTIFS('Security &amp; Permission'!$C$2:$C$147,"SITE")+COUNTIFS('Performance'!$C$2:$C$16,"SITE")+COUNTIFS('Compatibility'!$C$2:$C$25,"SITE")</x:f>
        <x:v>30</x:v>
      </x:c>
      <x:c r="D38" s="3" t="str"/>
    </x:row>
    <x:row r="39" ht="36" customHeight="1">
      <x:c r="A39" s="3" t="str">
        <x:v>Module</x:v>
      </x:c>
      <x:c r="B39" s="3" t="str">
        <x:v>UI</x:v>
      </x:c>
      <x:c r="C39" s="3" t="n">
        <x:f>COUNTIFS('Functional Test Cases'!$C$2:$C$337,"UI")+COUNTIFS('UI-UX &amp; Responsive'!$C$2:$C$257,"UI")+COUNTIFS('API Test Cases'!$C$2:$C$346,"UI")+COUNTIFS('Security &amp; Permission'!$C$2:$C$147,"UI")+COUNTIFS('Performance'!$C$2:$C$16,"UI")+COUNTIFS('Compatibility'!$C$2:$C$25,"UI")</x:f>
        <x:v>212</x:v>
      </x:c>
      <x:c r="D39" s="3" t="str"/>
    </x:row>
    <x:row r="40" ht="36" customHeight="1">
      <x:c r="A40" s="3" t="str">
        <x:v>Module</x:v>
      </x:c>
      <x:c r="B40" s="3" t="str">
        <x:v>UPLOAD</x:v>
      </x:c>
      <x:c r="C40" s="3" t="n">
        <x:f>COUNTIFS('Functional Test Cases'!$C$2:$C$337,"UPLOAD")+COUNTIFS('UI-UX &amp; Responsive'!$C$2:$C$257,"UPLOAD")+COUNTIFS('API Test Cases'!$C$2:$C$346,"UPLOAD")+COUNTIFS('Security &amp; Permission'!$C$2:$C$147,"UPLOAD")+COUNTIFS('Performance'!$C$2:$C$16,"UPLOAD")+COUNTIFS('Compatibility'!$C$2:$C$25,"UPLOAD")</x:f>
        <x:v>23</x:v>
      </x:c>
      <x:c r="D40" s="3" t="str"/>
    </x:row>
    <x:row r="41" ht="36" customHeight="1">
      <x:c r="A41" s="3" t="str">
        <x:v>Module</x:v>
      </x:c>
      <x:c r="B41" s="3" t="str">
        <x:v>USER</x:v>
      </x:c>
      <x:c r="C41" s="3" t="n">
        <x:f>COUNTIFS('Functional Test Cases'!$C$2:$C$337,"USER")+COUNTIFS('UI-UX &amp; Responsive'!$C$2:$C$257,"USER")+COUNTIFS('API Test Cases'!$C$2:$C$346,"USER")+COUNTIFS('Security &amp; Permission'!$C$2:$C$147,"USER")+COUNTIFS('Performance'!$C$2:$C$16,"USER")+COUNTIFS('Compatibility'!$C$2:$C$25,"USER")</x:f>
        <x:v>39</x:v>
      </x:c>
      <x:c r="D41" s="3" t="str"/>
    </x:row>
    <x:row r="42" ht="36" customHeight="1">
      <x:c r="A42" s="3" t="str">
        <x:v>Module</x:v>
      </x:c>
      <x:c r="B42" s="3" t="str">
        <x:v>WORD</x:v>
      </x:c>
      <x:c r="C42" s="3" t="n">
        <x:f>COUNTIFS('Functional Test Cases'!$C$2:$C$337,"WORD")+COUNTIFS('UI-UX &amp; Responsive'!$C$2:$C$257,"WORD")+COUNTIFS('API Test Cases'!$C$2:$C$346,"WORD")+COUNTIFS('Security &amp; Permission'!$C$2:$C$147,"WORD")+COUNTIFS('Performance'!$C$2:$C$16,"WORD")+COUNTIFS('Compatibility'!$C$2:$C$25,"WORD")</x:f>
        <x:v>15</x:v>
      </x:c>
      <x:c r="D42" s="3" t="str"/>
    </x:row>
    <x:row r="43" ht="36" customHeight="1">
      <x:c r="A43" s="3" t="str">
        <x:v>Test Type</x:v>
      </x:c>
      <x:c r="B43" s="3" t="str">
        <x:v>Accessibility</x:v>
      </x:c>
      <x:c r="C43" s="3" t="n">
        <x:f>COUNTIFS('Functional Test Cases'!$J$2:$J$337,"Accessibility")+COUNTIFS('UI-UX &amp; Responsive'!$J$2:$J$257,"Accessibility")+COUNTIFS('API Test Cases'!$J$2:$J$346,"Accessibility")+COUNTIFS('Security &amp; Permission'!$J$2:$J$147,"Accessibility")+COUNTIFS('Performance'!$J$2:$J$16,"Accessibility")+COUNTIFS('Compatibility'!$J$2:$J$25,"Accessibility")</x:f>
        <x:v>18</x:v>
      </x:c>
      <x:c r="D43" s="3" t="str"/>
    </x:row>
    <x:row r="44" ht="36" customHeight="1">
      <x:c r="A44" s="3" t="str">
        <x:v>Test Type</x:v>
      </x:c>
      <x:c r="B44" s="3" t="str">
        <x:v>Alternative</x:v>
      </x:c>
      <x:c r="C44" s="3" t="n">
        <x:f>COUNTIFS('Functional Test Cases'!$J$2:$J$337,"Alternative")+COUNTIFS('UI-UX &amp; Responsive'!$J$2:$J$257,"Alternative")+COUNTIFS('API Test Cases'!$J$2:$J$346,"Alternative")+COUNTIFS('Security &amp; Permission'!$J$2:$J$147,"Alternative")+COUNTIFS('Performance'!$J$2:$J$16,"Alternative")+COUNTIFS('Compatibility'!$J$2:$J$25,"Alternative")</x:f>
        <x:v>15</x:v>
      </x:c>
      <x:c r="D44" s="3" t="str"/>
    </x:row>
    <x:row r="45" ht="36" customHeight="1">
      <x:c r="A45" s="3" t="str">
        <x:v>Test Type</x:v>
      </x:c>
      <x:c r="B45" s="3" t="str">
        <x:v>Boundary</x:v>
      </x:c>
      <x:c r="C45" s="3" t="n">
        <x:f>COUNTIFS('Functional Test Cases'!$J$2:$J$337,"Boundary")+COUNTIFS('UI-UX &amp; Responsive'!$J$2:$J$257,"Boundary")+COUNTIFS('API Test Cases'!$J$2:$J$346,"Boundary")+COUNTIFS('Security &amp; Permission'!$J$2:$J$147,"Boundary")+COUNTIFS('Performance'!$J$2:$J$16,"Boundary")+COUNTIFS('Compatibility'!$J$2:$J$25,"Boundary")</x:f>
        <x:v>294</x:v>
      </x:c>
      <x:c r="D45" s="3" t="str"/>
    </x:row>
    <x:row r="46" ht="36" customHeight="1">
      <x:c r="A46" s="3" t="str">
        <x:v>Test Type</x:v>
      </x:c>
      <x:c r="B46" s="3" t="str">
        <x:v>Compatibility</x:v>
      </x:c>
      <x:c r="C46" s="3" t="n">
        <x:f>COUNTIFS('Functional Test Cases'!$J$2:$J$337,"Compatibility")+COUNTIFS('UI-UX &amp; Responsive'!$J$2:$J$257,"Compatibility")+COUNTIFS('API Test Cases'!$J$2:$J$346,"Compatibility")+COUNTIFS('Security &amp; Permission'!$J$2:$J$147,"Compatibility")+COUNTIFS('Performance'!$J$2:$J$16,"Compatibility")+COUNTIFS('Compatibility'!$J$2:$J$25,"Compatibility")</x:f>
        <x:v>24</x:v>
      </x:c>
      <x:c r="D46" s="3" t="str"/>
    </x:row>
    <x:row r="47" ht="36" customHeight="1">
      <x:c r="A47" s="3" t="str">
        <x:v>Test Type</x:v>
      </x:c>
      <x:c r="B47" s="3" t="str">
        <x:v>Concurrency</x:v>
      </x:c>
      <x:c r="C47" s="3" t="n">
        <x:f>COUNTIFS('Functional Test Cases'!$J$2:$J$337,"Concurrency")+COUNTIFS('UI-UX &amp; Responsive'!$J$2:$J$257,"Concurrency")+COUNTIFS('API Test Cases'!$J$2:$J$346,"Concurrency")+COUNTIFS('Security &amp; Permission'!$J$2:$J$147,"Concurrency")+COUNTIFS('Performance'!$J$2:$J$16,"Concurrency")+COUNTIFS('Compatibility'!$J$2:$J$25,"Concurrency")</x:f>
        <x:v>6</x:v>
      </x:c>
      <x:c r="D47" s="3" t="str"/>
    </x:row>
    <x:row r="48" ht="36" customHeight="1">
      <x:c r="A48" s="3" t="str">
        <x:v>Test Type</x:v>
      </x:c>
      <x:c r="B48" s="3" t="str">
        <x:v>Integration</x:v>
      </x:c>
      <x:c r="C48" s="3" t="n">
        <x:f>COUNTIFS('Functional Test Cases'!$J$2:$J$337,"Integration")+COUNTIFS('UI-UX &amp; Responsive'!$J$2:$J$257,"Integration")+COUNTIFS('API Test Cases'!$J$2:$J$346,"Integration")+COUNTIFS('Security &amp; Permission'!$J$2:$J$147,"Integration")+COUNTIFS('Performance'!$J$2:$J$16,"Integration")+COUNTIFS('Compatibility'!$J$2:$J$25,"Integration")</x:f>
        <x:v>7</x:v>
      </x:c>
      <x:c r="D48" s="3" t="str"/>
    </x:row>
    <x:row r="49" ht="36" customHeight="1">
      <x:c r="A49" s="3" t="str">
        <x:v>Test Type</x:v>
      </x:c>
      <x:c r="B49" s="3" t="str">
        <x:v>Localization</x:v>
      </x:c>
      <x:c r="C49" s="3" t="n">
        <x:f>COUNTIFS('Functional Test Cases'!$J$2:$J$337,"Localization")+COUNTIFS('UI-UX &amp; Responsive'!$J$2:$J$257,"Localization")+COUNTIFS('API Test Cases'!$J$2:$J$346,"Localization")+COUNTIFS('Security &amp; Permission'!$J$2:$J$147,"Localization")+COUNTIFS('Performance'!$J$2:$J$16,"Localization")+COUNTIFS('Compatibility'!$J$2:$J$25,"Localization")</x:f>
        <x:v>44</x:v>
      </x:c>
      <x:c r="D49" s="3" t="str"/>
    </x:row>
    <x:row r="50" ht="36" customHeight="1">
      <x:c r="A50" s="3" t="str">
        <x:v>Test Type</x:v>
      </x:c>
      <x:c r="B50" s="3" t="str">
        <x:v>Negative</x:v>
      </x:c>
      <x:c r="C50" s="3" t="n">
        <x:f>COUNTIFS('Functional Test Cases'!$J$2:$J$337,"Negative")+COUNTIFS('UI-UX &amp; Responsive'!$J$2:$J$257,"Negative")+COUNTIFS('API Test Cases'!$J$2:$J$346,"Negative")+COUNTIFS('Security &amp; Permission'!$J$2:$J$147,"Negative")+COUNTIFS('Performance'!$J$2:$J$16,"Negative")+COUNTIFS('Compatibility'!$J$2:$J$25,"Negative")</x:f>
        <x:v>124</x:v>
      </x:c>
      <x:c r="D50" s="3" t="str"/>
    </x:row>
    <x:row r="51" ht="36" customHeight="1">
      <x:c r="A51" s="3" t="str">
        <x:v>Test Type</x:v>
      </x:c>
      <x:c r="B51" s="3" t="str">
        <x:v>Performance</x:v>
      </x:c>
      <x:c r="C51" s="3" t="n">
        <x:f>COUNTIFS('Functional Test Cases'!$J$2:$J$337,"Performance")+COUNTIFS('UI-UX &amp; Responsive'!$J$2:$J$257,"Performance")+COUNTIFS('API Test Cases'!$J$2:$J$346,"Performance")+COUNTIFS('Security &amp; Permission'!$J$2:$J$147,"Performance")+COUNTIFS('Performance'!$J$2:$J$16,"Performance")+COUNTIFS('Compatibility'!$J$2:$J$25,"Performance")</x:f>
        <x:v>15</x:v>
      </x:c>
      <x:c r="D51" s="3" t="str"/>
    </x:row>
    <x:row r="52" ht="36" customHeight="1">
      <x:c r="A52" s="3" t="str">
        <x:v>Test Type</x:v>
      </x:c>
      <x:c r="B52" s="3" t="str">
        <x:v>Positive</x:v>
      </x:c>
      <x:c r="C52" s="3" t="n">
        <x:f>COUNTIFS('Functional Test Cases'!$J$2:$J$337,"Positive")+COUNTIFS('UI-UX &amp; Responsive'!$J$2:$J$257,"Positive")+COUNTIFS('API Test Cases'!$J$2:$J$346,"Positive")+COUNTIFS('Security &amp; Permission'!$J$2:$J$147,"Positive")+COUNTIFS('Performance'!$J$2:$J$16,"Positive")+COUNTIFS('Compatibility'!$J$2:$J$25,"Positive")</x:f>
        <x:v>250</x:v>
      </x:c>
      <x:c r="D52" s="3" t="str"/>
    </x:row>
    <x:row r="53" ht="36" customHeight="1">
      <x:c r="A53" s="3" t="str">
        <x:v>Test Type</x:v>
      </x:c>
      <x:c r="B53" s="3" t="str">
        <x:v>Responsive</x:v>
      </x:c>
      <x:c r="C53" s="3" t="n">
        <x:f>COUNTIFS('Functional Test Cases'!$J$2:$J$337,"Responsive")+COUNTIFS('UI-UX &amp; Responsive'!$J$2:$J$257,"Responsive")+COUNTIFS('API Test Cases'!$J$2:$J$346,"Responsive")+COUNTIFS('Security &amp; Permission'!$J$2:$J$147,"Responsive")+COUNTIFS('Performance'!$J$2:$J$16,"Responsive")+COUNTIFS('Compatibility'!$J$2:$J$25,"Responsive")</x:f>
        <x:v>188</x:v>
      </x:c>
      <x:c r="D53" s="3" t="str"/>
    </x:row>
    <x:row r="54" ht="36" customHeight="1">
      <x:c r="A54" s="3" t="str">
        <x:v>Test Type</x:v>
      </x:c>
      <x:c r="B54" s="3" t="str">
        <x:v>Review</x:v>
      </x:c>
      <x:c r="C54" s="3" t="n">
        <x:f>COUNTIFS('Functional Test Cases'!$J$2:$J$337,"Review")+COUNTIFS('UI-UX &amp; Responsive'!$J$2:$J$257,"Review")+COUNTIFS('API Test Cases'!$J$2:$J$346,"Review")+COUNTIFS('Security &amp; Permission'!$J$2:$J$147,"Review")+COUNTIFS('Performance'!$J$2:$J$16,"Review")+COUNTIFS('Compatibility'!$J$2:$J$25,"Review")</x:f>
        <x:v>10</x:v>
      </x:c>
      <x:c r="D54" s="3" t="str"/>
    </x:row>
    <x:row r="55" ht="36" customHeight="1">
      <x:c r="A55" s="3" t="str">
        <x:v>Test Type</x:v>
      </x:c>
      <x:c r="B55" s="3" t="str">
        <x:v>Security</x:v>
      </x:c>
      <x:c r="C55" s="3" t="n">
        <x:f>COUNTIFS('Functional Test Cases'!$J$2:$J$337,"Security")+COUNTIFS('UI-UX &amp; Responsive'!$J$2:$J$257,"Security")+COUNTIFS('API Test Cases'!$J$2:$J$346,"Security")+COUNTIFS('Security &amp; Permission'!$J$2:$J$147,"Security")+COUNTIFS('Performance'!$J$2:$J$16,"Security")+COUNTIFS('Compatibility'!$J$2:$J$25,"Security")</x:f>
        <x:v>121</x:v>
      </x:c>
      <x:c r="D55" s="3" t="str"/>
    </x:row>
    <x:row r="56" ht="36" customHeight="1">
      <x:c r="A56" s="3" t="str">
        <x:v>Test Type</x:v>
      </x:c>
      <x:c r="B56" s="3" t="str">
        <x:v>UI</x:v>
      </x:c>
      <x:c r="C56" s="3" t="n">
        <x:f>COUNTIFS('Functional Test Cases'!$J$2:$J$337,"UI")+COUNTIFS('UI-UX &amp; Responsive'!$J$2:$J$257,"UI")+COUNTIFS('API Test Cases'!$J$2:$J$346,"UI")+COUNTIFS('Security &amp; Permission'!$J$2:$J$147,"UI")+COUNTIFS('Performance'!$J$2:$J$16,"UI")+COUNTIFS('Compatibility'!$J$2:$J$25,"UI")</x:f>
        <x:v>6</x:v>
      </x:c>
      <x:c r="D56" s="3" t="str"/>
    </x:row>
    <x:row r="57" ht="36" customHeight="1">
      <x:c r="A57" s="3" t="str">
        <x:v>Priority</x:v>
      </x:c>
      <x:c r="B57" s="3" t="str">
        <x:v>Critical</x:v>
      </x:c>
      <x:c r="C57" s="3" t="n">
        <x:f>COUNTIFS('Functional Test Cases'!$K$2:$K$337,"Critical")+COUNTIFS('UI-UX &amp; Responsive'!$K$2:$K$257,"Critical")+COUNTIFS('API Test Cases'!$K$2:$K$346,"Critical")+COUNTIFS('Security &amp; Permission'!$K$2:$K$147,"Critical")+COUNTIFS('Performance'!$K$2:$K$16,"Critical")+COUNTIFS('Compatibility'!$K$2:$K$25,"Critical")</x:f>
        <x:v>77</x:v>
      </x:c>
      <x:c r="D57" s="3" t="str"/>
    </x:row>
    <x:row r="58" ht="36" customHeight="1">
      <x:c r="A58" s="3" t="str">
        <x:v>Priority</x:v>
      </x:c>
      <x:c r="B58" s="3" t="str">
        <x:v>High</x:v>
      </x:c>
      <x:c r="C58" s="3" t="n">
        <x:f>COUNTIFS('Functional Test Cases'!$K$2:$K$337,"High")+COUNTIFS('UI-UX &amp; Responsive'!$K$2:$K$257,"High")+COUNTIFS('API Test Cases'!$K$2:$K$346,"High")+COUNTIFS('Security &amp; Permission'!$K$2:$K$147,"High")+COUNTIFS('Performance'!$K$2:$K$16,"High")+COUNTIFS('Compatibility'!$K$2:$K$25,"High")</x:f>
        <x:v>370</x:v>
      </x:c>
      <x:c r="D58" s="3" t="str"/>
    </x:row>
    <x:row r="59" ht="36" customHeight="1">
      <x:c r="A59" s="3" t="str">
        <x:v>Priority</x:v>
      </x:c>
      <x:c r="B59" s="3" t="str">
        <x:v>Medium</x:v>
      </x:c>
      <x:c r="C59" s="3" t="n">
        <x:f>COUNTIFS('Functional Test Cases'!$K$2:$K$337,"Medium")+COUNTIFS('UI-UX &amp; Responsive'!$K$2:$K$257,"Medium")+COUNTIFS('API Test Cases'!$K$2:$K$346,"Medium")+COUNTIFS('Security &amp; Permission'!$K$2:$K$147,"Medium")+COUNTIFS('Performance'!$K$2:$K$16,"Medium")+COUNTIFS('Compatibility'!$K$2:$K$25,"Medium")</x:f>
        <x:v>675</x:v>
      </x:c>
      <x:c r="D59" s="3" t="str"/>
    </x:row>
    <x:row r="60" ht="36" customHeight="1">
      <x:c r="A60" s="3" t="str">
        <x:v>Priority</x:v>
      </x:c>
      <x:c r="B60" s="3" t="str">
        <x:v>Low</x:v>
      </x:c>
      <x:c r="C60" s="3" t="n">
        <x:f>COUNTIFS('Functional Test Cases'!$K$2:$K$337,"Low")+COUNTIFS('UI-UX &amp; Responsive'!$K$2:$K$257,"Low")+COUNTIFS('API Test Cases'!$K$2:$K$346,"Low")+COUNTIFS('Security &amp; Permission'!$K$2:$K$147,"Low")+COUNTIFS('Performance'!$K$2:$K$16,"Low")+COUNTIFS('Compatibility'!$K$2:$K$25,"Low")</x:f>
        <x:v>0</x:v>
      </x:c>
      <x:c r="D60" s="3" t="str"/>
    </x:row>
    <x:row r="61" ht="36" customHeight="1">
      <x:c r="A61" s="3" t="str">
        <x:v>Thiếu thông tin</x:v>
      </x:c>
      <x:c r="B61" s="3" t="str">
        <x:v>API</x:v>
      </x:c>
      <x:c r="C61" s="3" t="n">
        <x:f>COUNTIFS('Functional Test Cases'!$C$2:$C$337,"API",'Functional Test Cases'!$R$2:$R$337,"NEED CONFIRMATION")+COUNTIFS('UI-UX &amp; Responsive'!$C$2:$C$257,"API",'UI-UX &amp; Responsive'!$R$2:$R$257,"NEED CONFIRMATION")+COUNTIFS('API Test Cases'!$C$2:$C$346,"API",'API Test Cases'!$R$2:$R$346,"NEED CONFIRMATION")+COUNTIFS('Security &amp; Permission'!$C$2:$C$147,"API",'Security &amp; Permission'!$R$2:$R$147,"NEED CONFIRMATION")+COUNTIFS('Performance'!$C$2:$C$16,"API",'Performance'!$R$2:$R$16,"NEED CONFIRMATION")+COUNTIFS('Compatibility'!$C$2:$C$25,"API",'Compatibility'!$R$2:$R$25,"NEED CONFIRMATION")</x:f>
        <x:v>1</x:v>
      </x:c>
      <x:c r="D61" s="3" t="str">
        <x:v>User đã viết bài bị xóa</x:v>
      </x:c>
    </x:row>
    <x:row r="62" ht="36" customHeight="1">
      <x:c r="A62" s="3" t="str">
        <x:v>Thiếu thông tin</x:v>
      </x:c>
      <x:c r="B62" s="3" t="str">
        <x:v>APPLICATION</x:v>
      </x:c>
      <x:c r="C62" s="3" t="n">
        <x:f>COUNTIFS('Functional Test Cases'!$C$2:$C$337,"APPLICATION",'Functional Test Cases'!$R$2:$R$337,"NEED CONFIRMATION")+COUNTIFS('UI-UX &amp; Responsive'!$C$2:$C$257,"APPLICATION",'UI-UX &amp; Responsive'!$R$2:$R$257,"NEED CONFIRMATION")+COUNTIFS('API Test Cases'!$C$2:$C$346,"APPLICATION",'API Test Cases'!$R$2:$R$346,"NEED CONFIRMATION")+COUNTIFS('Security &amp; Permission'!$C$2:$C$147,"APPLICATION",'Security &amp; Permission'!$R$2:$R$147,"NEED CONFIRMATION")+COUNTIFS('Performance'!$C$2:$C$16,"APPLICATION",'Performance'!$R$2:$R$16,"NEED CONFIRMATION")+COUNTIFS('Compatibility'!$C$2:$C$25,"APPLICATION",'Compatibility'!$R$2:$R$25,"NEED CONFIRMATION")</x:f>
        <x:v>1</x:v>
      </x:c>
      <x:c r="D62" s="3" t="str">
        <x:v>Ứng tuyển chưa có luồng tạo</x:v>
      </x:c>
    </x:row>
    <x:row r="63" ht="36" customHeight="1">
      <x:c r="A63" s="3" t="str">
        <x:v>Thiếu thông tin</x:v>
      </x:c>
      <x:c r="B63" s="3" t="str">
        <x:v>AUDIT</x:v>
      </x:c>
      <x:c r="C63" s="3" t="n">
        <x:f>COUNTIFS('Functional Test Cases'!$C$2:$C$337,"AUDIT",'Functional Test Cases'!$R$2:$R$337,"NEED CONFIRMATION")+COUNTIFS('UI-UX &amp; Responsive'!$C$2:$C$257,"AUDIT",'UI-UX &amp; Responsive'!$R$2:$R$257,"NEED CONFIRMATION")+COUNTIFS('API Test Cases'!$C$2:$C$346,"AUDIT",'API Test Cases'!$R$2:$R$346,"NEED CONFIRMATION")+COUNTIFS('Security &amp; Permission'!$C$2:$C$147,"AUDIT",'Security &amp; Permission'!$R$2:$R$147,"NEED CONFIRMATION")+COUNTIFS('Performance'!$C$2:$C$16,"AUDIT",'Performance'!$R$2:$R$16,"NEED CONFIRMATION")+COUNTIFS('Compatibility'!$C$2:$C$25,"AUDIT",'Compatibility'!$R$2:$R$25,"NEED CONFIRMATION")</x:f>
        <x:v>1</x:v>
      </x:c>
      <x:c r="D63" s="3" t="str">
        <x:v>Thông báo lộ audit giữa vai trò</x:v>
      </x:c>
    </x:row>
    <x:row r="64" ht="36" customHeight="1">
      <x:c r="A64" s="3" t="str">
        <x:v>Thiếu thông tin</x:v>
      </x:c>
      <x:c r="B64" s="3" t="str">
        <x:v>AUTH</x:v>
      </x:c>
      <x:c r="C64" s="3" t="n">
        <x:f>COUNTIFS('Functional Test Cases'!$C$2:$C$337,"AUTH",'Functional Test Cases'!$R$2:$R$337,"NEED CONFIRMATION")+COUNTIFS('UI-UX &amp; Responsive'!$C$2:$C$257,"AUTH",'UI-UX &amp; Responsive'!$R$2:$R$257,"NEED CONFIRMATION")+COUNTIFS('API Test Cases'!$C$2:$C$346,"AUTH",'API Test Cases'!$R$2:$R$346,"NEED CONFIRMATION")+COUNTIFS('Security &amp; Permission'!$C$2:$C$147,"AUTH",'Security &amp; Permission'!$R$2:$R$147,"NEED CONFIRMATION")+COUNTIFS('Performance'!$C$2:$C$16,"AUTH",'Performance'!$R$2:$R$16,"NEED CONFIRMATION")+COUNTIFS('Compatibility'!$C$2:$C$25,"AUTH",'Compatibility'!$R$2:$R$25,"NEED CONFIRMATION")</x:f>
        <x:v>1</x:v>
      </x:c>
      <x:c r="D64" s="3" t="str">
        <x:v>SMTP chưa cấu hình</x:v>
      </x:c>
    </x:row>
    <x:row r="65" ht="140" customHeight="1">
      <x:c r="A65" s="3" t="str">
        <x:v>Thiếu thông tin</x:v>
      </x:c>
      <x:c r="B65" s="3" t="str">
        <x:v>CONSULT</x:v>
      </x:c>
      <x:c r="C65" s="3" t="n">
        <x:f>COUNTIFS('Functional Test Cases'!$C$2:$C$337,"CONSULT",'Functional Test Cases'!$R$2:$R$337,"NEED CONFIRMATION")+COUNTIFS('UI-UX &amp; Responsive'!$C$2:$C$257,"CONSULT",'UI-UX &amp; Responsive'!$R$2:$R$257,"NEED CONFIRMATION")+COUNTIFS('API Test Cases'!$C$2:$C$346,"CONSULT",'API Test Cases'!$R$2:$R$346,"NEED CONFIRMATION")+COUNTIFS('Security &amp; Permission'!$C$2:$C$147,"CONSULT",'Security &amp; Permission'!$R$2:$R$147,"NEED CONFIRMATION")+COUNTIFS('Performance'!$C$2:$C$16,"CONSULT",'Performance'!$R$2:$R$16,"NEED CONFIRMATION")+COUNTIFS('Compatibility'!$C$2:$C$25,"CONSULT",'Compatibility'!$R$2:$R$25,"NEED CONFIRMATION")</x:f>
        <x:v>10</x:v>
      </x:c>
      <x:c r="D65" s="3" t="str">
        <x:v>RECEIVED trên UI
CONSULTED trên UI
UNREACHABLE trên UI
CANCELLED trên UI
Giới hạn tên 80/100/120
Phone ký tự chữ qua API
Consent hidden tự đồng ý
Danh sách chỉ 100 lead
Phân công và ghi chú mới có model
Idempotency khi timeout sau commit</x:v>
      </x:c>
    </x:row>
    <x:row r="66" ht="36" customHeight="1">
      <x:c r="A66" s="3" t="str">
        <x:v>Thiếu thông tin</x:v>
      </x:c>
      <x:c r="B66" s="3" t="str">
        <x:v>DASH</x:v>
      </x:c>
      <x:c r="C66" s="3" t="n">
        <x:f>COUNTIFS('Functional Test Cases'!$C$2:$C$337,"DASH",'Functional Test Cases'!$R$2:$R$337,"NEED CONFIRMATION")+COUNTIFS('UI-UX &amp; Responsive'!$C$2:$C$257,"DASH",'UI-UX &amp; Responsive'!$R$2:$R$257,"NEED CONFIRMATION")+COUNTIFS('API Test Cases'!$C$2:$C$346,"DASH",'API Test Cases'!$R$2:$R$346,"NEED CONFIRMATION")+COUNTIFS('Security &amp; Permission'!$C$2:$C$147,"DASH",'Security &amp; Permission'!$R$2:$R$147,"NEED CONFIRMATION")+COUNTIFS('Performance'!$C$2:$C$16,"DASH",'Performance'!$R$2:$R$16,"NEED CONFIRMATION")+COUNTIFS('Compatibility'!$C$2:$C$25,"DASH",'Compatibility'!$R$2:$R$25,"NEED CONFIRMATION")</x:f>
        <x:v>1</x:v>
      </x:c>
      <x:c r="D66" s="3" t="str">
        <x:v>Biểu đồ có dữ liệu mô phỏng</x:v>
      </x:c>
    </x:row>
    <x:row r="67" ht="218" customHeight="1">
      <x:c r="A67" s="3" t="str">
        <x:v>Thiếu thông tin</x:v>
      </x:c>
      <x:c r="B67" s="3" t="str">
        <x:v>I18N</x:v>
      </x:c>
      <x:c r="C67" s="3" t="n">
        <x:f>COUNTIFS('Functional Test Cases'!$C$2:$C$337,"I18N",'Functional Test Cases'!$R$2:$R$337,"NEED CONFIRMATION")+COUNTIFS('UI-UX &amp; Responsive'!$C$2:$C$257,"I18N",'UI-UX &amp; Responsive'!$R$2:$R$257,"NEED CONFIRMATION")+COUNTIFS('API Test Cases'!$C$2:$C$346,"I18N",'API Test Cases'!$R$2:$R$346,"NEED CONFIRMATION")+COUNTIFS('Security &amp; Permission'!$C$2:$C$147,"I18N",'Security &amp; Permission'!$R$2:$R$147,"NEED CONFIRMATION")+COUNTIFS('Performance'!$C$2:$C$16,"I18N",'Performance'!$R$2:$R$16,"NEED CONFIRMATION")+COUNTIFS('Compatibility'!$C$2:$C$25,"I18N",'Compatibility'!$R$2:$R$25,"NEED CONFIRMATION")</x:f>
        <x:v>16</x:v>
      </x:c>
      <x:c r="D67" s="3" t="str">
        <x:v>Tin EN bị truy vấn locale=vi
Trang chủ: Bản dịch toàn trang
Giới thiệu: Bản dịch toàn trang
Lãnh đạo: Bản dịch toàn trang
Chương trình: Bản dịch toàn trang
Thạc sĩ: Bản dịch toàn trang
Tuyển sinh: Bản dịch toàn trang
Học bổng: Bản dịch toàn trang
Nghiên cứu: Bản dịch toàn trang
Công bố: Bản dịch toàn trang
Người học: Bản dịch toàn trang
Tin tức: Bản dịch toàn trang
Chi tiết tin: Bản dịch toàn trang
Tài nguyên: Bản dịch toàn trang
Mất query khi đổi locale
Metadata EN</x:v>
      </x:c>
    </x:row>
    <x:row r="68" ht="62" customHeight="1">
      <x:c r="A68" s="3" t="str">
        <x:v>Thiếu thông tin</x:v>
      </x:c>
      <x:c r="B68" s="3" t="str">
        <x:v>NEWS</x:v>
      </x:c>
      <x:c r="C68" s="3" t="n">
        <x:f>COUNTIFS('Functional Test Cases'!$C$2:$C$337,"NEWS",'Functional Test Cases'!$R$2:$R$337,"NEED CONFIRMATION")+COUNTIFS('UI-UX &amp; Responsive'!$C$2:$C$257,"NEWS",'UI-UX &amp; Responsive'!$R$2:$R$257,"NEED CONFIRMATION")+COUNTIFS('API Test Cases'!$C$2:$C$346,"NEWS",'API Test Cases'!$R$2:$R$346,"NEED CONFIRMATION")+COUNTIFS('Security &amp; Permission'!$C$2:$C$147,"NEWS",'Security &amp; Permission'!$R$2:$R$147,"NEED CONFIRMATION")+COUNTIFS('Performance'!$C$2:$C$16,"NEWS",'Performance'!$R$2:$R$16,"NEED CONFIRMATION")+COUNTIFS('Compatibility'!$C$2:$C$25,"NEWS",'Compatibility'!$R$2:$R$25,"NEED CONFIRMATION")</x:f>
        <x:v>4</x:v>
      </x:c>
      <x:c r="D68" s="3" t="str">
        <x:v>Slug trùng: tài liệu và code khác nhau
Tin PUBLISHED có ngày tương lai
Demo tin mặc định
Sửa record đã bị người khác xóa /admin/news</x:v>
      </x:c>
    </x:row>
    <x:row r="69" ht="140" customHeight="1">
      <x:c r="A69" s="3" t="str">
        <x:v>Thiếu thông tin</x:v>
      </x:c>
      <x:c r="B69" s="3" t="str">
        <x:v>PERF</x:v>
      </x:c>
      <x:c r="C69" s="3" t="n">
        <x:f>COUNTIFS('Functional Test Cases'!$C$2:$C$337,"PERF",'Functional Test Cases'!$R$2:$R$337,"NEED CONFIRMATION")+COUNTIFS('UI-UX &amp; Responsive'!$C$2:$C$257,"PERF",'UI-UX &amp; Responsive'!$R$2:$R$257,"NEED CONFIRMATION")+COUNTIFS('API Test Cases'!$C$2:$C$346,"PERF",'API Test Cases'!$R$2:$R$346,"NEED CONFIRMATION")+COUNTIFS('Security &amp; Permission'!$C$2:$C$147,"PERF",'Security &amp; Permission'!$R$2:$R$147,"NEED CONFIRMATION")+COUNTIFS('Performance'!$C$2:$C$16,"PERF",'Performance'!$R$2:$R$16,"NEED CONFIRMATION")+COUNTIFS('Compatibility'!$C$2:$C$25,"PERF",'Compatibility'!$R$2:$R$25,"NEED CONFIRMATION")</x:f>
        <x:v>10</x:v>
      </x:c>
      <x:c r="D69" s="3" t="str">
        <x:v>Trang chủ mạng di động
API tin dữ liệu lớn
Resource list không phân trang public
Dashboard polling đồng thời
Notification polling
Login Argon2 tải
Upload đồng thời
Soak memory
Search chương trình
RPO/RTO khôi phục</x:v>
      </x:c>
    </x:row>
    <x:row r="70" ht="49" customHeight="1">
      <x:c r="A70" s="3" t="str">
        <x:v>Thiếu thông tin</x:v>
      </x:c>
      <x:c r="B70" s="3" t="str">
        <x:v>PERMISSION</x:v>
      </x:c>
      <x:c r="C70" s="3" t="n">
        <x:f>COUNTIFS('Functional Test Cases'!$C$2:$C$337,"PERMISSION",'Functional Test Cases'!$R$2:$R$337,"NEED CONFIRMATION")+COUNTIFS('UI-UX &amp; Responsive'!$C$2:$C$257,"PERMISSION",'UI-UX &amp; Responsive'!$R$2:$R$257,"NEED CONFIRMATION")+COUNTIFS('API Test Cases'!$C$2:$C$346,"PERMISSION",'API Test Cases'!$R$2:$R$346,"NEED CONFIRMATION")+COUNTIFS('Security &amp; Permission'!$C$2:$C$147,"PERMISSION",'Security &amp; Permission'!$R$2:$R$147,"NEED CONFIRMATION")+COUNTIFS('Performance'!$C$2:$C$16,"PERMISSION",'Performance'!$R$2:$R$16,"NEED CONFIRMATION")+COUNTIFS('Compatibility'!$C$2:$C$25,"PERMISSION",'Compatibility'!$R$2:$R$25,"NEED CONFIRMATION")</x:f>
        <x:v>3</x:v>
      </x:c>
      <x:c r="D70" s="3" t="str">
        <x:v>Permission publish không được guard riêng
Bypass mustChangePassword qua CMS
Bootstrap admin và backend khác quyền</x:v>
      </x:c>
    </x:row>
    <x:row r="71" ht="49" customHeight="1">
      <x:c r="A71" s="3" t="str">
        <x:v>Thiếu thông tin</x:v>
      </x:c>
      <x:c r="B71" s="3" t="str">
        <x:v>RESOURCE</x:v>
      </x:c>
      <x:c r="C71" s="3" t="n">
        <x:f>COUNTIFS('Functional Test Cases'!$C$2:$C$337,"RESOURCE",'Functional Test Cases'!$R$2:$R$337,"NEED CONFIRMATION")+COUNTIFS('UI-UX &amp; Responsive'!$C$2:$C$257,"RESOURCE",'UI-UX &amp; Responsive'!$R$2:$R$257,"NEED CONFIRMATION")+COUNTIFS('API Test Cases'!$C$2:$C$346,"RESOURCE",'API Test Cases'!$R$2:$R$346,"NEED CONFIRMATION")+COUNTIFS('Security &amp; Permission'!$C$2:$C$147,"RESOURCE",'Security &amp; Permission'!$R$2:$R$147,"NEED CONFIRMATION")+COUNTIFS('Performance'!$C$2:$C$16,"RESOURCE",'Performance'!$R$2:$R$16,"NEED CONFIRMATION")+COUNTIFS('Compatibility'!$C$2:$C$25,"RESOURCE",'Compatibility'!$R$2:$R$25,"NEED CONFIRMATION")</x:f>
        <x:v>3</x:v>
      </x:c>
      <x:c r="D71" s="3" t="str">
        <x:v>Demo resource mặc định
File nháp có URL media công khai
Object sau hard delete</x:v>
      </x:c>
    </x:row>
    <x:row r="72" ht="140" customHeight="1">
      <x:c r="A72" s="3" t="str">
        <x:v>Thiếu thông tin</x:v>
      </x:c>
      <x:c r="B72" s="3" t="str">
        <x:v>SCOPE</x:v>
      </x:c>
      <x:c r="C72" s="3" t="n">
        <x:f>COUNTIFS('Functional Test Cases'!$C$2:$C$337,"SCOPE",'Functional Test Cases'!$R$2:$R$337,"NEED CONFIRMATION")+COUNTIFS('UI-UX &amp; Responsive'!$C$2:$C$257,"SCOPE",'UI-UX &amp; Responsive'!$R$2:$R$257,"NEED CONFIRMATION")+COUNTIFS('API Test Cases'!$C$2:$C$346,"SCOPE",'API Test Cases'!$R$2:$R$346,"NEED CONFIRMATION")+COUNTIFS('Security &amp; Permission'!$C$2:$C$147,"SCOPE",'Security &amp; Permission'!$R$2:$R$147,"NEED CONFIRMATION")+COUNTIFS('Performance'!$C$2:$C$16,"SCOPE",'Performance'!$R$2:$R$16,"NEED CONFIRMATION")+COUNTIFS('Compatibility'!$C$2:$C$25,"SCOPE",'Compatibility'!$R$2:$R$25,"NEED CONFIRMATION")</x:f>
        <x:v>10</x:v>
      </x:c>
      <x:c r="D72" s="3" t="str">
        <x:v>OQ-001 — Phạm vi
OQ-002 — Nội dung
OQ-003 — Tư vấn
OQ-004 — Dữ liệu cá nhân
OQ-005 — Tệp
OQ-006 — Xóa
OQ-007 — Hồ sơ
OQ-008 — Vận hành
OQ-009 — Tích hợp
OQ-010 — Nghiệm thu</x:v>
      </x:c>
    </x:row>
    <x:row r="73" ht="36" customHeight="1">
      <x:c r="A73" s="3" t="str">
        <x:v>Thiếu thông tin</x:v>
      </x:c>
      <x:c r="B73" s="3" t="str">
        <x:v>SITE</x:v>
      </x:c>
      <x:c r="C73" s="3" t="n">
        <x:f>COUNTIFS('Functional Test Cases'!$C$2:$C$337,"SITE",'Functional Test Cases'!$R$2:$R$337,"NEED CONFIRMATION")+COUNTIFS('UI-UX &amp; Responsive'!$C$2:$C$257,"SITE",'UI-UX &amp; Responsive'!$R$2:$R$257,"NEED CONFIRMATION")+COUNTIFS('API Test Cases'!$C$2:$C$346,"SITE",'API Test Cases'!$R$2:$R$346,"NEED CONFIRMATION")+COUNTIFS('Security &amp; Permission'!$C$2:$C$147,"SITE",'Security &amp; Permission'!$R$2:$R$147,"NEED CONFIRMATION")+COUNTIFS('Performance'!$C$2:$C$16,"SITE",'Performance'!$R$2:$R$16,"NEED CONFIRMATION")+COUNTIFS('Compatibility'!$C$2:$C$25,"SITE",'Compatibility'!$R$2:$R$25,"NEED CONFIRMATION")</x:f>
        <x:v>2</x:v>
      </x:c>
      <x:c r="D73" s="3" t="str">
        <x:v>website.view/update thiếu seed
Key chung cho hai locale</x:v>
      </x:c>
    </x:row>
    <x:row r="74" ht="36" customHeight="1">
      <x:c r="A74" s="3" t="str">
        <x:v>Thiếu thông tin</x:v>
      </x:c>
      <x:c r="B74" s="3" t="str">
        <x:v>UPLOAD</x:v>
      </x:c>
      <x:c r="C74" s="3" t="n">
        <x:f>COUNTIFS('Functional Test Cases'!$C$2:$C$337,"UPLOAD",'Functional Test Cases'!$R$2:$R$337,"NEED CONFIRMATION")+COUNTIFS('UI-UX &amp; Responsive'!$C$2:$C$257,"UPLOAD",'UI-UX &amp; Responsive'!$R$2:$R$257,"NEED CONFIRMATION")+COUNTIFS('API Test Cases'!$C$2:$C$346,"UPLOAD",'API Test Cases'!$R$2:$R$346,"NEED CONFIRMATION")+COUNTIFS('Security &amp; Permission'!$C$2:$C$147,"UPLOAD",'Security &amp; Permission'!$R$2:$R$147,"NEED CONFIRMATION")+COUNTIFS('Performance'!$C$2:$C$16,"UPLOAD",'Performance'!$R$2:$R$16,"NEED CONFIRMATION")+COUNTIFS('Compatibility'!$C$2:$C$25,"UPLOAD",'Compatibility'!$R$2:$R$25,"NEED CONFIRMATION")</x:f>
        <x:v>1</x:v>
      </x:c>
      <x:c r="D74" s="3" t="str">
        <x:v>Ngưỡng 25 MiB so với 50 MiB</x:v>
      </x:c>
    </x:row>
    <x:row r="75" ht="36" customHeight="1">
      <x:c r="A75" s="3" t="str">
        <x:v>Thiếu thông tin</x:v>
      </x:c>
      <x:c r="B75" s="3" t="str">
        <x:v>USER</x:v>
      </x:c>
      <x:c r="C75" s="3" t="n">
        <x:f>COUNTIFS('Functional Test Cases'!$C$2:$C$337,"USER",'Functional Test Cases'!$R$2:$R$337,"NEED CONFIRMATION")+COUNTIFS('UI-UX &amp; Responsive'!$C$2:$C$257,"USER",'UI-UX &amp; Responsive'!$R$2:$R$257,"NEED CONFIRMATION")+COUNTIFS('API Test Cases'!$C$2:$C$346,"USER",'API Test Cases'!$R$2:$R$346,"NEED CONFIRMATION")+COUNTIFS('Security &amp; Permission'!$C$2:$C$147,"USER",'Security &amp; Permission'!$R$2:$R$147,"NEED CONFIRMATION")+COUNTIFS('Performance'!$C$2:$C$16,"USER",'Performance'!$R$2:$R$16,"NEED CONFIRMATION")+COUNTIFS('Compatibility'!$C$2:$C$25,"USER",'Compatibility'!$R$2:$R$25,"NEED CONFIRMATION")</x:f>
        <x:v>1</x:v>
      </x:c>
      <x:c r="D75" s="3" t="str">
        <x:v>Email VLU UI và schema khác</x:v>
      </x:c>
    </x:row>
  </x:sheetData>
  <x:pageMargins left="0.7" right="0.7" top="0.75" bottom="0.75" header="0.3" footer="0.3"/>
  <x:drawing xmlns:r="http://schemas.openxmlformats.org/officeDocument/2006/relationships" r:id="R151f4e51b0394f33"/>
  <x:tableParts count="2">
    <x:tablePart xmlns:r="http://schemas.openxmlformats.org/officeDocument/2006/relationships" r:id="R667e9f9004be4c69"/>
    <x:tablePart xmlns:r="http://schemas.openxmlformats.org/officeDocument/2006/relationships" r:id="R7a0605d7bd0c4906"/>
  </x:tableParts>
</x:worksheet>
</file>

<file path=xl/worksheets/sheet3.xml><?xml version="1.0" encoding="utf-8"?>
<x:worksheet xmlns:x="http://schemas.openxmlformats.org/spreadsheetml/2006/main">
  <x:sheetPr>
    <x:tabColor rgb="FF547394"/>
  </x:sheetPr>
  <x:sheetViews>
    <x:sheetView showGridLines="0" workbookViewId="0">
      <x:pane xSplit="2" ySplit="1" topLeftCell="C2" activePane="bottomRight" state="frozen"/>
    </x:sheetView>
  </x:sheetViews>
  <x:sheetFormatPr defaultRowHeight="15"/>
  <x:cols>
    <x:col min="1" max="1" width="7" hidden="0" customWidth="1"/>
    <x:col min="2" max="2" width="23" hidden="0" customWidth="1"/>
    <x:col min="3" max="3" width="18" hidden="0" customWidth="1"/>
    <x:col min="4" max="4" width="27" hidden="0" customWidth="1"/>
    <x:col min="5" max="5" width="27" hidden="0" customWidth="1"/>
    <x:col min="6" max="6" width="38" hidden="0" customWidth="1"/>
    <x:col min="7" max="7" width="42" hidden="0" customWidth="1"/>
    <x:col min="8" max="8" width="24" hidden="0" customWidth="1"/>
    <x:col min="9" max="9" width="30" hidden="0" customWidth="1"/>
    <x:col min="10" max="10" width="20" hidden="0" customWidth="1"/>
    <x:col min="11" max="11" width="15" hidden="0" customWidth="1"/>
    <x:col min="12" max="12" width="15" hidden="0" customWidth="1"/>
    <x:col min="13" max="13" width="58" hidden="0" customWidth="1"/>
    <x:col min="14" max="14" width="62" hidden="0" customWidth="1"/>
    <x:col min="15" max="15" width="72" hidden="0" customWidth="1"/>
    <x:col min="16" max="16" width="74" hidden="0" customWidth="1"/>
    <x:col min="17" max="17" width="55" hidden="0" customWidth="1"/>
    <x:col min="18" max="18" width="24" hidden="0" customWidth="1"/>
    <x:col min="19" max="19" width="30" hidden="0" customWidth="1"/>
    <x:col min="20" max="20" width="27" hidden="0" customWidth="1"/>
    <x:col min="21" max="21" width="20" hidden="0" customWidth="1"/>
    <x:col min="22" max="22" width="16" hidden="0" customWidth="1"/>
    <x:col min="23" max="23" width="35" hidden="0" customWidth="1"/>
    <x:col min="24" max="24" width="20" hidden="0" customWidth="1"/>
    <x:col min="25" max="25" width="78" hidden="0" customWidth="1"/>
  </x:cols>
  <x:sheetData>
    <x:row r="1" ht="34" customHeight="1">
      <x:c r="A1" s="7" t="str">
        <x:v>STT</x:v>
      </x:c>
      <x:c r="B1" s="7" t="str">
        <x:v>Test Case ID</x:v>
      </x:c>
      <x:c r="C1" s="7" t="str">
        <x:v>Module</x:v>
      </x:c>
      <x:c r="D1" s="7" t="str">
        <x:v>Sub-module</x:v>
      </x:c>
      <x:c r="E1" s="7" t="str">
        <x:v>Feature</x:v>
      </x:c>
      <x:c r="F1" s="7" t="str">
        <x:v>Test Scenario</x:v>
      </x:c>
      <x:c r="G1" s="7" t="str">
        <x:v>Test Case Title</x:v>
      </x:c>
      <x:c r="H1" s="7" t="str">
        <x:v>Requirement/User Story ID</x:v>
      </x:c>
      <x:c r="I1" s="7" t="str">
        <x:v>User Role</x:v>
      </x:c>
      <x:c r="J1" s="7" t="str">
        <x:v>Test Type</x:v>
      </x:c>
      <x:c r="K1" s="7" t="str">
        <x:v>Priority</x:v>
      </x:c>
      <x:c r="L1" s="7" t="str">
        <x:v>Severity</x:v>
      </x:c>
      <x:c r="M1" s="7" t="str">
        <x:v>Preconditions</x:v>
      </x:c>
      <x:c r="N1" s="7" t="str">
        <x:v>Test Data</x:v>
      </x:c>
      <x:c r="O1" s="7" t="str">
        <x:v>Test Steps</x:v>
      </x:c>
      <x:c r="P1" s="7" t="str">
        <x:v>Expected Result</x:v>
      </x:c>
      <x:c r="Q1" s="7" t="str">
        <x:v>Actual Result</x:v>
      </x:c>
      <x:c r="R1" s="7" t="str">
        <x:v>Status</x:v>
      </x:c>
      <x:c r="S1" s="7" t="str">
        <x:v>Environment</x:v>
      </x:c>
      <x:c r="T1" s="7" t="str">
        <x:v>Browser/Device</x:v>
      </x:c>
      <x:c r="U1" s="7" t="str">
        <x:v>Tester</x:v>
      </x:c>
      <x:c r="V1" s="7" t="str">
        <x:v>Test Date</x:v>
      </x:c>
      <x:c r="W1" s="7" t="str">
        <x:v>Evidence/Attachment</x:v>
      </x:c>
      <x:c r="X1" s="7" t="str">
        <x:v>Bug ID</x:v>
      </x:c>
      <x:c r="Y1" s="7" t="str">
        <x:v>Notes</x:v>
      </x:c>
    </x:row>
    <x:row r="2" ht="62" customHeight="1">
      <x:c r="A2" s="3" t="n">
        <x:v>1</x:v>
      </x:c>
      <x:c r="B2" s="3" t="str">
        <x:v>TC_AUTH_001</x:v>
      </x:c>
      <x:c r="C2" s="3" t="str">
        <x:v>AUTH</x:v>
      </x:c>
      <x:c r="D2" s="3" t="str">
        <x:v>Xác thực và vòng đời phiên</x:v>
      </x:c>
      <x:c r="E2" s="3" t="str">
        <x:v>Xác thực và vòng đời phiên</x:v>
      </x:c>
      <x:c r="F2" s="3" t="str">
        <x:v>Positive — Đăng nhập username hợp lệ</x:v>
      </x:c>
      <x:c r="G2" s="3" t="str">
        <x:v>Đăng nhập username hợp lệ</x:v>
      </x:c>
      <x:c r="H2" s="3" t="str">
        <x:v>AUTH-001</x:v>
      </x:c>
      <x:c r="I2" s="3" t="str">
        <x:v>QTV có quyền tương ứng</x:v>
      </x:c>
      <x:c r="J2" s="3" t="str">
        <x:v>Positive</x:v>
      </x:c>
      <x:c r="K2" s="3" t="str">
        <x:v>High</x:v>
      </x:c>
      <x:c r="L2" s="3" t="str">
        <x:v>High</x:v>
      </x:c>
      <x:c r="M2" s="3" t="str">
        <x:v>QA cô lập; tài khoản fixture với trạng thái nêu trong case; không đăng nhập trước bước login/reset. Chỉ tạo phiên trước nếu Steps kiểm tra refresh/logout/hết hạn. SMTP sandbox cho reset qua email.</x:v>
      </x:c>
      <x:c r="N2" s="3" t="str">
        <x:v>Dữ liệu QA tổng hợp; xem fixture trong README.</x:v>
      </x:c>
      <x:c r="O2" s="3" t="str">
        <x:v>1. Mở admin tại ADMIN_URL
2. Nhập qa_super và mật khẩu fixture
3. Nhấn Đăng nhập
4. Kiểm tra Network, cookie và URL</x:v>
      </x:c>
      <x:c r="P2" s="3" t="str">
        <x:v>HTTP 200; cookie vgg_admin_session được tạo; redirectTo=/admin/dashboard; lastLoginAt cập nhật.</x:v>
      </x:c>
      <x:c r="Q2" s="11" t="str"/>
      <x:c r="R2" s="8" t="str">
        <x:v>NOT RUN</x:v>
      </x:c>
      <x:c r="S2" s="11" t="str">
        <x:v>QA/UAT — cần điền URL/build</x:v>
      </x:c>
      <x:c r="T2" s="11" t="str">
        <x:v>Cần điền phiên bản thực</x:v>
      </x:c>
      <x:c r="U2" s="11" t="str"/>
      <x:c r="V2" s="12" t="str"/>
      <x:c r="W2" s="11" t="str"/>
      <x:c r="X2" s="11" t="str"/>
      <x:c r="Y2" s="3" t="str">
        <x:v>Nguồn: admin/src/lib/auth/schemas.ts. </x:v>
      </x:c>
    </x:row>
    <x:row r="3" ht="62" customHeight="1">
      <x:c r="A3" s="3" t="n">
        <x:v>2</x:v>
      </x:c>
      <x:c r="B3" s="3" t="str">
        <x:v>TC_AUTH_002</x:v>
      </x:c>
      <x:c r="C3" s="3" t="str">
        <x:v>AUTH</x:v>
      </x:c>
      <x:c r="D3" s="3" t="str">
        <x:v>Xác thực và vòng đời phiên</x:v>
      </x:c>
      <x:c r="E3" s="3" t="str">
        <x:v>Xác thực và vòng đời phiên</x:v>
      </x:c>
      <x:c r="F3" s="3" t="str">
        <x:v>Positive — Đăng nhập bằng email</x:v>
      </x:c>
      <x:c r="G3" s="3" t="str">
        <x:v>Đăng nhập bằng email</x:v>
      </x:c>
      <x:c r="H3" s="3" t="str">
        <x:v>AUTH-001</x:v>
      </x:c>
      <x:c r="I3" s="3" t="str">
        <x:v>QTV có quyền tương ứng</x:v>
      </x:c>
      <x:c r="J3" s="3" t="str">
        <x:v>Positive</x:v>
      </x:c>
      <x:c r="K3" s="3" t="str">
        <x:v>High</x:v>
      </x:c>
      <x:c r="L3" s="3" t="str">
        <x:v>High</x:v>
      </x:c>
      <x:c r="M3" s="3" t="str">
        <x:v>QA cô lập; tài khoản fixture với trạng thái nêu trong case; không đăng nhập trước bước login/reset. Chỉ tạo phiên trước nếu Steps kiểm tra refresh/logout/hết hạn. SMTP sandbox cho reset qua email.</x:v>
      </x:c>
      <x:c r="N3" s="3" t="str">
        <x:v>Dữ liệu QA tổng hợp; xem fixture trong README.</x:v>
      </x:c>
      <x:c r="O3" s="3" t="str">
        <x:v>1. Mở admin tại ADMIN_URL
2. Nhập email fixture đã gắn tài khoản ACTIVE
3. Nhập mật khẩu đúng và gửi</x:v>
      </x:c>
      <x:c r="P3" s="3" t="str">
        <x:v>Admin route trả 200 và cùng tài khoản như đăng nhập username.</x:v>
      </x:c>
      <x:c r="Q3" s="11" t="str"/>
      <x:c r="R3" s="8" t="str">
        <x:v>NOT RUN</x:v>
      </x:c>
      <x:c r="S3" s="11" t="str">
        <x:v>QA/UAT — cần điền URL/build</x:v>
      </x:c>
      <x:c r="T3" s="11" t="str">
        <x:v>Cần điền phiên bản thực</x:v>
      </x:c>
      <x:c r="U3" s="11" t="str"/>
      <x:c r="V3" s="12" t="str"/>
      <x:c r="W3" s="11" t="str"/>
      <x:c r="X3" s="11" t="str"/>
      <x:c r="Y3" s="3" t="str">
        <x:v>Nguồn: admin/src/lib/auth/schemas.ts. </x:v>
      </x:c>
    </x:row>
    <x:row r="4" ht="62" customHeight="1">
      <x:c r="A4" s="3" t="n">
        <x:v>3</x:v>
      </x:c>
      <x:c r="B4" s="3" t="str">
        <x:v>TC_AUTH_003</x:v>
      </x:c>
      <x:c r="C4" s="3" t="str">
        <x:v>AUTH</x:v>
      </x:c>
      <x:c r="D4" s="3" t="str">
        <x:v>Xác thực và vòng đời phiên</x:v>
      </x:c>
      <x:c r="E4" s="3" t="str">
        <x:v>Xác thực và vòng đời phiên</x:v>
      </x:c>
      <x:c r="F4" s="3" t="str">
        <x:v>Negative — Sai mật khẩu</x:v>
      </x:c>
      <x:c r="G4" s="3" t="str">
        <x:v>Sai mật khẩu</x:v>
      </x:c>
      <x:c r="H4" s="3" t="str">
        <x:v>AUTH-001</x:v>
      </x:c>
      <x:c r="I4" s="3" t="str">
        <x:v>QTV có quyền tương ứng</x:v>
      </x:c>
      <x:c r="J4" s="3" t="str">
        <x:v>Negative</x:v>
      </x:c>
      <x:c r="K4" s="3" t="str">
        <x:v>High</x:v>
      </x:c>
      <x:c r="L4" s="3" t="str">
        <x:v>High</x:v>
      </x:c>
      <x:c r="M4" s="3" t="str">
        <x:v>QA cô lập; tài khoản fixture với trạng thái nêu trong case; không đăng nhập trước bước login/reset. Chỉ tạo phiên trước nếu Steps kiểm tra refresh/logout/hết hạn. SMTP sandbox cho reset qua email.</x:v>
      </x:c>
      <x:c r="N4" s="3" t="str">
        <x:v>Dữ liệu QA tổng hợp; xem fixture trong README.</x:v>
      </x:c>
      <x:c r="O4" s="3" t="str">
        <x:v>1. Mở admin tại ADMIN_URL
2. Nhập qa_super với mật khẩu sai
3. Gửi một lần</x:v>
      </x:c>
      <x:c r="P4" s="3" t="str">
        <x:v>HTTP 401; không tạo phiên; failedLoginAttempts tăng 1; có LOGIN_FAILED.</x:v>
      </x:c>
      <x:c r="Q4" s="11" t="str"/>
      <x:c r="R4" s="8" t="str">
        <x:v>NOT RUN</x:v>
      </x:c>
      <x:c r="S4" s="11" t="str">
        <x:v>QA/UAT — cần điền URL/build</x:v>
      </x:c>
      <x:c r="T4" s="11" t="str">
        <x:v>Cần điền phiên bản thực</x:v>
      </x:c>
      <x:c r="U4" s="11" t="str"/>
      <x:c r="V4" s="12" t="str"/>
      <x:c r="W4" s="11" t="str"/>
      <x:c r="X4" s="11" t="str"/>
      <x:c r="Y4" s="3" t="str">
        <x:v>Nguồn: admin/src/lib/auth/schemas.ts. </x:v>
      </x:c>
    </x:row>
    <x:row r="5" ht="62" customHeight="1">
      <x:c r="A5" s="3" t="n">
        <x:v>4</x:v>
      </x:c>
      <x:c r="B5" s="3" t="str">
        <x:v>TC_AUTH_004</x:v>
      </x:c>
      <x:c r="C5" s="3" t="str">
        <x:v>AUTH</x:v>
      </x:c>
      <x:c r="D5" s="3" t="str">
        <x:v>Xác thực và vòng đời phiên</x:v>
      </x:c>
      <x:c r="E5" s="3" t="str">
        <x:v>Xác thực và vòng đời phiên</x:v>
      </x:c>
      <x:c r="F5" s="3" t="str">
        <x:v>Negative — Tài khoản không tồn tại</x:v>
      </x:c>
      <x:c r="G5" s="3" t="str">
        <x:v>Tài khoản không tồn tại</x:v>
      </x:c>
      <x:c r="H5" s="3" t="str">
        <x:v>AUTH-001</x:v>
      </x:c>
      <x:c r="I5" s="3" t="str">
        <x:v>QTV có quyền tương ứng</x:v>
      </x:c>
      <x:c r="J5" s="3" t="str">
        <x:v>Negative</x:v>
      </x:c>
      <x:c r="K5" s="3" t="str">
        <x:v>High</x:v>
      </x:c>
      <x:c r="L5" s="3" t="str">
        <x:v>High</x:v>
      </x:c>
      <x:c r="M5" s="3" t="str">
        <x:v>QA cô lập; tài khoản fixture với trạng thái nêu trong case; không đăng nhập trước bước login/reset. Chỉ tạo phiên trước nếu Steps kiểm tra refresh/logout/hết hạn. SMTP sandbox cho reset qua email.</x:v>
      </x:c>
      <x:c r="N5" s="3" t="str">
        <x:v>Dữ liệu QA tổng hợp; xem fixture trong README.</x:v>
      </x:c>
      <x:c r="O5" s="3" t="str">
        <x:v>1. Mở admin tại ADMIN_URL
2. Nhập qa_missing và mật khẩu bất kỳ
3. Gửi</x:v>
      </x:c>
      <x:c r="P5" s="3" t="str">
        <x:v>HTTP 401; thông báo không phân biệt với sai mật khẩu; không tạo Admin/Session.</x:v>
      </x:c>
      <x:c r="Q5" s="11" t="str"/>
      <x:c r="R5" s="8" t="str">
        <x:v>NOT RUN</x:v>
      </x:c>
      <x:c r="S5" s="11" t="str">
        <x:v>QA/UAT — cần điền URL/build</x:v>
      </x:c>
      <x:c r="T5" s="11" t="str">
        <x:v>Cần điền phiên bản thực</x:v>
      </x:c>
      <x:c r="U5" s="11" t="str"/>
      <x:c r="V5" s="12" t="str"/>
      <x:c r="W5" s="11" t="str"/>
      <x:c r="X5" s="11" t="str"/>
      <x:c r="Y5" s="3" t="str">
        <x:v>Nguồn: admin/src/lib/auth/schemas.ts. </x:v>
      </x:c>
    </x:row>
    <x:row r="6" ht="62" customHeight="1">
      <x:c r="A6" s="3" t="n">
        <x:v>5</x:v>
      </x:c>
      <x:c r="B6" s="3" t="str">
        <x:v>TC_AUTH_005</x:v>
      </x:c>
      <x:c r="C6" s="3" t="str">
        <x:v>AUTH</x:v>
      </x:c>
      <x:c r="D6" s="3" t="str">
        <x:v>Xác thực và vòng đời phiên</x:v>
      </x:c>
      <x:c r="E6" s="3" t="str">
        <x:v>Xác thực và vòng đời phiên</x:v>
      </x:c>
      <x:c r="F6" s="3" t="str">
        <x:v>Negative — Tài khoản INACTIVE</x:v>
      </x:c>
      <x:c r="G6" s="3" t="str">
        <x:v>Tài khoản INACTIVE</x:v>
      </x:c>
      <x:c r="H6" s="3" t="str">
        <x:v>AUTH-001</x:v>
      </x:c>
      <x:c r="I6" s="3" t="str">
        <x:v>QTV có quyền tương ứng</x:v>
      </x:c>
      <x:c r="J6" s="3" t="str">
        <x:v>Negative</x:v>
      </x:c>
      <x:c r="K6" s="3" t="str">
        <x:v>High</x:v>
      </x:c>
      <x:c r="L6" s="3" t="str">
        <x:v>High</x:v>
      </x:c>
      <x:c r="M6" s="3" t="str">
        <x:v>QA cô lập; tài khoản fixture với trạng thái nêu trong case; không đăng nhập trước bước login/reset. Chỉ tạo phiên trước nếu Steps kiểm tra refresh/logout/hết hạn. SMTP sandbox cho reset qua email.</x:v>
      </x:c>
      <x:c r="N6" s="3" t="str">
        <x:v>Dữ liệu QA tổng hợp; xem fixture trong README.</x:v>
      </x:c>
      <x:c r="O6" s="3" t="str">
        <x:v>1. Mở admin tại ADMIN_URL
2. Đặt fixture INACTIVE
3. Nhập mật khẩu đúng và gửi</x:v>
      </x:c>
      <x:c r="P6" s="3" t="str">
        <x:v>HTTP 403; không tạo phiên.</x:v>
      </x:c>
      <x:c r="Q6" s="11" t="str"/>
      <x:c r="R6" s="8" t="str">
        <x:v>NOT RUN</x:v>
      </x:c>
      <x:c r="S6" s="11" t="str">
        <x:v>QA/UAT — cần điền URL/build</x:v>
      </x:c>
      <x:c r="T6" s="11" t="str">
        <x:v>Cần điền phiên bản thực</x:v>
      </x:c>
      <x:c r="U6" s="11" t="str"/>
      <x:c r="V6" s="12" t="str"/>
      <x:c r="W6" s="11" t="str"/>
      <x:c r="X6" s="11" t="str"/>
      <x:c r="Y6" s="3" t="str">
        <x:v>Nguồn: admin/src/lib/auth/schemas.ts. </x:v>
      </x:c>
    </x:row>
    <x:row r="7" ht="62" customHeight="1">
      <x:c r="A7" s="3" t="n">
        <x:v>6</x:v>
      </x:c>
      <x:c r="B7" s="3" t="str">
        <x:v>TC_AUTH_006</x:v>
      </x:c>
      <x:c r="C7" s="3" t="str">
        <x:v>AUTH</x:v>
      </x:c>
      <x:c r="D7" s="3" t="str">
        <x:v>Xác thực và vòng đời phiên</x:v>
      </x:c>
      <x:c r="E7" s="3" t="str">
        <x:v>Xác thực và vòng đời phiên</x:v>
      </x:c>
      <x:c r="F7" s="3" t="str">
        <x:v>Negative — Tài khoản LOCKED</x:v>
      </x:c>
      <x:c r="G7" s="3" t="str">
        <x:v>Tài khoản LOCKED</x:v>
      </x:c>
      <x:c r="H7" s="3" t="str">
        <x:v>AUTH-001</x:v>
      </x:c>
      <x:c r="I7" s="3" t="str">
        <x:v>QTV có quyền tương ứng</x:v>
      </x:c>
      <x:c r="J7" s="3" t="str">
        <x:v>Negative</x:v>
      </x:c>
      <x:c r="K7" s="3" t="str">
        <x:v>High</x:v>
      </x:c>
      <x:c r="L7" s="3" t="str">
        <x:v>High</x:v>
      </x:c>
      <x:c r="M7" s="3" t="str">
        <x:v>QA cô lập; tài khoản fixture với trạng thái nêu trong case; không đăng nhập trước bước login/reset. Chỉ tạo phiên trước nếu Steps kiểm tra refresh/logout/hết hạn. SMTP sandbox cho reset qua email.</x:v>
      </x:c>
      <x:c r="N7" s="3" t="str">
        <x:v>Dữ liệu QA tổng hợp; xem fixture trong README.</x:v>
      </x:c>
      <x:c r="O7" s="3" t="str">
        <x:v>1. Mở admin tại ADMIN_URL
2. Đặt fixture status=LOCKED, lockedUntil=null
3. Đăng nhập đúng mật khẩu</x:v>
      </x:c>
      <x:c r="P7" s="3" t="str">
        <x:v>HTTP 403; không tạo phiên.</x:v>
      </x:c>
      <x:c r="Q7" s="11" t="str"/>
      <x:c r="R7" s="8" t="str">
        <x:v>NOT RUN</x:v>
      </x:c>
      <x:c r="S7" s="11" t="str">
        <x:v>QA/UAT — cần điền URL/build</x:v>
      </x:c>
      <x:c r="T7" s="11" t="str">
        <x:v>Cần điền phiên bản thực</x:v>
      </x:c>
      <x:c r="U7" s="11" t="str"/>
      <x:c r="V7" s="12" t="str"/>
      <x:c r="W7" s="11" t="str"/>
      <x:c r="X7" s="11" t="str"/>
      <x:c r="Y7" s="3" t="str">
        <x:v>Nguồn: admin/src/lib/auth/schemas.ts. </x:v>
      </x:c>
    </x:row>
    <x:row r="8" ht="62" customHeight="1">
      <x:c r="A8" s="3" t="n">
        <x:v>7</x:v>
      </x:c>
      <x:c r="B8" s="3" t="str">
        <x:v>TC_AUTH_007</x:v>
      </x:c>
      <x:c r="C8" s="3" t="str">
        <x:v>AUTH</x:v>
      </x:c>
      <x:c r="D8" s="3" t="str">
        <x:v>Xác thực và vòng đời phiên</x:v>
      </x:c>
      <x:c r="E8" s="3" t="str">
        <x:v>Xác thực và vòng đời phiên</x:v>
      </x:c>
      <x:c r="F8" s="3" t="str">
        <x:v>Boundary — Khóa sau 5 lần sai</x:v>
      </x:c>
      <x:c r="G8" s="3" t="str">
        <x:v>Khóa sau 5 lần sai</x:v>
      </x:c>
      <x:c r="H8" s="3" t="str">
        <x:v>AUTH-001</x:v>
      </x:c>
      <x:c r="I8" s="3" t="str">
        <x:v>QTV có quyền tương ứng</x:v>
      </x:c>
      <x:c r="J8" s="3" t="str">
        <x:v>Boundary</x:v>
      </x:c>
      <x:c r="K8" s="3" t="str">
        <x:v>High</x:v>
      </x:c>
      <x:c r="L8" s="3" t="str">
        <x:v>High</x:v>
      </x:c>
      <x:c r="M8" s="3" t="str">
        <x:v>QA cô lập; tài khoản fixture với trạng thái nêu trong case; không đăng nhập trước bước login/reset. Chỉ tạo phiên trước nếu Steps kiểm tra refresh/logout/hết hạn. SMTP sandbox cho reset qua email.</x:v>
      </x:c>
      <x:c r="N8" s="3" t="str">
        <x:v>Dữ liệu QA tổng hợp; xem fixture trong README.</x:v>
      </x:c>
      <x:c r="O8" s="3" t="str">
        <x:v>1. Mở admin tại ADMIN_URL
2. Đặt failedLoginAttempts=0
3. Gửi sai lần lượt 5 lần
4. Gửi mật khẩu đúng lần thứ 6</x:v>
      </x:c>
      <x:c r="P8" s="3" t="str">
        <x:v>Lần 5 trả 401 và tạo lockedUntil khoảng 15 phút; lần 6 trả 423 trước hạn.</x:v>
      </x:c>
      <x:c r="Q8" s="11" t="str"/>
      <x:c r="R8" s="8" t="str">
        <x:v>NOT RUN</x:v>
      </x:c>
      <x:c r="S8" s="11" t="str">
        <x:v>QA/UAT — cần điền URL/build</x:v>
      </x:c>
      <x:c r="T8" s="11" t="str">
        <x:v>Cần điền phiên bản thực</x:v>
      </x:c>
      <x:c r="U8" s="11" t="str"/>
      <x:c r="V8" s="12" t="str"/>
      <x:c r="W8" s="11" t="str"/>
      <x:c r="X8" s="11" t="str"/>
      <x:c r="Y8" s="3" t="str">
        <x:v>Nguồn: admin/src/lib/auth/schemas.ts. </x:v>
      </x:c>
    </x:row>
    <x:row r="9" ht="62" customHeight="1">
      <x:c r="A9" s="3" t="n">
        <x:v>8</x:v>
      </x:c>
      <x:c r="B9" s="3" t="str">
        <x:v>TC_AUTH_008</x:v>
      </x:c>
      <x:c r="C9" s="3" t="str">
        <x:v>AUTH</x:v>
      </x:c>
      <x:c r="D9" s="3" t="str">
        <x:v>Xác thực và vòng đời phiên</x:v>
      </x:c>
      <x:c r="E9" s="3" t="str">
        <x:v>Xác thực và vòng đời phiên</x:v>
      </x:c>
      <x:c r="F9" s="3" t="str">
        <x:v>Boundary — Hết thời gian khóa</x:v>
      </x:c>
      <x:c r="G9" s="3" t="str">
        <x:v>Hết thời gian khóa</x:v>
      </x:c>
      <x:c r="H9" s="3" t="str">
        <x:v>AUTH-001</x:v>
      </x:c>
      <x:c r="I9" s="3" t="str">
        <x:v>QTV có quyền tương ứng</x:v>
      </x:c>
      <x:c r="J9" s="3" t="str">
        <x:v>Boundary</x:v>
      </x:c>
      <x:c r="K9" s="3" t="str">
        <x:v>High</x:v>
      </x:c>
      <x:c r="L9" s="3" t="str">
        <x:v>High</x:v>
      </x:c>
      <x:c r="M9" s="3" t="str">
        <x:v>QA cô lập; tài khoản fixture với trạng thái nêu trong case; không đăng nhập trước bước login/reset. Chỉ tạo phiên trước nếu Steps kiểm tra refresh/logout/hết hạn. SMTP sandbox cho reset qua email.</x:v>
      </x:c>
      <x:c r="N9" s="3" t="str">
        <x:v>Dữ liệu QA tổng hợp; xem fixture trong README.</x:v>
      </x:c>
      <x:c r="O9" s="3" t="str">
        <x:v>1. Mở admin tại ADMIN_URL
2. Đặt lockedUntil đã qua 1 giây
3. Đăng nhập đúng</x:v>
      </x:c>
      <x:c r="P9" s="3" t="str">
        <x:v>HTTP 200; reset failedLoginAttempts=0 và lockedUntil=null.</x:v>
      </x:c>
      <x:c r="Q9" s="11" t="str"/>
      <x:c r="R9" s="8" t="str">
        <x:v>NOT RUN</x:v>
      </x:c>
      <x:c r="S9" s="11" t="str">
        <x:v>QA/UAT — cần điền URL/build</x:v>
      </x:c>
      <x:c r="T9" s="11" t="str">
        <x:v>Cần điền phiên bản thực</x:v>
      </x:c>
      <x:c r="U9" s="11" t="str"/>
      <x:c r="V9" s="12" t="str"/>
      <x:c r="W9" s="11" t="str"/>
      <x:c r="X9" s="11" t="str"/>
      <x:c r="Y9" s="3" t="str">
        <x:v>Nguồn: admin/src/lib/auth/schemas.ts. </x:v>
      </x:c>
    </x:row>
    <x:row r="10" ht="62" customHeight="1">
      <x:c r="A10" s="3" t="n">
        <x:v>9</x:v>
      </x:c>
      <x:c r="B10" s="3" t="str">
        <x:v>TC_AUTH_009</x:v>
      </x:c>
      <x:c r="C10" s="3" t="str">
        <x:v>AUTH</x:v>
      </x:c>
      <x:c r="D10" s="3" t="str">
        <x:v>Xác thực và vòng đời phiên</x:v>
      </x:c>
      <x:c r="E10" s="3" t="str">
        <x:v>Xác thực và vòng đời phiên</x:v>
      </x:c>
      <x:c r="F10" s="3" t="str">
        <x:v>Positive — Ghi nhớ 30 ngày</x:v>
      </x:c>
      <x:c r="G10" s="3" t="str">
        <x:v>Ghi nhớ 30 ngày</x:v>
      </x:c>
      <x:c r="H10" s="3" t="str">
        <x:v>AUTH-001</x:v>
      </x:c>
      <x:c r="I10" s="3" t="str">
        <x:v>QTV có quyền tương ứng</x:v>
      </x:c>
      <x:c r="J10" s="3" t="str">
        <x:v>Positive</x:v>
      </x:c>
      <x:c r="K10" s="3" t="str">
        <x:v>High</x:v>
      </x:c>
      <x:c r="L10" s="3" t="str">
        <x:v>High</x:v>
      </x:c>
      <x:c r="M10" s="3" t="str">
        <x:v>QA cô lập; tài khoản fixture với trạng thái nêu trong case; không đăng nhập trước bước login/reset. Chỉ tạo phiên trước nếu Steps kiểm tra refresh/logout/hết hạn. SMTP sandbox cho reset qua email.</x:v>
      </x:c>
      <x:c r="N10" s="3" t="str">
        <x:v>Dữ liệu QA tổng hợp; xem fixture trong README.</x:v>
      </x:c>
      <x:c r="O10" s="3" t="str">
        <x:v>1. Mở admin tại ADMIN_URL
2. Chọn ghi nhớ
3. Đăng nhập
4. Kiểm tra expiresAt của DB và cookie</x:v>
      </x:c>
      <x:c r="P10" s="3" t="str">
        <x:v>Hạn phiên cách lúc tạo 30 ngày, sai số theo thời gian thực thi.</x:v>
      </x:c>
      <x:c r="Q10" s="11" t="str"/>
      <x:c r="R10" s="8" t="str">
        <x:v>NOT RUN</x:v>
      </x:c>
      <x:c r="S10" s="11" t="str">
        <x:v>QA/UAT — cần điền URL/build</x:v>
      </x:c>
      <x:c r="T10" s="11" t="str">
        <x:v>Cần điền phiên bản thực</x:v>
      </x:c>
      <x:c r="U10" s="11" t="str"/>
      <x:c r="V10" s="12" t="str"/>
      <x:c r="W10" s="11" t="str"/>
      <x:c r="X10" s="11" t="str"/>
      <x:c r="Y10" s="3" t="str">
        <x:v>Nguồn: admin/src/lib/auth/schemas.ts. </x:v>
      </x:c>
    </x:row>
    <x:row r="11" ht="62" customHeight="1">
      <x:c r="A11" s="3" t="n">
        <x:v>10</x:v>
      </x:c>
      <x:c r="B11" s="3" t="str">
        <x:v>TC_AUTH_010</x:v>
      </x:c>
      <x:c r="C11" s="3" t="str">
        <x:v>AUTH</x:v>
      </x:c>
      <x:c r="D11" s="3" t="str">
        <x:v>Xác thực và vòng đời phiên</x:v>
      </x:c>
      <x:c r="E11" s="3" t="str">
        <x:v>Xác thực và vòng đời phiên</x:v>
      </x:c>
      <x:c r="F11" s="3" t="str">
        <x:v>Positive — Phiên thường 1 ngày</x:v>
      </x:c>
      <x:c r="G11" s="3" t="str">
        <x:v>Phiên thường 1 ngày</x:v>
      </x:c>
      <x:c r="H11" s="3" t="str">
        <x:v>AUTH-001</x:v>
      </x:c>
      <x:c r="I11" s="3" t="str">
        <x:v>QTV có quyền tương ứng</x:v>
      </x:c>
      <x:c r="J11" s="3" t="str">
        <x:v>Positive</x:v>
      </x:c>
      <x:c r="K11" s="3" t="str">
        <x:v>High</x:v>
      </x:c>
      <x:c r="L11" s="3" t="str">
        <x:v>High</x:v>
      </x:c>
      <x:c r="M11" s="3" t="str">
        <x:v>QA cô lập; tài khoản fixture với trạng thái nêu trong case; không đăng nhập trước bước login/reset. Chỉ tạo phiên trước nếu Steps kiểm tra refresh/logout/hết hạn. SMTP sandbox cho reset qua email.</x:v>
      </x:c>
      <x:c r="N11" s="3" t="str">
        <x:v>Dữ liệu QA tổng hợp; xem fixture trong README.</x:v>
      </x:c>
      <x:c r="O11" s="3" t="str">
        <x:v>1. Mở admin tại ADMIN_URL
2. Bỏ ghi nhớ
3. Đăng nhập
4. Kiểm tra expiresAt</x:v>
      </x:c>
      <x:c r="P11" s="3" t="str">
        <x:v>Hạn phiên cách lúc tạo 1 ngày; cookie và DB khớp.</x:v>
      </x:c>
      <x:c r="Q11" s="11" t="str"/>
      <x:c r="R11" s="8" t="str">
        <x:v>NOT RUN</x:v>
      </x:c>
      <x:c r="S11" s="11" t="str">
        <x:v>QA/UAT — cần điền URL/build</x:v>
      </x:c>
      <x:c r="T11" s="11" t="str">
        <x:v>Cần điền phiên bản thực</x:v>
      </x:c>
      <x:c r="U11" s="11" t="str"/>
      <x:c r="V11" s="12" t="str"/>
      <x:c r="W11" s="11" t="str"/>
      <x:c r="X11" s="11" t="str"/>
      <x:c r="Y11" s="3" t="str">
        <x:v>Nguồn: admin/src/lib/auth/schemas.ts. </x:v>
      </x:c>
    </x:row>
    <x:row r="12" ht="62" customHeight="1">
      <x:c r="A12" s="3" t="n">
        <x:v>11</x:v>
      </x:c>
      <x:c r="B12" s="3" t="str">
        <x:v>TC_AUTH_011</x:v>
      </x:c>
      <x:c r="C12" s="3" t="str">
        <x:v>AUTH</x:v>
      </x:c>
      <x:c r="D12" s="3" t="str">
        <x:v>Xác thực và vòng đời phiên</x:v>
      </x:c>
      <x:c r="E12" s="3" t="str">
        <x:v>Xác thực và vòng đời phiên</x:v>
      </x:c>
      <x:c r="F12" s="3" t="str">
        <x:v>Alternative — Refresh và tab mới</x:v>
      </x:c>
      <x:c r="G12" s="3" t="str">
        <x:v>Refresh và tab mới</x:v>
      </x:c>
      <x:c r="H12" s="3" t="str">
        <x:v>AUTH-001</x:v>
      </x:c>
      <x:c r="I12" s="3" t="str">
        <x:v>QTV có quyền tương ứng</x:v>
      </x:c>
      <x:c r="J12" s="3" t="str">
        <x:v>Alternative</x:v>
      </x:c>
      <x:c r="K12" s="3" t="str">
        <x:v>High</x:v>
      </x:c>
      <x:c r="L12" s="3" t="str">
        <x:v>High</x:v>
      </x:c>
      <x:c r="M12" s="3" t="str">
        <x:v>QA cô lập; tài khoản fixture với trạng thái nêu trong case; không đăng nhập trước bước login/reset. Chỉ tạo phiên trước nếu Steps kiểm tra refresh/logout/hết hạn. SMTP sandbox cho reset qua email.</x:v>
      </x:c>
      <x:c r="N12" s="3" t="str">
        <x:v>Dữ liệu QA tổng hợp; xem fixture trong README.</x:v>
      </x:c>
      <x:c r="O12" s="3" t="str">
        <x:v>1. Mở admin tại ADMIN_URL
2. Đăng nhập
3. Refresh dashboard
4. Mở dashboard trong tab mới cùng trình duyệt</x:v>
      </x:c>
      <x:c r="P12" s="3" t="str">
        <x:v>Cùng tài khoản và quyền; không tạo thêm phiên do chỉ refresh.</x:v>
      </x:c>
      <x:c r="Q12" s="11" t="str"/>
      <x:c r="R12" s="8" t="str">
        <x:v>NOT RUN</x:v>
      </x:c>
      <x:c r="S12" s="11" t="str">
        <x:v>QA/UAT — cần điền URL/build</x:v>
      </x:c>
      <x:c r="T12" s="11" t="str">
        <x:v>Cần điền phiên bản thực</x:v>
      </x:c>
      <x:c r="U12" s="11" t="str"/>
      <x:c r="V12" s="12" t="str"/>
      <x:c r="W12" s="11" t="str"/>
      <x:c r="X12" s="11" t="str"/>
      <x:c r="Y12" s="3" t="str">
        <x:v>Nguồn: admin/src/lib/auth/schemas.ts. </x:v>
      </x:c>
    </x:row>
    <x:row r="13" ht="62" customHeight="1">
      <x:c r="A13" s="3" t="n">
        <x:v>12</x:v>
      </x:c>
      <x:c r="B13" s="3" t="str">
        <x:v>TC_AUTH_012</x:v>
      </x:c>
      <x:c r="C13" s="3" t="str">
        <x:v>AUTH</x:v>
      </x:c>
      <x:c r="D13" s="3" t="str">
        <x:v>Xác thực và vòng đời phiên</x:v>
      </x:c>
      <x:c r="E13" s="3" t="str">
        <x:v>Xác thực và vòng đời phiên</x:v>
      </x:c>
      <x:c r="F13" s="3" t="str">
        <x:v>Positive — Đăng xuất thu hồi phiên</x:v>
      </x:c>
      <x:c r="G13" s="3" t="str">
        <x:v>Đăng xuất thu hồi phiên</x:v>
      </x:c>
      <x:c r="H13" s="3" t="str">
        <x:v>OBS-LOGOUT</x:v>
      </x:c>
      <x:c r="I13" s="3" t="str">
        <x:v>QTV có quyền tương ứng</x:v>
      </x:c>
      <x:c r="J13" s="3" t="str">
        <x:v>Positive</x:v>
      </x:c>
      <x:c r="K13" s="3" t="str">
        <x:v>Critical</x:v>
      </x:c>
      <x:c r="L13" s="3" t="str">
        <x:v>Medium</x:v>
      </x:c>
      <x:c r="M13" s="3" t="str">
        <x:v>QA cô lập; tài khoản fixture với trạng thái nêu trong case; không đăng nhập trước bước login/reset. Chỉ tạo phiên trước nếu Steps kiểm tra refresh/logout/hết hạn. SMTP sandbox cho reset qua email.</x:v>
      </x:c>
      <x:c r="N13" s="3" t="str">
        <x:v>Dữ liệu QA tổng hợp; xem fixture trong README.</x:v>
      </x:c>
      <x:c r="O13" s="3" t="str">
        <x:v>1. Mở admin tại ADMIN_URL
2. Đăng nhập
3. Nhấn Đăng xuất
4. Gọi auth/me với cookie cũ</x:v>
      </x:c>
      <x:c r="P13" s="3" t="str">
        <x:v>Về /admin/login; cookie hết hạn; Session hiện tại bị xóa; auth/me trả 401; audit LOGOUT ở admin route.</x:v>
      </x:c>
      <x:c r="Q13" s="11" t="str"/>
      <x:c r="R13" s="8" t="str">
        <x:v>NOT RUN</x:v>
      </x:c>
      <x:c r="S13" s="11" t="str">
        <x:v>QA/UAT — cần điền URL/build</x:v>
      </x:c>
      <x:c r="T13" s="11" t="str">
        <x:v>Cần điền phiên bản thực</x:v>
      </x:c>
      <x:c r="U13" s="11" t="str"/>
      <x:c r="V13" s="12" t="str"/>
      <x:c r="W13" s="11" t="str"/>
      <x:c r="X13" s="11" t="str"/>
      <x:c r="Y13" s="3" t="str">
        <x:v>Nguồn: admin/src/app/api/admin/auth. </x:v>
      </x:c>
    </x:row>
    <x:row r="14" ht="62" customHeight="1">
      <x:c r="A14" s="3" t="n">
        <x:v>13</x:v>
      </x:c>
      <x:c r="B14" s="3" t="str">
        <x:v>TC_AUTH_013</x:v>
      </x:c>
      <x:c r="C14" s="3" t="str">
        <x:v>AUTH</x:v>
      </x:c>
      <x:c r="D14" s="3" t="str">
        <x:v>Xác thực và vòng đời phiên</x:v>
      </x:c>
      <x:c r="E14" s="3" t="str">
        <x:v>Xác thực và vòng đời phiên</x:v>
      </x:c>
      <x:c r="F14" s="3" t="str">
        <x:v>Negative — Back sau đăng xuất</x:v>
      </x:c>
      <x:c r="G14" s="3" t="str">
        <x:v>Back sau đăng xuất</x:v>
      </x:c>
      <x:c r="H14" s="3" t="str">
        <x:v>OBS-LOGOUT</x:v>
      </x:c>
      <x:c r="I14" s="3" t="str">
        <x:v>QTV có quyền tương ứng</x:v>
      </x:c>
      <x:c r="J14" s="3" t="str">
        <x:v>Negative</x:v>
      </x:c>
      <x:c r="K14" s="3" t="str">
        <x:v>High</x:v>
      </x:c>
      <x:c r="L14" s="3" t="str">
        <x:v>High</x:v>
      </x:c>
      <x:c r="M14" s="3" t="str">
        <x:v>Môi trường QA cô lập, DB/MinIO sẵn sàng; dữ liệu fixture đã tạo. Đăng nhập tài khoản ACTIVE, mustChangePassword=false.</x:v>
      </x:c>
      <x:c r="N14" s="3" t="str">
        <x:v>Dữ liệu QA tổng hợp; xem fixture trong README.</x:v>
      </x:c>
      <x:c r="O14" s="3" t="str">
        <x:v>1. Mở admin tại ADMIN_URL
2. Đăng xuất từ dashboard
3. Nhấn Back rồi refresh
4. Thử gọi CMS API</x:v>
      </x:c>
      <x:c r="P14" s="3" t="str">
        <x:v>Không truy xuất dữ liệu mới bằng phiên cũ; API trả 401.</x:v>
      </x:c>
      <x:c r="Q14" s="11" t="str"/>
      <x:c r="R14" s="8" t="str">
        <x:v>NOT RUN</x:v>
      </x:c>
      <x:c r="S14" s="11" t="str">
        <x:v>QA/UAT — cần điền URL/build</x:v>
      </x:c>
      <x:c r="T14" s="11" t="str">
        <x:v>Cần điền phiên bản thực</x:v>
      </x:c>
      <x:c r="U14" s="11" t="str"/>
      <x:c r="V14" s="12" t="str"/>
      <x:c r="W14" s="11" t="str"/>
      <x:c r="X14" s="11" t="str"/>
      <x:c r="Y14" s="3" t="str">
        <x:v>Nguồn: admin/src/app/api/admin/auth. </x:v>
      </x:c>
    </x:row>
    <x:row r="15" ht="49" customHeight="1">
      <x:c r="A15" s="3" t="n">
        <x:v>14</x:v>
      </x:c>
      <x:c r="B15" s="3" t="str">
        <x:v>TC_AUTH_014</x:v>
      </x:c>
      <x:c r="C15" s="3" t="str">
        <x:v>AUTH</x:v>
      </x:c>
      <x:c r="D15" s="3" t="str">
        <x:v>Xác thực và vòng đời phiên</x:v>
      </x:c>
      <x:c r="E15" s="3" t="str">
        <x:v>Xác thực và vòng đời phiên</x:v>
      </x:c>
      <x:c r="F15" s="3" t="str">
        <x:v>Positive — Bắt buộc đổi mật khẩu</x:v>
      </x:c>
      <x:c r="G15" s="3" t="str">
        <x:v>Bắt buộc đổi mật khẩu</x:v>
      </x:c>
      <x:c r="H15" s="3" t="str">
        <x:v>AUTH-002</x:v>
      </x:c>
      <x:c r="I15" s="3" t="str">
        <x:v>QTV có quyền tương ứng</x:v>
      </x:c>
      <x:c r="J15" s="3" t="str">
        <x:v>Positive</x:v>
      </x:c>
      <x:c r="K15" s="3" t="str">
        <x:v>Critical</x:v>
      </x:c>
      <x:c r="L15" s="3" t="str">
        <x:v>Medium</x:v>
      </x:c>
      <x:c r="M15" s="3" t="str">
        <x:v>Môi trường QA cô lập, DB/MinIO sẵn sàng; dữ liệu fixture đã tạo. Đăng nhập tài khoản ACTIVE, mustChangePassword=false.</x:v>
      </x:c>
      <x:c r="N15" s="3" t="str">
        <x:v>Dữ liệu QA tổng hợp; xem fixture trong README.</x:v>
      </x:c>
      <x:c r="O15" s="3" t="str">
        <x:v>1. Mở admin tại ADMIN_URL
2. Đăng nhập fixture mustChangePassword=true
3. Mở /admin/dashboard trực tiếp</x:v>
      </x:c>
      <x:c r="P15" s="3" t="str">
        <x:v>Chuyển /admin/change-password; chưa vào dashboard.</x:v>
      </x:c>
      <x:c r="Q15" s="11" t="str"/>
      <x:c r="R15" s="8" t="str">
        <x:v>NOT RUN</x:v>
      </x:c>
      <x:c r="S15" s="11" t="str">
        <x:v>QA/UAT — cần điền URL/build</x:v>
      </x:c>
      <x:c r="T15" s="11" t="str">
        <x:v>Cần điền phiên bản thực</x:v>
      </x:c>
      <x:c r="U15" s="11" t="str"/>
      <x:c r="V15" s="12" t="str"/>
      <x:c r="W15" s="11" t="str"/>
      <x:c r="X15" s="11" t="str"/>
      <x:c r="Y15" s="3" t="str">
        <x:v>Nguồn: admin/src/lib/auth/schemas.ts. </x:v>
      </x:c>
    </x:row>
    <x:row r="16" ht="75" customHeight="1">
      <x:c r="A16" s="3" t="n">
        <x:v>15</x:v>
      </x:c>
      <x:c r="B16" s="3" t="str">
        <x:v>TC_AUTH_015</x:v>
      </x:c>
      <x:c r="C16" s="3" t="str">
        <x:v>AUTH</x:v>
      </x:c>
      <x:c r="D16" s="3" t="str">
        <x:v>Xác thực và vòng đời phiên</x:v>
      </x:c>
      <x:c r="E16" s="3" t="str">
        <x:v>Xác thực và vòng đời phiên</x:v>
      </x:c>
      <x:c r="F16" s="3" t="str">
        <x:v>Positive — Đổi mật khẩu hợp lệ</x:v>
      </x:c>
      <x:c r="G16" s="3" t="str">
        <x:v>Đổi mật khẩu hợp lệ</x:v>
      </x:c>
      <x:c r="H16" s="3" t="str">
        <x:v>AUTH-002</x:v>
      </x:c>
      <x:c r="I16" s="3" t="str">
        <x:v>QTV có quyền tương ứng</x:v>
      </x:c>
      <x:c r="J16" s="3" t="str">
        <x:v>Positive</x:v>
      </x:c>
      <x:c r="K16" s="3" t="str">
        <x:v>High</x:v>
      </x:c>
      <x:c r="L16" s="3" t="str">
        <x:v>High</x:v>
      </x:c>
      <x:c r="M16" s="3" t="str">
        <x:v>Môi trường QA cô lập, DB/MinIO sẵn sàng; dữ liệu fixture đã tạo. Đăng nhập tài khoản ACTIVE, mustChangePassword=false.</x:v>
      </x:c>
      <x:c r="N16" s="3" t="str">
        <x:v>Dữ liệu QA tổng hợp; xem fixture trong README.</x:v>
      </x:c>
      <x:c r="O16" s="3" t="str">
        <x:v>1. Mở admin tại ADMIN_URL
2. Mở /admin/change-password
3. Nhập currentPassword đúng, newPassword khác đạt chuẩn và confirm khớp
4. Gửi và thử đăng nhập lại</x:v>
      </x:c>
      <x:c r="P16" s="3" t="str">
        <x:v>HTTP 200; mustChangePassword=false; passwordChangedAt cập nhật; mật khẩu mới dùng được, cũ bị từ chối.</x:v>
      </x:c>
      <x:c r="Q16" s="11" t="str"/>
      <x:c r="R16" s="8" t="str">
        <x:v>NOT RUN</x:v>
      </x:c>
      <x:c r="S16" s="11" t="str">
        <x:v>QA/UAT — cần điền URL/build</x:v>
      </x:c>
      <x:c r="T16" s="11" t="str">
        <x:v>Cần điền phiên bản thực</x:v>
      </x:c>
      <x:c r="U16" s="11" t="str"/>
      <x:c r="V16" s="12" t="str"/>
      <x:c r="W16" s="11" t="str"/>
      <x:c r="X16" s="11" t="str"/>
      <x:c r="Y16" s="3" t="str">
        <x:v>Nguồn: admin/src/lib/auth/schemas.ts. </x:v>
      </x:c>
    </x:row>
    <x:row r="17" ht="49" customHeight="1">
      <x:c r="A17" s="3" t="n">
        <x:v>16</x:v>
      </x:c>
      <x:c r="B17" s="3" t="str">
        <x:v>TC_AUTH_016</x:v>
      </x:c>
      <x:c r="C17" s="3" t="str">
        <x:v>AUTH</x:v>
      </x:c>
      <x:c r="D17" s="3" t="str">
        <x:v>Xác thực và vòng đời phiên</x:v>
      </x:c>
      <x:c r="E17" s="3" t="str">
        <x:v>Xác thực và vòng đời phiên</x:v>
      </x:c>
      <x:c r="F17" s="3" t="str">
        <x:v>Negative — Mật khẩu hiện tại sai</x:v>
      </x:c>
      <x:c r="G17" s="3" t="str">
        <x:v>Mật khẩu hiện tại sai</x:v>
      </x:c>
      <x:c r="H17" s="3" t="str">
        <x:v>AUTH-002</x:v>
      </x:c>
      <x:c r="I17" s="3" t="str">
        <x:v>QTV có quyền tương ứng</x:v>
      </x:c>
      <x:c r="J17" s="3" t="str">
        <x:v>Negative</x:v>
      </x:c>
      <x:c r="K17" s="3" t="str">
        <x:v>High</x:v>
      </x:c>
      <x:c r="L17" s="3" t="str">
        <x:v>High</x:v>
      </x:c>
      <x:c r="M17" s="3" t="str">
        <x:v>Môi trường QA cô lập, DB/MinIO sẵn sàng; dữ liệu fixture đã tạo. Đăng nhập tài khoản ACTIVE, mustChangePassword=false.</x:v>
      </x:c>
      <x:c r="N17" s="3" t="str">
        <x:v>Dữ liệu QA tổng hợp; xem fixture trong README.</x:v>
      </x:c>
      <x:c r="O17" s="3" t="str">
        <x:v>1. Mở admin tại ADMIN_URL
2. Nhập currentPassword sai cùng newPassword hợp lệ
3. Gửi</x:v>
      </x:c>
      <x:c r="P17" s="3" t="str">
        <x:v>HTTP 400, thông báo mật khẩu hiện tại không chính xác; hash không đổi.</x:v>
      </x:c>
      <x:c r="Q17" s="11" t="str"/>
      <x:c r="R17" s="8" t="str">
        <x:v>NOT RUN</x:v>
      </x:c>
      <x:c r="S17" s="11" t="str">
        <x:v>QA/UAT — cần điền URL/build</x:v>
      </x:c>
      <x:c r="T17" s="11" t="str">
        <x:v>Cần điền phiên bản thực</x:v>
      </x:c>
      <x:c r="U17" s="11" t="str"/>
      <x:c r="V17" s="12" t="str"/>
      <x:c r="W17" s="11" t="str"/>
      <x:c r="X17" s="11" t="str"/>
      <x:c r="Y17" s="3" t="str">
        <x:v>Nguồn: admin/src/lib/auth/schemas.ts. </x:v>
      </x:c>
    </x:row>
    <x:row r="18" ht="62" customHeight="1">
      <x:c r="A18" s="3" t="n">
        <x:v>17</x:v>
      </x:c>
      <x:c r="B18" s="3" t="str">
        <x:v>TC_AUTH_017</x:v>
      </x:c>
      <x:c r="C18" s="3" t="str">
        <x:v>AUTH</x:v>
      </x:c>
      <x:c r="D18" s="3" t="str">
        <x:v>Xác thực và vòng đời phiên</x:v>
      </x:c>
      <x:c r="E18" s="3" t="str">
        <x:v>Xác thực và vòng đời phiên</x:v>
      </x:c>
      <x:c r="F18" s="3" t="str">
        <x:v>Negative — Mật khẩu mới trùng cũ</x:v>
      </x:c>
      <x:c r="G18" s="3" t="str">
        <x:v>Mật khẩu mới trùng cũ</x:v>
      </x:c>
      <x:c r="H18" s="3" t="str">
        <x:v>AUTH-002</x:v>
      </x:c>
      <x:c r="I18" s="3" t="str">
        <x:v>QTV có quyền tương ứng</x:v>
      </x:c>
      <x:c r="J18" s="3" t="str">
        <x:v>Negative</x:v>
      </x:c>
      <x:c r="K18" s="3" t="str">
        <x:v>High</x:v>
      </x:c>
      <x:c r="L18" s="3" t="str">
        <x:v>High</x:v>
      </x:c>
      <x:c r="M18" s="3" t="str">
        <x:v>Môi trường QA cô lập, DB/MinIO sẵn sàng; dữ liệu fixture đã tạo. Đăng nhập tài khoản ACTIVE, mustChangePassword=false.</x:v>
      </x:c>
      <x:c r="N18" s="3" t="str">
        <x:v>Dữ liệu QA tổng hợp; xem fixture trong README.</x:v>
      </x:c>
      <x:c r="O18" s="3" t="str">
        <x:v>1. Mở admin tại ADMIN_URL
2. Nhập đúng currentPassword
3. Dùng lại mật khẩu đó ở 2 trường mới
4. Gửi</x:v>
      </x:c>
      <x:c r="P18" s="3" t="str">
        <x:v>HTTP 400; thông báo mật khẩu mới phải khác hiện tại.</x:v>
      </x:c>
      <x:c r="Q18" s="11" t="str"/>
      <x:c r="R18" s="8" t="str">
        <x:v>NOT RUN</x:v>
      </x:c>
      <x:c r="S18" s="11" t="str">
        <x:v>QA/UAT — cần điền URL/build</x:v>
      </x:c>
      <x:c r="T18" s="11" t="str">
        <x:v>Cần điền phiên bản thực</x:v>
      </x:c>
      <x:c r="U18" s="11" t="str"/>
      <x:c r="V18" s="12" t="str"/>
      <x:c r="W18" s="11" t="str"/>
      <x:c r="X18" s="11" t="str"/>
      <x:c r="Y18" s="3" t="str">
        <x:v>Nguồn: admin/src/lib/auth/schemas.ts. </x:v>
      </x:c>
    </x:row>
    <x:row r="19" ht="62" customHeight="1">
      <x:c r="A19" s="3" t="n">
        <x:v>18</x:v>
      </x:c>
      <x:c r="B19" s="3" t="str">
        <x:v>TC_AUTH_018</x:v>
      </x:c>
      <x:c r="C19" s="3" t="str">
        <x:v>AUTH</x:v>
      </x:c>
      <x:c r="D19" s="3" t="str">
        <x:v>Xác thực và vòng đời phiên</x:v>
      </x:c>
      <x:c r="E19" s="3" t="str">
        <x:v>Xác thực và vòng đời phiên</x:v>
      </x:c>
      <x:c r="F19" s="3" t="str">
        <x:v>Negative — Xác nhận không khớp</x:v>
      </x:c>
      <x:c r="G19" s="3" t="str">
        <x:v>Xác nhận không khớp</x:v>
      </x:c>
      <x:c r="H19" s="3" t="str">
        <x:v>AUTH-002</x:v>
      </x:c>
      <x:c r="I19" s="3" t="str">
        <x:v>QTV có quyền tương ứng</x:v>
      </x:c>
      <x:c r="J19" s="3" t="str">
        <x:v>Negative</x:v>
      </x:c>
      <x:c r="K19" s="3" t="str">
        <x:v>High</x:v>
      </x:c>
      <x:c r="L19" s="3" t="str">
        <x:v>High</x:v>
      </x:c>
      <x:c r="M19" s="3" t="str">
        <x:v>Môi trường QA cô lập, DB/MinIO sẵn sàng; dữ liệu fixture đã tạo. Đăng nhập tài khoản ACTIVE, mustChangePassword=false.</x:v>
      </x:c>
      <x:c r="N19" s="3" t="str">
        <x:v>Dữ liệu QA tổng hợp; xem fixture trong README.</x:v>
      </x:c>
      <x:c r="O19" s="3" t="str">
        <x:v>1. Mở admin tại ADMIN_URL
2. Nhập mật khẩu mới hợp lệ
3. Nhập confirmPassword khác
4. Gửi</x:v>
      </x:c>
      <x:c r="P19" s="3" t="str">
        <x:v>HTTP 400; không thay đổi hash/phiên.</x:v>
      </x:c>
      <x:c r="Q19" s="11" t="str"/>
      <x:c r="R19" s="8" t="str">
        <x:v>NOT RUN</x:v>
      </x:c>
      <x:c r="S19" s="11" t="str">
        <x:v>QA/UAT — cần điền URL/build</x:v>
      </x:c>
      <x:c r="T19" s="11" t="str">
        <x:v>Cần điền phiên bản thực</x:v>
      </x:c>
      <x:c r="U19" s="11" t="str"/>
      <x:c r="V19" s="12" t="str"/>
      <x:c r="W19" s="11" t="str"/>
      <x:c r="X19" s="11" t="str"/>
      <x:c r="Y19" s="3" t="str">
        <x:v>Nguồn: admin/src/lib/auth/schemas.ts. </x:v>
      </x:c>
    </x:row>
    <x:row r="20" ht="62" customHeight="1">
      <x:c r="A20" s="3" t="n">
        <x:v>19</x:v>
      </x:c>
      <x:c r="B20" s="3" t="str">
        <x:v>TC_AUTH_019</x:v>
      </x:c>
      <x:c r="C20" s="3" t="str">
        <x:v>AUTH</x:v>
      </x:c>
      <x:c r="D20" s="3" t="str">
        <x:v>Xác thực và vòng đời phiên</x:v>
      </x:c>
      <x:c r="E20" s="3" t="str">
        <x:v>Xác thực và vòng đời phiên</x:v>
      </x:c>
      <x:c r="F20" s="3" t="str">
        <x:v>Positive — Thu hồi các phiên khác</x:v>
      </x:c>
      <x:c r="G20" s="3" t="str">
        <x:v>Thu hồi các phiên khác</x:v>
      </x:c>
      <x:c r="H20" s="3" t="str">
        <x:v>AUTH-002</x:v>
      </x:c>
      <x:c r="I20" s="3" t="str">
        <x:v>QTV có quyền tương ứng</x:v>
      </x:c>
      <x:c r="J20" s="3" t="str">
        <x:v>Positive</x:v>
      </x:c>
      <x:c r="K20" s="3" t="str">
        <x:v>Critical</x:v>
      </x:c>
      <x:c r="L20" s="3" t="str">
        <x:v>Medium</x:v>
      </x:c>
      <x:c r="M20" s="3" t="str">
        <x:v>Môi trường QA cô lập, DB/MinIO sẵn sàng; dữ liệu fixture đã tạo. Đăng nhập tài khoản ACTIVE, mustChangePassword=false.</x:v>
      </x:c>
      <x:c r="N20" s="3" t="str">
        <x:v>Dữ liệu QA tổng hợp; xem fixture trong README.</x:v>
      </x:c>
      <x:c r="O20" s="3" t="str">
        <x:v>1. Mở admin tại ADMIN_URL
2. Đăng nhập cùng tài khoản ở hai trình duyệt
3. Đổi mật khẩu ở trình duyệt A
4. Gọi auth/me từ B và A</x:v>
      </x:c>
      <x:c r="P20" s="3" t="str">
        <x:v>Phiên B trả 401; phiên A được giữ theo code; audit PASSWORD_CHANGED.</x:v>
      </x:c>
      <x:c r="Q20" s="11" t="str"/>
      <x:c r="R20" s="8" t="str">
        <x:v>NOT RUN</x:v>
      </x:c>
      <x:c r="S20" s="11" t="str">
        <x:v>QA/UAT — cần điền URL/build</x:v>
      </x:c>
      <x:c r="T20" s="11" t="str">
        <x:v>Cần điền phiên bản thực</x:v>
      </x:c>
      <x:c r="U20" s="11" t="str"/>
      <x:c r="V20" s="12" t="str"/>
      <x:c r="W20" s="11" t="str"/>
      <x:c r="X20" s="11" t="str"/>
      <x:c r="Y20" s="3" t="str">
        <x:v>Nguồn: admin/src/lib/auth/schemas.ts. </x:v>
      </x:c>
    </x:row>
    <x:row r="21" ht="75" customHeight="1">
      <x:c r="A21" s="3" t="n">
        <x:v>20</x:v>
      </x:c>
      <x:c r="B21" s="3" t="str">
        <x:v>TC_AUTH_020</x:v>
      </x:c>
      <x:c r="C21" s="3" t="str">
        <x:v>AUTH</x:v>
      </x:c>
      <x:c r="D21" s="3" t="str">
        <x:v>Xác thực và vòng đời phiên</x:v>
      </x:c>
      <x:c r="E21" s="3" t="str">
        <x:v>Xác thực và vòng đời phiên</x:v>
      </x:c>
      <x:c r="F21" s="3" t="str">
        <x:v>Positive — Quên mật khẩu email tồn tại</x:v>
      </x:c>
      <x:c r="G21" s="3" t="str">
        <x:v>Quên mật khẩu email tồn tại</x:v>
      </x:c>
      <x:c r="H21" s="3" t="str">
        <x:v>OBS-RESET</x:v>
      </x:c>
      <x:c r="I21" s="3" t="str">
        <x:v>QTV có quyền tương ứng</x:v>
      </x:c>
      <x:c r="J21" s="3" t="str">
        <x:v>Positive</x:v>
      </x:c>
      <x:c r="K21" s="3" t="str">
        <x:v>High</x:v>
      </x:c>
      <x:c r="L21" s="3" t="str">
        <x:v>High</x:v>
      </x:c>
      <x:c r="M21" s="3" t="str">
        <x:v>QA cô lập; tài khoản fixture với trạng thái nêu trong case; không đăng nhập trước bước login/reset. Chỉ tạo phiên trước nếu Steps kiểm tra refresh/logout/hết hạn. SMTP sandbox cho reset qua email.</x:v>
      </x:c>
      <x:c r="N21" s="3" t="str">
        <x:v>Dữ liệu QA tổng hợp; xem fixture trong README.</x:v>
      </x:c>
      <x:c r="O21" s="3" t="str">
        <x:v>1. Mở admin tại ADMIN_URL
2. Mở /admin/forgot-password
3. Nhập email fixture ACTIVE
4. Gửi
5. Đọc hộp thư SMTP thử nghiệm</x:v>
      </x:c>
      <x:c r="P21" s="3" t="str">
        <x:v>HTTP 200 generic; token hash được lưu, hạn 15 phút; thư chứa link /admin/reset-password?token=...; response không chứa token.</x:v>
      </x:c>
      <x:c r="Q21" s="11" t="str"/>
      <x:c r="R21" s="8" t="str">
        <x:v>NOT RUN</x:v>
      </x:c>
      <x:c r="S21" s="11" t="str">
        <x:v>QA/UAT — cần điền URL/build</x:v>
      </x:c>
      <x:c r="T21" s="11" t="str">
        <x:v>Cần điền phiên bản thực</x:v>
      </x:c>
      <x:c r="U21" s="11" t="str"/>
      <x:c r="V21" s="12" t="str"/>
      <x:c r="W21" s="11" t="str"/>
      <x:c r="X21" s="11" t="str"/>
      <x:c r="Y21" s="3" t="str">
        <x:v>Nguồn: admin/src/app/api/admin/auth. </x:v>
      </x:c>
    </x:row>
    <x:row r="22" ht="62" customHeight="1">
      <x:c r="A22" s="3" t="n">
        <x:v>21</x:v>
      </x:c>
      <x:c r="B22" s="3" t="str">
        <x:v>TC_AUTH_021</x:v>
      </x:c>
      <x:c r="C22" s="3" t="str">
        <x:v>AUTH</x:v>
      </x:c>
      <x:c r="D22" s="3" t="str">
        <x:v>Xác thực và vòng đời phiên</x:v>
      </x:c>
      <x:c r="E22" s="3" t="str">
        <x:v>Xác thực và vòng đời phiên</x:v>
      </x:c>
      <x:c r="F22" s="3" t="str">
        <x:v>Negative — Email không tồn tại không lộ tài khoản</x:v>
      </x:c>
      <x:c r="G22" s="3" t="str">
        <x:v>Email không tồn tại không lộ tài khoản</x:v>
      </x:c>
      <x:c r="H22" s="3" t="str">
        <x:v>OBS-RESET</x:v>
      </x:c>
      <x:c r="I22" s="3" t="str">
        <x:v>QTV có quyền tương ứng</x:v>
      </x:c>
      <x:c r="J22" s="3" t="str">
        <x:v>Negative</x:v>
      </x:c>
      <x:c r="K22" s="3" t="str">
        <x:v>High</x:v>
      </x:c>
      <x:c r="L22" s="3" t="str">
        <x:v>High</x:v>
      </x:c>
      <x:c r="M22" s="3" t="str">
        <x:v>QA cô lập; tài khoản fixture với trạng thái nêu trong case; không đăng nhập trước bước login/reset. Chỉ tạo phiên trước nếu Steps kiểm tra refresh/logout/hết hạn. SMTP sandbox cho reset qua email.</x:v>
      </x:c>
      <x:c r="N22" s="3" t="str">
        <x:v>Dữ liệu QA tổng hợp; xem fixture trong README.</x:v>
      </x:c>
      <x:c r="O22" s="3" t="str">
        <x:v>1. Mở admin tại ADMIN_URL
2. Gửi email qa_missing@example.test
3. So sánh response với email tồn tại</x:v>
      </x:c>
      <x:c r="P22" s="3" t="str">
        <x:v>Cùng HTTP 200 và thông báo generic; không tạo token cho email không tồn tại.</x:v>
      </x:c>
      <x:c r="Q22" s="11" t="str"/>
      <x:c r="R22" s="8" t="str">
        <x:v>NOT RUN</x:v>
      </x:c>
      <x:c r="S22" s="11" t="str">
        <x:v>QA/UAT — cần điền URL/build</x:v>
      </x:c>
      <x:c r="T22" s="11" t="str">
        <x:v>Cần điền phiên bản thực</x:v>
      </x:c>
      <x:c r="U22" s="11" t="str"/>
      <x:c r="V22" s="12" t="str"/>
      <x:c r="W22" s="11" t="str"/>
      <x:c r="X22" s="11" t="str"/>
      <x:c r="Y22" s="3" t="str">
        <x:v>Nguồn: admin/src/app/api/admin/auth. </x:v>
      </x:c>
    </x:row>
    <x:row r="23" ht="62" customHeight="1">
      <x:c r="A23" s="3" t="n">
        <x:v>22</x:v>
      </x:c>
      <x:c r="B23" s="3" t="str">
        <x:v>TC_AUTH_022</x:v>
      </x:c>
      <x:c r="C23" s="3" t="str">
        <x:v>AUTH</x:v>
      </x:c>
      <x:c r="D23" s="3" t="str">
        <x:v>Xác thực và vòng đời phiên</x:v>
      </x:c>
      <x:c r="E23" s="3" t="str">
        <x:v>Xác thực và vòng đời phiên</x:v>
      </x:c>
      <x:c r="F23" s="3" t="str">
        <x:v>Negative — Token mới vô hiệu token cũ</x:v>
      </x:c>
      <x:c r="G23" s="3" t="str">
        <x:v>Token mới vô hiệu token cũ</x:v>
      </x:c>
      <x:c r="H23" s="3" t="str">
        <x:v>OBS-RESET</x:v>
      </x:c>
      <x:c r="I23" s="3" t="str">
        <x:v>QTV có quyền tương ứng</x:v>
      </x:c>
      <x:c r="J23" s="3" t="str">
        <x:v>Negative</x:v>
      </x:c>
      <x:c r="K23" s="3" t="str">
        <x:v>High</x:v>
      </x:c>
      <x:c r="L23" s="3" t="str">
        <x:v>High</x:v>
      </x:c>
      <x:c r="M23" s="3" t="str">
        <x:v>QA cô lập; tài khoản fixture với trạng thái nêu trong case; không đăng nhập trước bước login/reset. Chỉ tạo phiên trước nếu Steps kiểm tra refresh/logout/hết hạn. SMTP sandbox cho reset qua email.</x:v>
      </x:c>
      <x:c r="N23" s="3" t="str">
        <x:v>Dữ liệu QA tổng hợp; xem fixture trong README.</x:v>
      </x:c>
      <x:c r="O23" s="3" t="str">
        <x:v>1. Mở admin tại ADMIN_URL
2. Gửi quên mật khẩu hai lần cùng email
3. Dùng link lần đầu</x:v>
      </x:c>
      <x:c r="P23" s="3" t="str">
        <x:v>HTTP 400; token chưa dùng cũ đã bị xóa; mật khẩu không đổi.</x:v>
      </x:c>
      <x:c r="Q23" s="11" t="str"/>
      <x:c r="R23" s="8" t="str">
        <x:v>NOT RUN</x:v>
      </x:c>
      <x:c r="S23" s="11" t="str">
        <x:v>QA/UAT — cần điền URL/build</x:v>
      </x:c>
      <x:c r="T23" s="11" t="str">
        <x:v>Cần điền phiên bản thực</x:v>
      </x:c>
      <x:c r="U23" s="11" t="str"/>
      <x:c r="V23" s="12" t="str"/>
      <x:c r="W23" s="11" t="str"/>
      <x:c r="X23" s="11" t="str"/>
      <x:c r="Y23" s="3" t="str">
        <x:v>Nguồn: admin/src/app/api/admin/auth. </x:v>
      </x:c>
    </x:row>
    <x:row r="24" ht="75" customHeight="1">
      <x:c r="A24" s="3" t="n">
        <x:v>23</x:v>
      </x:c>
      <x:c r="B24" s="3" t="str">
        <x:v>TC_AUTH_023</x:v>
      </x:c>
      <x:c r="C24" s="3" t="str">
        <x:v>AUTH</x:v>
      </x:c>
      <x:c r="D24" s="3" t="str">
        <x:v>Xác thực và vòng đời phiên</x:v>
      </x:c>
      <x:c r="E24" s="3" t="str">
        <x:v>Xác thực và vòng đời phiên</x:v>
      </x:c>
      <x:c r="F24" s="3" t="str">
        <x:v>Positive — Reset thành công</x:v>
      </x:c>
      <x:c r="G24" s="3" t="str">
        <x:v>Reset thành công</x:v>
      </x:c>
      <x:c r="H24" s="3" t="str">
        <x:v>OBS-RESET</x:v>
      </x:c>
      <x:c r="I24" s="3" t="str">
        <x:v>QTV có quyền tương ứng</x:v>
      </x:c>
      <x:c r="J24" s="3" t="str">
        <x:v>Positive</x:v>
      </x:c>
      <x:c r="K24" s="3" t="str">
        <x:v>High</x:v>
      </x:c>
      <x:c r="L24" s="3" t="str">
        <x:v>High</x:v>
      </x:c>
      <x:c r="M24" s="3" t="str">
        <x:v>QA cô lập; tài khoản fixture với trạng thái nêu trong case; không đăng nhập trước bước login/reset. Chỉ tạo phiên trước nếu Steps kiểm tra refresh/logout/hết hạn. SMTP sandbox cho reset qua email.</x:v>
      </x:c>
      <x:c r="N24" s="3" t="str">
        <x:v>Dữ liệu QA tổng hợp; xem fixture trong README.</x:v>
      </x:c>
      <x:c r="O24" s="3" t="str">
        <x:v>1. Mở admin tại ADMIN_URL
2. Mở link token còn hạn
3. Nhập password và confirm đạt chuẩn
4. Gửi
5. Đăng nhập mật khẩu mới</x:v>
      </x:c>
      <x:c r="P24" s="3" t="str">
        <x:v>HTTP 200; token.usedAt có giá trị; xóa tất cả phiên; mustChangePassword=false; reset bộ đếm lỗi và khóa tạm.</x:v>
      </x:c>
      <x:c r="Q24" s="11" t="str"/>
      <x:c r="R24" s="8" t="str">
        <x:v>NOT RUN</x:v>
      </x:c>
      <x:c r="S24" s="11" t="str">
        <x:v>QA/UAT — cần điền URL/build</x:v>
      </x:c>
      <x:c r="T24" s="11" t="str">
        <x:v>Cần điền phiên bản thực</x:v>
      </x:c>
      <x:c r="U24" s="11" t="str"/>
      <x:c r="V24" s="12" t="str"/>
      <x:c r="W24" s="11" t="str"/>
      <x:c r="X24" s="11" t="str"/>
      <x:c r="Y24" s="3" t="str">
        <x:v>Nguồn: admin/src/app/api/admin/auth. </x:v>
      </x:c>
    </x:row>
    <x:row r="25" ht="62" customHeight="1">
      <x:c r="A25" s="3" t="n">
        <x:v>24</x:v>
      </x:c>
      <x:c r="B25" s="3" t="str">
        <x:v>TC_AUTH_024</x:v>
      </x:c>
      <x:c r="C25" s="3" t="str">
        <x:v>AUTH</x:v>
      </x:c>
      <x:c r="D25" s="3" t="str">
        <x:v>Xác thực và vòng đời phiên</x:v>
      </x:c>
      <x:c r="E25" s="3" t="str">
        <x:v>Xác thực và vòng đời phiên</x:v>
      </x:c>
      <x:c r="F25" s="3" t="str">
        <x:v>Negative — Token dùng lại</x:v>
      </x:c>
      <x:c r="G25" s="3" t="str">
        <x:v>Token dùng lại</x:v>
      </x:c>
      <x:c r="H25" s="3" t="str">
        <x:v>OBS-RESET</x:v>
      </x:c>
      <x:c r="I25" s="3" t="str">
        <x:v>QTV có quyền tương ứng</x:v>
      </x:c>
      <x:c r="J25" s="3" t="str">
        <x:v>Negative</x:v>
      </x:c>
      <x:c r="K25" s="3" t="str">
        <x:v>High</x:v>
      </x:c>
      <x:c r="L25" s="3" t="str">
        <x:v>High</x:v>
      </x:c>
      <x:c r="M25" s="3" t="str">
        <x:v>QA cô lập; tài khoản fixture với trạng thái nêu trong case; không đăng nhập trước bước login/reset. Chỉ tạo phiên trước nếu Steps kiểm tra refresh/logout/hết hạn. SMTP sandbox cho reset qua email.</x:v>
      </x:c>
      <x:c r="N25" s="3" t="str">
        <x:v>Dữ liệu QA tổng hợp; xem fixture trong README.</x:v>
      </x:c>
      <x:c r="O25" s="3" t="str">
        <x:v>1. Mở admin tại ADMIN_URL
2. Hoàn tất reset một lần
3. Gửi lại cùng token với mật khẩu khác</x:v>
      </x:c>
      <x:c r="P25" s="3" t="str">
        <x:v>HTTP 400; mật khẩu không bị thay đổi lần hai.</x:v>
      </x:c>
      <x:c r="Q25" s="11" t="str"/>
      <x:c r="R25" s="8" t="str">
        <x:v>NOT RUN</x:v>
      </x:c>
      <x:c r="S25" s="11" t="str">
        <x:v>QA/UAT — cần điền URL/build</x:v>
      </x:c>
      <x:c r="T25" s="11" t="str">
        <x:v>Cần điền phiên bản thực</x:v>
      </x:c>
      <x:c r="U25" s="11" t="str"/>
      <x:c r="V25" s="12" t="str"/>
      <x:c r="W25" s="11" t="str"/>
      <x:c r="X25" s="11" t="str"/>
      <x:c r="Y25" s="3" t="str">
        <x:v>Nguồn: admin/src/app/api/admin/auth. </x:v>
      </x:c>
    </x:row>
    <x:row r="26" ht="62" customHeight="1">
      <x:c r="A26" s="3" t="n">
        <x:v>25</x:v>
      </x:c>
      <x:c r="B26" s="3" t="str">
        <x:v>TC_AUTH_025</x:v>
      </x:c>
      <x:c r="C26" s="3" t="str">
        <x:v>AUTH</x:v>
      </x:c>
      <x:c r="D26" s="3" t="str">
        <x:v>Xác thực và vòng đời phiên</x:v>
      </x:c>
      <x:c r="E26" s="3" t="str">
        <x:v>Xác thực và vòng đời phiên</x:v>
      </x:c>
      <x:c r="F26" s="3" t="str">
        <x:v>Negative — Token sai</x:v>
      </x:c>
      <x:c r="G26" s="3" t="str">
        <x:v>Token sai</x:v>
      </x:c>
      <x:c r="H26" s="3" t="str">
        <x:v>OBS-RESET</x:v>
      </x:c>
      <x:c r="I26" s="3" t="str">
        <x:v>QTV có quyền tương ứng</x:v>
      </x:c>
      <x:c r="J26" s="3" t="str">
        <x:v>Negative</x:v>
      </x:c>
      <x:c r="K26" s="3" t="str">
        <x:v>High</x:v>
      </x:c>
      <x:c r="L26" s="3" t="str">
        <x:v>High</x:v>
      </x:c>
      <x:c r="M26" s="3" t="str">
        <x:v>QA cô lập; tài khoản fixture với trạng thái nêu trong case; không đăng nhập trước bước login/reset. Chỉ tạo phiên trước nếu Steps kiểm tra refresh/logout/hết hạn. SMTP sandbox cho reset qua email.</x:v>
      </x:c>
      <x:c r="N26" s="3" t="str">
        <x:v>Dữ liệu QA tổng hợp; xem fixture trong README.</x:v>
      </x:c>
      <x:c r="O26" s="3" t="str">
        <x:v>1. Mở admin tại ADMIN_URL
2. Mở /admin/reset-password?token=qa-invalid-token
3. Gửi mật khẩu hợp lệ</x:v>
      </x:c>
      <x:c r="P26" s="3" t="str">
        <x:v>HTTP 400; thông báo hết hạn/không hợp lệ; không đổi dữ liệu.</x:v>
      </x:c>
      <x:c r="Q26" s="11" t="str"/>
      <x:c r="R26" s="8" t="str">
        <x:v>NOT RUN</x:v>
      </x:c>
      <x:c r="S26" s="11" t="str">
        <x:v>QA/UAT — cần điền URL/build</x:v>
      </x:c>
      <x:c r="T26" s="11" t="str">
        <x:v>Cần điền phiên bản thực</x:v>
      </x:c>
      <x:c r="U26" s="11" t="str"/>
      <x:c r="V26" s="12" t="str"/>
      <x:c r="W26" s="11" t="str"/>
      <x:c r="X26" s="11" t="str"/>
      <x:c r="Y26" s="3" t="str">
        <x:v>Nguồn: admin/src/app/api/admin/auth. </x:v>
      </x:c>
    </x:row>
    <x:row r="27" ht="62" customHeight="1">
      <x:c r="A27" s="3" t="n">
        <x:v>26</x:v>
      </x:c>
      <x:c r="B27" s="3" t="str">
        <x:v>TC_AUTH_026</x:v>
      </x:c>
      <x:c r="C27" s="3" t="str">
        <x:v>AUTH</x:v>
      </x:c>
      <x:c r="D27" s="3" t="str">
        <x:v>Xác thực và vòng đời phiên</x:v>
      </x:c>
      <x:c r="E27" s="3" t="str">
        <x:v>Xác thực và vòng đời phiên</x:v>
      </x:c>
      <x:c r="F27" s="3" t="str">
        <x:v>Negative — Tài khoản bị khóa sau phát token</x:v>
      </x:c>
      <x:c r="G27" s="3" t="str">
        <x:v>Tài khoản bị khóa sau phát token</x:v>
      </x:c>
      <x:c r="H27" s="3" t="str">
        <x:v>OBS-RESET</x:v>
      </x:c>
      <x:c r="I27" s="3" t="str">
        <x:v>QTV có quyền tương ứng</x:v>
      </x:c>
      <x:c r="J27" s="3" t="str">
        <x:v>Negative</x:v>
      </x:c>
      <x:c r="K27" s="3" t="str">
        <x:v>High</x:v>
      </x:c>
      <x:c r="L27" s="3" t="str">
        <x:v>High</x:v>
      </x:c>
      <x:c r="M27" s="3" t="str">
        <x:v>QA cô lập; tài khoản fixture với trạng thái nêu trong case; không đăng nhập trước bước login/reset. Chỉ tạo phiên trước nếu Steps kiểm tra refresh/logout/hết hạn. SMTP sandbox cho reset qua email.</x:v>
      </x:c>
      <x:c r="N27" s="3" t="str">
        <x:v>Dữ liệu QA tổng hợp; xem fixture trong README.</x:v>
      </x:c>
      <x:c r="O27" s="3" t="str">
        <x:v>1. Mở admin tại ADMIN_URL
2. Xin token hợp lệ
3. Đổi tài khoản sang INACTIVE
4. Gửi reset</x:v>
      </x:c>
      <x:c r="P27" s="3" t="str">
        <x:v>HTTP 403; không đổi mật khẩu.</x:v>
      </x:c>
      <x:c r="Q27" s="11" t="str"/>
      <x:c r="R27" s="8" t="str">
        <x:v>NOT RUN</x:v>
      </x:c>
      <x:c r="S27" s="11" t="str">
        <x:v>QA/UAT — cần điền URL/build</x:v>
      </x:c>
      <x:c r="T27" s="11" t="str">
        <x:v>Cần điền phiên bản thực</x:v>
      </x:c>
      <x:c r="U27" s="11" t="str"/>
      <x:c r="V27" s="12" t="str"/>
      <x:c r="W27" s="11" t="str"/>
      <x:c r="X27" s="11" t="str"/>
      <x:c r="Y27" s="3" t="str">
        <x:v>Nguồn: admin/src/app/api/admin/auth. </x:v>
      </x:c>
    </x:row>
    <x:row r="28" ht="62" customHeight="1">
      <x:c r="A28" s="3" t="n">
        <x:v>27</x:v>
      </x:c>
      <x:c r="B28" s="3" t="str">
        <x:v>TC_AUTH_027</x:v>
      </x:c>
      <x:c r="C28" s="3" t="str">
        <x:v>AUTH</x:v>
      </x:c>
      <x:c r="D28" s="3" t="str">
        <x:v>Chính sách mật khẩu</x:v>
      </x:c>
      <x:c r="E28" s="3" t="str">
        <x:v>Chính sách mật khẩu</x:v>
      </x:c>
      <x:c r="F28" s="3" t="str">
        <x:v>Negative — Mật khẩu thiếu chữ hoa</x:v>
      </x:c>
      <x:c r="G28" s="3" t="str">
        <x:v>Mật khẩu thiếu chữ hoa</x:v>
      </x:c>
      <x:c r="H28" s="3" t="str">
        <x:v>AUTH-002</x:v>
      </x:c>
      <x:c r="I28" s="3" t="str">
        <x:v>QTV có quyền tương ứng</x:v>
      </x:c>
      <x:c r="J28" s="3" t="str">
        <x:v>Negative</x:v>
      </x:c>
      <x:c r="K28" s="3" t="str">
        <x:v>High</x:v>
      </x:c>
      <x:c r="L28" s="3" t="str">
        <x:v>High</x:v>
      </x:c>
      <x:c r="M28" s="3" t="str">
        <x:v>Môi trường QA cô lập, DB/MinIO sẵn sàng; dữ liệu fixture đã tạo. Đăng nhập tài khoản ACTIVE, mustChangePassword=false.</x:v>
      </x:c>
      <x:c r="N28" s="3" t="str">
        <x:v>Dữ liệu QA tổng hợp; xem fixture trong README.</x:v>
      </x:c>
      <x:c r="O28" s="3" t="str">
        <x:v>1. Mở form đổi mật khẩu
2. Nhập mật khẩu 12 ký tự chỉ thiếu chữ hoa; currentPassword đúng và confirm khớp
3. Gửi</x:v>
      </x:c>
      <x:c r="P28" s="3" t="str">
        <x:v>HTTP 400; thông báo điều kiện chữ hoa; hash không đổi.</x:v>
      </x:c>
      <x:c r="Q28" s="11" t="str"/>
      <x:c r="R28" s="8" t="str">
        <x:v>NOT RUN</x:v>
      </x:c>
      <x:c r="S28" s="11" t="str">
        <x:v>QA/UAT — cần điền URL/build</x:v>
      </x:c>
      <x:c r="T28" s="11" t="str">
        <x:v>Cần điền phiên bản thực</x:v>
      </x:c>
      <x:c r="U28" s="11" t="str"/>
      <x:c r="V28" s="12" t="str"/>
      <x:c r="W28" s="11" t="str"/>
      <x:c r="X28" s="11" t="str"/>
      <x:c r="Y28" s="3" t="str">
        <x:v>Nguồn: admin/src/lib/auth/password.ts. </x:v>
      </x:c>
    </x:row>
    <x:row r="29" ht="62" customHeight="1">
      <x:c r="A29" s="3" t="n">
        <x:v>28</x:v>
      </x:c>
      <x:c r="B29" s="3" t="str">
        <x:v>TC_AUTH_028</x:v>
      </x:c>
      <x:c r="C29" s="3" t="str">
        <x:v>AUTH</x:v>
      </x:c>
      <x:c r="D29" s="3" t="str">
        <x:v>Chính sách mật khẩu</x:v>
      </x:c>
      <x:c r="E29" s="3" t="str">
        <x:v>Chính sách mật khẩu</x:v>
      </x:c>
      <x:c r="F29" s="3" t="str">
        <x:v>Negative — Mật khẩu thiếu chữ thường</x:v>
      </x:c>
      <x:c r="G29" s="3" t="str">
        <x:v>Mật khẩu thiếu chữ thường</x:v>
      </x:c>
      <x:c r="H29" s="3" t="str">
        <x:v>AUTH-002</x:v>
      </x:c>
      <x:c r="I29" s="3" t="str">
        <x:v>QTV có quyền tương ứng</x:v>
      </x:c>
      <x:c r="J29" s="3" t="str">
        <x:v>Negative</x:v>
      </x:c>
      <x:c r="K29" s="3" t="str">
        <x:v>High</x:v>
      </x:c>
      <x:c r="L29" s="3" t="str">
        <x:v>High</x:v>
      </x:c>
      <x:c r="M29" s="3" t="str">
        <x:v>Môi trường QA cô lập, DB/MinIO sẵn sàng; dữ liệu fixture đã tạo. Đăng nhập tài khoản ACTIVE, mustChangePassword=false.</x:v>
      </x:c>
      <x:c r="N29" s="3" t="str">
        <x:v>Dữ liệu QA tổng hợp; xem fixture trong README.</x:v>
      </x:c>
      <x:c r="O29" s="3" t="str">
        <x:v>1. Mở form đổi mật khẩu
2. Nhập mật khẩu 12 ký tự chỉ thiếu chữ thường; currentPassword đúng và confirm khớp
3. Gửi</x:v>
      </x:c>
      <x:c r="P29" s="3" t="str">
        <x:v>HTTP 400; thông báo điều kiện chữ thường; hash không đổi.</x:v>
      </x:c>
      <x:c r="Q29" s="11" t="str"/>
      <x:c r="R29" s="8" t="str">
        <x:v>NOT RUN</x:v>
      </x:c>
      <x:c r="S29" s="11" t="str">
        <x:v>QA/UAT — cần điền URL/build</x:v>
      </x:c>
      <x:c r="T29" s="11" t="str">
        <x:v>Cần điền phiên bản thực</x:v>
      </x:c>
      <x:c r="U29" s="11" t="str"/>
      <x:c r="V29" s="12" t="str"/>
      <x:c r="W29" s="11" t="str"/>
      <x:c r="X29" s="11" t="str"/>
      <x:c r="Y29" s="3" t="str">
        <x:v>Nguồn: admin/src/lib/auth/password.ts. </x:v>
      </x:c>
    </x:row>
    <x:row r="30" ht="62" customHeight="1">
      <x:c r="A30" s="3" t="n">
        <x:v>29</x:v>
      </x:c>
      <x:c r="B30" s="3" t="str">
        <x:v>TC_AUTH_029</x:v>
      </x:c>
      <x:c r="C30" s="3" t="str">
        <x:v>AUTH</x:v>
      </x:c>
      <x:c r="D30" s="3" t="str">
        <x:v>Chính sách mật khẩu</x:v>
      </x:c>
      <x:c r="E30" s="3" t="str">
        <x:v>Chính sách mật khẩu</x:v>
      </x:c>
      <x:c r="F30" s="3" t="str">
        <x:v>Negative — Mật khẩu thiếu chữ số</x:v>
      </x:c>
      <x:c r="G30" s="3" t="str">
        <x:v>Mật khẩu thiếu chữ số</x:v>
      </x:c>
      <x:c r="H30" s="3" t="str">
        <x:v>AUTH-002</x:v>
      </x:c>
      <x:c r="I30" s="3" t="str">
        <x:v>QTV có quyền tương ứng</x:v>
      </x:c>
      <x:c r="J30" s="3" t="str">
        <x:v>Negative</x:v>
      </x:c>
      <x:c r="K30" s="3" t="str">
        <x:v>High</x:v>
      </x:c>
      <x:c r="L30" s="3" t="str">
        <x:v>High</x:v>
      </x:c>
      <x:c r="M30" s="3" t="str">
        <x:v>Môi trường QA cô lập, DB/MinIO sẵn sàng; dữ liệu fixture đã tạo. Đăng nhập tài khoản ACTIVE, mustChangePassword=false.</x:v>
      </x:c>
      <x:c r="N30" s="3" t="str">
        <x:v>Dữ liệu QA tổng hợp; xem fixture trong README.</x:v>
      </x:c>
      <x:c r="O30" s="3" t="str">
        <x:v>1. Mở form đổi mật khẩu
2. Nhập mật khẩu 12 ký tự chỉ thiếu chữ số; currentPassword đúng và confirm khớp
3. Gửi</x:v>
      </x:c>
      <x:c r="P30" s="3" t="str">
        <x:v>HTTP 400; thông báo điều kiện chữ số; hash không đổi.</x:v>
      </x:c>
      <x:c r="Q30" s="11" t="str"/>
      <x:c r="R30" s="8" t="str">
        <x:v>NOT RUN</x:v>
      </x:c>
      <x:c r="S30" s="11" t="str">
        <x:v>QA/UAT — cần điền URL/build</x:v>
      </x:c>
      <x:c r="T30" s="11" t="str">
        <x:v>Cần điền phiên bản thực</x:v>
      </x:c>
      <x:c r="U30" s="11" t="str"/>
      <x:c r="V30" s="12" t="str"/>
      <x:c r="W30" s="11" t="str"/>
      <x:c r="X30" s="11" t="str"/>
      <x:c r="Y30" s="3" t="str">
        <x:v>Nguồn: admin/src/lib/auth/password.ts. </x:v>
      </x:c>
    </x:row>
    <x:row r="31" ht="62" customHeight="1">
      <x:c r="A31" s="3" t="n">
        <x:v>30</x:v>
      </x:c>
      <x:c r="B31" s="3" t="str">
        <x:v>TC_AUTH_030</x:v>
      </x:c>
      <x:c r="C31" s="3" t="str">
        <x:v>AUTH</x:v>
      </x:c>
      <x:c r="D31" s="3" t="str">
        <x:v>Chính sách mật khẩu</x:v>
      </x:c>
      <x:c r="E31" s="3" t="str">
        <x:v>Chính sách mật khẩu</x:v>
      </x:c>
      <x:c r="F31" s="3" t="str">
        <x:v>Negative — Mật khẩu thiếu ký tự đặc biệt</x:v>
      </x:c>
      <x:c r="G31" s="3" t="str">
        <x:v>Mật khẩu thiếu ký tự đặc biệt</x:v>
      </x:c>
      <x:c r="H31" s="3" t="str">
        <x:v>AUTH-002</x:v>
      </x:c>
      <x:c r="I31" s="3" t="str">
        <x:v>QTV có quyền tương ứng</x:v>
      </x:c>
      <x:c r="J31" s="3" t="str">
        <x:v>Negative</x:v>
      </x:c>
      <x:c r="K31" s="3" t="str">
        <x:v>High</x:v>
      </x:c>
      <x:c r="L31" s="3" t="str">
        <x:v>High</x:v>
      </x:c>
      <x:c r="M31" s="3" t="str">
        <x:v>Môi trường QA cô lập, DB/MinIO sẵn sàng; dữ liệu fixture đã tạo. Đăng nhập tài khoản ACTIVE, mustChangePassword=false.</x:v>
      </x:c>
      <x:c r="N31" s="3" t="str">
        <x:v>Dữ liệu QA tổng hợp; xem fixture trong README.</x:v>
      </x:c>
      <x:c r="O31" s="3" t="str">
        <x:v>1. Mở form đổi mật khẩu
2. Nhập mật khẩu 12 ký tự chỉ thiếu ký tự đặc biệt; currentPassword đúng và confirm khớp
3. Gửi</x:v>
      </x:c>
      <x:c r="P31" s="3" t="str">
        <x:v>HTTP 400; thông báo điều kiện ký tự đặc biệt; hash không đổi.</x:v>
      </x:c>
      <x:c r="Q31" s="11" t="str"/>
      <x:c r="R31" s="8" t="str">
        <x:v>NOT RUN</x:v>
      </x:c>
      <x:c r="S31" s="11" t="str">
        <x:v>QA/UAT — cần điền URL/build</x:v>
      </x:c>
      <x:c r="T31" s="11" t="str">
        <x:v>Cần điền phiên bản thực</x:v>
      </x:c>
      <x:c r="U31" s="11" t="str"/>
      <x:c r="V31" s="12" t="str"/>
      <x:c r="W31" s="11" t="str"/>
      <x:c r="X31" s="11" t="str"/>
      <x:c r="Y31" s="3" t="str">
        <x:v>Nguồn: admin/src/lib/auth/password.ts. </x:v>
      </x:c>
    </x:row>
    <x:row r="32" ht="62" customHeight="1">
      <x:c r="A32" s="3" t="n">
        <x:v>31</x:v>
      </x:c>
      <x:c r="B32" s="3" t="str">
        <x:v>TC_USER_001</x:v>
      </x:c>
      <x:c r="C32" s="3" t="str">
        <x:v>USER</x:v>
      </x:c>
      <x:c r="D32" s="3" t="str">
        <x:v>Tài khoản và hồ sơ</x:v>
      </x:c>
      <x:c r="E32" s="3" t="str">
        <x:v>Tài khoản và hồ sơ</x:v>
      </x:c>
      <x:c r="F32" s="3" t="str">
        <x:v>Positive — Tạo QTV cấp 2</x:v>
      </x:c>
      <x:c r="G32" s="3" t="str">
        <x:v>Tạo QTV cấp 2</x:v>
      </x:c>
      <x:c r="H32" s="3" t="str">
        <x:v>USR-001</x:v>
      </x:c>
      <x:c r="I32" s="3" t="str">
        <x:v>QTV có quyền tương ứng</x:v>
      </x:c>
      <x:c r="J32" s="3" t="str">
        <x:v>Positive</x:v>
      </x:c>
      <x:c r="K32" s="3" t="str">
        <x:v>High</x:v>
      </x:c>
      <x:c r="L32" s="3" t="str">
        <x:v>High</x:v>
      </x:c>
      <x:c r="M32" s="3" t="str">
        <x:v>Môi trường QA cô lập, DB/MinIO sẵn sàng; dữ liệu fixture đã tạo. Đăng nhập tài khoản ACTIVE, mustChangePassword=false.</x:v>
      </x:c>
      <x:c r="N32" s="3" t="str">
        <x:v>Dữ liệu QA tổng hợp; xem fixture trong README.</x:v>
      </x:c>
      <x:c r="O32" s="3" t="str">
        <x:v>1. Mở /admin/users/create
2. Điền fixture USER, chọn ADMIN_LEVEL_2
3. Nhấn Tạo tài khoản
4. Mở chi tiết</x:v>
      </x:c>
      <x:c r="P32" s="3" t="str">
        <x:v>HTTP 201; username lưu chữ thường; role đúng; passwordHash Argon2id; createdById=actor; có ACCOUNT_CREATED.</x:v>
      </x:c>
      <x:c r="Q32" s="11" t="str"/>
      <x:c r="R32" s="8" t="str">
        <x:v>NOT RUN</x:v>
      </x:c>
      <x:c r="S32" s="11" t="str">
        <x:v>QA/UAT — cần điền URL/build</x:v>
      </x:c>
      <x:c r="T32" s="11" t="str">
        <x:v>Cần điền phiên bản thực</x:v>
      </x:c>
      <x:c r="U32" s="11" t="str"/>
      <x:c r="V32" s="12" t="str"/>
      <x:c r="W32" s="11" t="str"/>
      <x:c r="X32" s="11" t="str"/>
      <x:c r="Y32" s="3" t="str">
        <x:v>Nguồn: admin/src/app/api/admin/users. </x:v>
      </x:c>
    </x:row>
    <x:row r="33" ht="49" customHeight="1">
      <x:c r="A33" s="3" t="n">
        <x:v>32</x:v>
      </x:c>
      <x:c r="B33" s="3" t="str">
        <x:v>TC_USER_002</x:v>
      </x:c>
      <x:c r="C33" s="3" t="str">
        <x:v>USER</x:v>
      </x:c>
      <x:c r="D33" s="3" t="str">
        <x:v>Tài khoản và hồ sơ</x:v>
      </x:c>
      <x:c r="E33" s="3" t="str">
        <x:v>Tài khoản và hồ sơ</x:v>
      </x:c>
      <x:c r="F33" s="3" t="str">
        <x:v>Positive — Tạo Super Admin</x:v>
      </x:c>
      <x:c r="G33" s="3" t="str">
        <x:v>Tạo Super Admin</x:v>
      </x:c>
      <x:c r="H33" s="3" t="str">
        <x:v>USR-001</x:v>
      </x:c>
      <x:c r="I33" s="3" t="str">
        <x:v>QTV có quyền tương ứng</x:v>
      </x:c>
      <x:c r="J33" s="3" t="str">
        <x:v>Positive</x:v>
      </x:c>
      <x:c r="K33" s="3" t="str">
        <x:v>High</x:v>
      </x:c>
      <x:c r="L33" s="3" t="str">
        <x:v>High</x:v>
      </x:c>
      <x:c r="M33" s="3" t="str">
        <x:v>Môi trường QA cô lập, DB/MinIO sẵn sàng; dữ liệu fixture đã tạo. Đăng nhập tài khoản ACTIVE, mustChangePassword=false.</x:v>
      </x:c>
      <x:c r="N33" s="3" t="str">
        <x:v>Dữ liệu QA tổng hợp; xem fixture trong README.</x:v>
      </x:c>
      <x:c r="O33" s="3" t="str">
        <x:v>1. Mở /admin/users/create
2. Điền USER khác username, chọn SUPER_ADMIN
3. Gửi</x:v>
      </x:c>
      <x:c r="P33" s="3" t="str">
        <x:v>HTTP 201; role SUPER_ADMIN; người mới đăng nhập theo cờ đổi mật khẩu.</x:v>
      </x:c>
      <x:c r="Q33" s="11" t="str"/>
      <x:c r="R33" s="8" t="str">
        <x:v>NOT RUN</x:v>
      </x:c>
      <x:c r="S33" s="11" t="str">
        <x:v>QA/UAT — cần điền URL/build</x:v>
      </x:c>
      <x:c r="T33" s="11" t="str">
        <x:v>Cần điền phiên bản thực</x:v>
      </x:c>
      <x:c r="U33" s="11" t="str"/>
      <x:c r="V33" s="12" t="str"/>
      <x:c r="W33" s="11" t="str"/>
      <x:c r="X33" s="11" t="str"/>
      <x:c r="Y33" s="3" t="str">
        <x:v>Nguồn: admin/src/app/api/admin/users. </x:v>
      </x:c>
    </x:row>
    <x:row r="34" ht="49" customHeight="1">
      <x:c r="A34" s="3" t="n">
        <x:v>33</x:v>
      </x:c>
      <x:c r="B34" s="3" t="str">
        <x:v>TC_USER_003</x:v>
      </x:c>
      <x:c r="C34" s="3" t="str">
        <x:v>USER</x:v>
      </x:c>
      <x:c r="D34" s="3" t="str">
        <x:v>Tài khoản và hồ sơ</x:v>
      </x:c>
      <x:c r="E34" s="3" t="str">
        <x:v>Tài khoản và hồ sơ</x:v>
      </x:c>
      <x:c r="F34" s="3" t="str">
        <x:v>Negative — Username trùng</x:v>
      </x:c>
      <x:c r="G34" s="3" t="str">
        <x:v>Username trùng</x:v>
      </x:c>
      <x:c r="H34" s="3" t="str">
        <x:v>USR-001</x:v>
      </x:c>
      <x:c r="I34" s="3" t="str">
        <x:v>QTV có quyền tương ứng</x:v>
      </x:c>
      <x:c r="J34" s="3" t="str">
        <x:v>Negative</x:v>
      </x:c>
      <x:c r="K34" s="3" t="str">
        <x:v>High</x:v>
      </x:c>
      <x:c r="L34" s="3" t="str">
        <x:v>High</x:v>
      </x:c>
      <x:c r="M34" s="3" t="str">
        <x:v>Môi trường QA cô lập, DB/MinIO sẵn sàng; dữ liệu fixture đã tạo. Đăng nhập tài khoản ACTIVE, mustChangePassword=false.</x:v>
      </x:c>
      <x:c r="N34" s="3" t="str">
        <x:v>Dữ liệu QA tổng hợp; xem fixture trong README.</x:v>
      </x:c>
      <x:c r="O34" s="3" t="str">
        <x:v>1. Tạo USER có username đã tồn tại
2. Gửi form</x:v>
      </x:c>
      <x:c r="P34" s="3" t="str">
        <x:v>HTTP 409; không tạo bản ghi thứ hai.</x:v>
      </x:c>
      <x:c r="Q34" s="11" t="str"/>
      <x:c r="R34" s="8" t="str">
        <x:v>NOT RUN</x:v>
      </x:c>
      <x:c r="S34" s="11" t="str">
        <x:v>QA/UAT — cần điền URL/build</x:v>
      </x:c>
      <x:c r="T34" s="11" t="str">
        <x:v>Cần điền phiên bản thực</x:v>
      </x:c>
      <x:c r="U34" s="11" t="str"/>
      <x:c r="V34" s="12" t="str"/>
      <x:c r="W34" s="11" t="str"/>
      <x:c r="X34" s="11" t="str"/>
      <x:c r="Y34" s="3" t="str">
        <x:v>Nguồn: admin/src/app/api/admin/users. </x:v>
      </x:c>
    </x:row>
    <x:row r="35" ht="49" customHeight="1">
      <x:c r="A35" s="3" t="n">
        <x:v>34</x:v>
      </x:c>
      <x:c r="B35" s="3" t="str">
        <x:v>TC_USER_004</x:v>
      </x:c>
      <x:c r="C35" s="3" t="str">
        <x:v>USER</x:v>
      </x:c>
      <x:c r="D35" s="3" t="str">
        <x:v>Tài khoản và hồ sơ</x:v>
      </x:c>
      <x:c r="E35" s="3" t="str">
        <x:v>Tài khoản và hồ sơ</x:v>
      </x:c>
      <x:c r="F35" s="3" t="str">
        <x:v>Positive — Sửa thông tin tài khoản</x:v>
      </x:c>
      <x:c r="G35" s="3" t="str">
        <x:v>Sửa thông tin tài khoản</x:v>
      </x:c>
      <x:c r="H35" s="3" t="str">
        <x:v>USR-001</x:v>
      </x:c>
      <x:c r="I35" s="3" t="str">
        <x:v>QTV có quyền tương ứng</x:v>
      </x:c>
      <x:c r="J35" s="3" t="str">
        <x:v>Positive</x:v>
      </x:c>
      <x:c r="K35" s="3" t="str">
        <x:v>High</x:v>
      </x:c>
      <x:c r="L35" s="3" t="str">
        <x:v>High</x:v>
      </x:c>
      <x:c r="M35" s="3" t="str">
        <x:v>Môi trường QA cô lập, DB/MinIO sẵn sàng; dữ liệu fixture đã tạo. Đăng nhập tài khoản ACTIVE, mustChangePassword=false.</x:v>
      </x:c>
      <x:c r="N35" s="3" t="str">
        <x:v>Dữ liệu QA tổng hợp; xem fixture trong README.</x:v>
      </x:c>
      <x:c r="O35" s="3" t="str">
        <x:v>1. Mở /admin/users/{USER_ID}
2. Đổi fullName, phone
3. Lưu và refresh</x:v>
      </x:c>
      <x:c r="P35" s="3" t="str">
        <x:v>HTTP 200; fullName/phone mới xuất hiện trong chi tiết và DB; có ACCOUNT_UPDATED.</x:v>
      </x:c>
      <x:c r="Q35" s="11" t="str"/>
      <x:c r="R35" s="8" t="str">
        <x:v>NOT RUN</x:v>
      </x:c>
      <x:c r="S35" s="11" t="str">
        <x:v>QA/UAT — cần điền URL/build</x:v>
      </x:c>
      <x:c r="T35" s="11" t="str">
        <x:v>Cần điền phiên bản thực</x:v>
      </x:c>
      <x:c r="U35" s="11" t="str"/>
      <x:c r="V35" s="12" t="str"/>
      <x:c r="W35" s="11" t="str"/>
      <x:c r="X35" s="11" t="str"/>
      <x:c r="Y35" s="3" t="str">
        <x:v>Nguồn: admin/src/app/api/admin/users. </x:v>
      </x:c>
    </x:row>
    <x:row r="36" ht="49" customHeight="1">
      <x:c r="A36" s="3" t="n">
        <x:v>35</x:v>
      </x:c>
      <x:c r="B36" s="3" t="str">
        <x:v>TC_USER_005</x:v>
      </x:c>
      <x:c r="C36" s="3" t="str">
        <x:v>USER</x:v>
      </x:c>
      <x:c r="D36" s="3" t="str">
        <x:v>Tài khoản và hồ sơ</x:v>
      </x:c>
      <x:c r="E36" s="3" t="str">
        <x:v>Tài khoản và hồ sơ</x:v>
      </x:c>
      <x:c r="F36" s="3" t="str">
        <x:v>Negative — Đổi username trùng</x:v>
      </x:c>
      <x:c r="G36" s="3" t="str">
        <x:v>Đổi username trùng</x:v>
      </x:c>
      <x:c r="H36" s="3" t="str">
        <x:v>USR-001</x:v>
      </x:c>
      <x:c r="I36" s="3" t="str">
        <x:v>QTV có quyền tương ứng</x:v>
      </x:c>
      <x:c r="J36" s="3" t="str">
        <x:v>Negative</x:v>
      </x:c>
      <x:c r="K36" s="3" t="str">
        <x:v>High</x:v>
      </x:c>
      <x:c r="L36" s="3" t="str">
        <x:v>High</x:v>
      </x:c>
      <x:c r="M36" s="3" t="str">
        <x:v>Môi trường QA cô lập, DB/MinIO sẵn sàng; dữ liệu fixture đã tạo. Đăng nhập tài khoản ACTIVE, mustChangePassword=false.</x:v>
      </x:c>
      <x:c r="N36" s="3" t="str">
        <x:v>Dữ liệu QA tổng hợp; xem fixture trong README.</x:v>
      </x:c>
      <x:c r="O36" s="3" t="str">
        <x:v>1. Mở chi tiết USER
2. Đổi username bằng tài khoản khác
3. Lưu</x:v>
      </x:c>
      <x:c r="P36" s="3" t="str">
        <x:v>HTTP 409; username cũ được giữ.</x:v>
      </x:c>
      <x:c r="Q36" s="11" t="str"/>
      <x:c r="R36" s="8" t="str">
        <x:v>NOT RUN</x:v>
      </x:c>
      <x:c r="S36" s="11" t="str">
        <x:v>QA/UAT — cần điền URL/build</x:v>
      </x:c>
      <x:c r="T36" s="11" t="str">
        <x:v>Cần điền phiên bản thực</x:v>
      </x:c>
      <x:c r="U36" s="11" t="str"/>
      <x:c r="V36" s="12" t="str"/>
      <x:c r="W36" s="11" t="str"/>
      <x:c r="X36" s="11" t="str"/>
      <x:c r="Y36" s="3" t="str">
        <x:v>Nguồn: admin/src/app/api/admin/users. </x:v>
      </x:c>
    </x:row>
    <x:row r="37" ht="49" customHeight="1">
      <x:c r="A37" s="3" t="n">
        <x:v>36</x:v>
      </x:c>
      <x:c r="B37" s="3" t="str">
        <x:v>TC_USER_006</x:v>
      </x:c>
      <x:c r="C37" s="3" t="str">
        <x:v>USER</x:v>
      </x:c>
      <x:c r="D37" s="3" t="str">
        <x:v>Tài khoản và hồ sơ</x:v>
      </x:c>
      <x:c r="E37" s="3" t="str">
        <x:v>Tài khoản và hồ sơ</x:v>
      </x:c>
      <x:c r="F37" s="3" t="str">
        <x:v>Negative — Đổi email trùng</x:v>
      </x:c>
      <x:c r="G37" s="3" t="str">
        <x:v>Đổi email trùng</x:v>
      </x:c>
      <x:c r="H37" s="3" t="str">
        <x:v>USR-001</x:v>
      </x:c>
      <x:c r="I37" s="3" t="str">
        <x:v>QTV có quyền tương ứng</x:v>
      </x:c>
      <x:c r="J37" s="3" t="str">
        <x:v>Negative</x:v>
      </x:c>
      <x:c r="K37" s="3" t="str">
        <x:v>High</x:v>
      </x:c>
      <x:c r="L37" s="3" t="str">
        <x:v>High</x:v>
      </x:c>
      <x:c r="M37" s="3" t="str">
        <x:v>Môi trường QA cô lập, DB/MinIO sẵn sàng; dữ liệu fixture đã tạo. Đăng nhập tài khoản ACTIVE, mustChangePassword=false.</x:v>
      </x:c>
      <x:c r="N37" s="3" t="str">
        <x:v>Dữ liệu QA tổng hợp; xem fixture trong README.</x:v>
      </x:c>
      <x:c r="O37" s="3" t="str">
        <x:v>1. Mở chi tiết USER
2. Đổi email thành email tài khoản khác
3. Lưu</x:v>
      </x:c>
      <x:c r="P37" s="3" t="str">
        <x:v>HTTP 409 theo kiểm tra collision; dữ liệu không đổi.</x:v>
      </x:c>
      <x:c r="Q37" s="11" t="str"/>
      <x:c r="R37" s="8" t="str">
        <x:v>NOT RUN</x:v>
      </x:c>
      <x:c r="S37" s="11" t="str">
        <x:v>QA/UAT — cần điền URL/build</x:v>
      </x:c>
      <x:c r="T37" s="11" t="str">
        <x:v>Cần điền phiên bản thực</x:v>
      </x:c>
      <x:c r="U37" s="11" t="str"/>
      <x:c r="V37" s="12" t="str"/>
      <x:c r="W37" s="11" t="str"/>
      <x:c r="X37" s="11" t="str"/>
      <x:c r="Y37" s="3" t="str">
        <x:v>Nguồn: admin/src/app/api/admin/users. </x:v>
      </x:c>
    </x:row>
    <x:row r="38" ht="49" customHeight="1">
      <x:c r="A38" s="3" t="n">
        <x:v>37</x:v>
      </x:c>
      <x:c r="B38" s="3" t="str">
        <x:v>TC_USER_007</x:v>
      </x:c>
      <x:c r="C38" s="3" t="str">
        <x:v>USER</x:v>
      </x:c>
      <x:c r="D38" s="3" t="str">
        <x:v>Tài khoản và hồ sơ</x:v>
      </x:c>
      <x:c r="E38" s="3" t="str">
        <x:v>Tài khoản và hồ sơ</x:v>
      </x:c>
      <x:c r="F38" s="3" t="str">
        <x:v>Positive — Vô hiệu hóa tài khoản</x:v>
      </x:c>
      <x:c r="G38" s="3" t="str">
        <x:v>Vô hiệu hóa tài khoản</x:v>
      </x:c>
      <x:c r="H38" s="3" t="str">
        <x:v>USR-001</x:v>
      </x:c>
      <x:c r="I38" s="3" t="str">
        <x:v>QTV có quyền tương ứng</x:v>
      </x:c>
      <x:c r="J38" s="3" t="str">
        <x:v>Positive</x:v>
      </x:c>
      <x:c r="K38" s="3" t="str">
        <x:v>High</x:v>
      </x:c>
      <x:c r="L38" s="3" t="str">
        <x:v>High</x:v>
      </x:c>
      <x:c r="M38" s="3" t="str">
        <x:v>Môi trường QA cô lập, DB/MinIO sẵn sàng; dữ liệu fixture đã tạo. Đăng nhập tài khoản ACTIVE, mustChangePassword=false.</x:v>
      </x:c>
      <x:c r="N38" s="3" t="str">
        <x:v>Dữ liệu QA tổng hợp; xem fixture trong README.</x:v>
      </x:c>
      <x:c r="O38" s="3" t="str">
        <x:v>1. Mở chi tiết USER đang ACTIVE có phiên
2. Chọn INACTIVE và xác nhận
3. Dùng phiên cũ</x:v>
      </x:c>
      <x:c r="P38" s="3" t="str">
        <x:v>HTTP 200; status=INACTIVE; tất cả phiên bị xóa; audit ACCOUNT_DISABLED; phiên cũ trả 401.</x:v>
      </x:c>
      <x:c r="Q38" s="11" t="str"/>
      <x:c r="R38" s="8" t="str">
        <x:v>NOT RUN</x:v>
      </x:c>
      <x:c r="S38" s="11" t="str">
        <x:v>QA/UAT — cần điền URL/build</x:v>
      </x:c>
      <x:c r="T38" s="11" t="str">
        <x:v>Cần điền phiên bản thực</x:v>
      </x:c>
      <x:c r="U38" s="11" t="str"/>
      <x:c r="V38" s="12" t="str"/>
      <x:c r="W38" s="11" t="str"/>
      <x:c r="X38" s="11" t="str"/>
      <x:c r="Y38" s="3" t="str">
        <x:v>Nguồn: admin/src/app/api/admin/users. </x:v>
      </x:c>
    </x:row>
    <x:row r="39" ht="49" customHeight="1">
      <x:c r="A39" s="3" t="n">
        <x:v>38</x:v>
      </x:c>
      <x:c r="B39" s="3" t="str">
        <x:v>TC_USER_008</x:v>
      </x:c>
      <x:c r="C39" s="3" t="str">
        <x:v>USER</x:v>
      </x:c>
      <x:c r="D39" s="3" t="str">
        <x:v>Tài khoản và hồ sơ</x:v>
      </x:c>
      <x:c r="E39" s="3" t="str">
        <x:v>Tài khoản và hồ sơ</x:v>
      </x:c>
      <x:c r="F39" s="3" t="str">
        <x:v>Positive — Kích hoạt lại</x:v>
      </x:c>
      <x:c r="G39" s="3" t="str">
        <x:v>Kích hoạt lại</x:v>
      </x:c>
      <x:c r="H39" s="3" t="str">
        <x:v>USR-001</x:v>
      </x:c>
      <x:c r="I39" s="3" t="str">
        <x:v>QTV có quyền tương ứng</x:v>
      </x:c>
      <x:c r="J39" s="3" t="str">
        <x:v>Positive</x:v>
      </x:c>
      <x:c r="K39" s="3" t="str">
        <x:v>High</x:v>
      </x:c>
      <x:c r="L39" s="3" t="str">
        <x:v>High</x:v>
      </x:c>
      <x:c r="M39" s="3" t="str">
        <x:v>Môi trường QA cô lập, DB/MinIO sẵn sàng; dữ liệu fixture đã tạo. Đăng nhập tài khoản ACTIVE, mustChangePassword=false.</x:v>
      </x:c>
      <x:c r="N39" s="3" t="str">
        <x:v>Dữ liệu QA tổng hợp; xem fixture trong README.</x:v>
      </x:c>
      <x:c r="O39" s="3" t="str">
        <x:v>1. Mở USER INACTIVE
2. Chuyển ACTIVE
3. Đăng nhập đúng</x:v>
      </x:c>
      <x:c r="P39" s="3" t="str">
        <x:v>status=ACTIVE; lockedUntil=null; failedLoginAttempts=0; có ACCOUNT_ENABLED; đăng nhập được.</x:v>
      </x:c>
      <x:c r="Q39" s="11" t="str"/>
      <x:c r="R39" s="8" t="str">
        <x:v>NOT RUN</x:v>
      </x:c>
      <x:c r="S39" s="11" t="str">
        <x:v>QA/UAT — cần điền URL/build</x:v>
      </x:c>
      <x:c r="T39" s="11" t="str">
        <x:v>Cần điền phiên bản thực</x:v>
      </x:c>
      <x:c r="U39" s="11" t="str"/>
      <x:c r="V39" s="12" t="str"/>
      <x:c r="W39" s="11" t="str"/>
      <x:c r="X39" s="11" t="str"/>
      <x:c r="Y39" s="3" t="str">
        <x:v>Nguồn: admin/src/app/api/admin/users. </x:v>
      </x:c>
    </x:row>
    <x:row r="40" ht="49" customHeight="1">
      <x:c r="A40" s="3" t="n">
        <x:v>39</x:v>
      </x:c>
      <x:c r="B40" s="3" t="str">
        <x:v>TC_USER_009</x:v>
      </x:c>
      <x:c r="C40" s="3" t="str">
        <x:v>USER</x:v>
      </x:c>
      <x:c r="D40" s="3" t="str">
        <x:v>Tài khoản và hồ sơ</x:v>
      </x:c>
      <x:c r="E40" s="3" t="str">
        <x:v>Tài khoản và hồ sơ</x:v>
      </x:c>
      <x:c r="F40" s="3" t="str">
        <x:v>Positive — Đổi vai trò</x:v>
      </x:c>
      <x:c r="G40" s="3" t="str">
        <x:v>Đổi vai trò</x:v>
      </x:c>
      <x:c r="H40" s="3" t="str">
        <x:v>USR-001</x:v>
      </x:c>
      <x:c r="I40" s="3" t="str">
        <x:v>QTV có quyền tương ứng</x:v>
      </x:c>
      <x:c r="J40" s="3" t="str">
        <x:v>Positive</x:v>
      </x:c>
      <x:c r="K40" s="3" t="str">
        <x:v>High</x:v>
      </x:c>
      <x:c r="L40" s="3" t="str">
        <x:v>High</x:v>
      </x:c>
      <x:c r="M40" s="3" t="str">
        <x:v>Môi trường QA cô lập, DB/MinIO sẵn sàng; dữ liệu fixture đã tạo. Đăng nhập tài khoản ACTIVE, mustChangePassword=false.</x:v>
      </x:c>
      <x:c r="N40" s="3" t="str">
        <x:v>Dữ liệu QA tổng hợp; xem fixture trong README.</x:v>
      </x:c>
      <x:c r="O40" s="3" t="str">
        <x:v>1. Mở USER cấp 2
2. Chuyển SUPER_ADMIN qua thao tác role
3. Gọi API bằng phiên cũ</x:v>
      </x:c>
      <x:c r="P40" s="3" t="str">
        <x:v>HTTP 200; roleId đổi; phiên bị thu hồi; audit ROLE_CHANGED có from/to.</x:v>
      </x:c>
      <x:c r="Q40" s="11" t="str"/>
      <x:c r="R40" s="8" t="str">
        <x:v>NOT RUN</x:v>
      </x:c>
      <x:c r="S40" s="11" t="str">
        <x:v>QA/UAT — cần điền URL/build</x:v>
      </x:c>
      <x:c r="T40" s="11" t="str">
        <x:v>Cần điền phiên bản thực</x:v>
      </x:c>
      <x:c r="U40" s="11" t="str"/>
      <x:c r="V40" s="12" t="str"/>
      <x:c r="W40" s="11" t="str"/>
      <x:c r="X40" s="11" t="str"/>
      <x:c r="Y40" s="3" t="str">
        <x:v>Nguồn: admin/src/app/api/admin/users. </x:v>
      </x:c>
    </x:row>
    <x:row r="41" ht="49" customHeight="1">
      <x:c r="A41" s="3" t="n">
        <x:v>40</x:v>
      </x:c>
      <x:c r="B41" s="3" t="str">
        <x:v>TC_USER_010</x:v>
      </x:c>
      <x:c r="C41" s="3" t="str">
        <x:v>USER</x:v>
      </x:c>
      <x:c r="D41" s="3" t="str">
        <x:v>Tài khoản và hồ sơ</x:v>
      </x:c>
      <x:c r="E41" s="3" t="str">
        <x:v>Tài khoản và hồ sơ</x:v>
      </x:c>
      <x:c r="F41" s="3" t="str">
        <x:v>Negative — Không vô hiệu Super Admin cuối</x:v>
      </x:c>
      <x:c r="G41" s="3" t="str">
        <x:v>Không vô hiệu Super Admin cuối</x:v>
      </x:c>
      <x:c r="H41" s="3" t="str">
        <x:v>USR-001</x:v>
      </x:c>
      <x:c r="I41" s="3" t="str">
        <x:v>QTV có quyền tương ứng</x:v>
      </x:c>
      <x:c r="J41" s="3" t="str">
        <x:v>Negative</x:v>
      </x:c>
      <x:c r="K41" s="3" t="str">
        <x:v>High</x:v>
      </x:c>
      <x:c r="L41" s="3" t="str">
        <x:v>High</x:v>
      </x:c>
      <x:c r="M41" s="3" t="str">
        <x:v>Môi trường QA cô lập, DB/MinIO sẵn sàng; dữ liệu fixture đã tạo. Đăng nhập tài khoản ACTIVE, mustChangePassword=false.</x:v>
      </x:c>
      <x:c r="N41" s="3" t="str">
        <x:v>Dữ liệu QA tổng hợp; xem fixture trong README.</x:v>
      </x:c>
      <x:c r="O41" s="3" t="str">
        <x:v>1. Chỉ để 1 Super Admin ACTIVE
2. Gửi PATCH /api/admin/users/{id}/status với INACTIVE</x:v>
      </x:c>
      <x:c r="P41" s="3" t="str">
        <x:v>HTTP 409; còn 1 Super Admin ACTIVE.</x:v>
      </x:c>
      <x:c r="Q41" s="11" t="str"/>
      <x:c r="R41" s="8" t="str">
        <x:v>NOT RUN</x:v>
      </x:c>
      <x:c r="S41" s="11" t="str">
        <x:v>QA/UAT — cần điền URL/build</x:v>
      </x:c>
      <x:c r="T41" s="11" t="str">
        <x:v>Cần điền phiên bản thực</x:v>
      </x:c>
      <x:c r="U41" s="11" t="str"/>
      <x:c r="V41" s="12" t="str"/>
      <x:c r="W41" s="11" t="str"/>
      <x:c r="X41" s="11" t="str"/>
      <x:c r="Y41" s="3" t="str">
        <x:v>Nguồn: admin/src/app/api/admin/users. </x:v>
      </x:c>
    </x:row>
    <x:row r="42" ht="49" customHeight="1">
      <x:c r="A42" s="3" t="n">
        <x:v>41</x:v>
      </x:c>
      <x:c r="B42" s="3" t="str">
        <x:v>TC_USER_011</x:v>
      </x:c>
      <x:c r="C42" s="3" t="str">
        <x:v>USER</x:v>
      </x:c>
      <x:c r="D42" s="3" t="str">
        <x:v>Tài khoản và hồ sơ</x:v>
      </x:c>
      <x:c r="E42" s="3" t="str">
        <x:v>Tài khoản và hồ sơ</x:v>
      </x:c>
      <x:c r="F42" s="3" t="str">
        <x:v>Negative — Không hạ quyền Super Admin cuối</x:v>
      </x:c>
      <x:c r="G42" s="3" t="str">
        <x:v>Không hạ quyền Super Admin cuối</x:v>
      </x:c>
      <x:c r="H42" s="3" t="str">
        <x:v>USR-001</x:v>
      </x:c>
      <x:c r="I42" s="3" t="str">
        <x:v>QTV có quyền tương ứng</x:v>
      </x:c>
      <x:c r="J42" s="3" t="str">
        <x:v>Negative</x:v>
      </x:c>
      <x:c r="K42" s="3" t="str">
        <x:v>High</x:v>
      </x:c>
      <x:c r="L42" s="3" t="str">
        <x:v>High</x:v>
      </x:c>
      <x:c r="M42" s="3" t="str">
        <x:v>Môi trường QA cô lập, DB/MinIO sẵn sàng; dữ liệu fixture đã tạo. Đăng nhập tài khoản ACTIVE, mustChangePassword=false.</x:v>
      </x:c>
      <x:c r="N42" s="3" t="str">
        <x:v>Dữ liệu QA tổng hợp; xem fixture trong README.</x:v>
      </x:c>
      <x:c r="O42" s="3" t="str">
        <x:v>1. Chỉ để 1 Super Admin ACTIVE
2. Gửi PATCH /api/admin/users/{id}/role với ADMIN_LEVEL_2</x:v>
      </x:c>
      <x:c r="P42" s="3" t="str">
        <x:v>HTTP 409; role giữ SUPER_ADMIN.</x:v>
      </x:c>
      <x:c r="Q42" s="11" t="str"/>
      <x:c r="R42" s="8" t="str">
        <x:v>NOT RUN</x:v>
      </x:c>
      <x:c r="S42" s="11" t="str">
        <x:v>QA/UAT — cần điền URL/build</x:v>
      </x:c>
      <x:c r="T42" s="11" t="str">
        <x:v>Cần điền phiên bản thực</x:v>
      </x:c>
      <x:c r="U42" s="11" t="str"/>
      <x:c r="V42" s="12" t="str"/>
      <x:c r="W42" s="11" t="str"/>
      <x:c r="X42" s="11" t="str"/>
      <x:c r="Y42" s="3" t="str">
        <x:v>Nguồn: admin/src/app/api/admin/users. </x:v>
      </x:c>
    </x:row>
    <x:row r="43" ht="49" customHeight="1">
      <x:c r="A43" s="3" t="n">
        <x:v>42</x:v>
      </x:c>
      <x:c r="B43" s="3" t="str">
        <x:v>TC_USER_012</x:v>
      </x:c>
      <x:c r="C43" s="3" t="str">
        <x:v>USER</x:v>
      </x:c>
      <x:c r="D43" s="3" t="str">
        <x:v>Tài khoản và hồ sơ</x:v>
      </x:c>
      <x:c r="E43" s="3" t="str">
        <x:v>Tài khoản và hồ sơ</x:v>
      </x:c>
      <x:c r="F43" s="3" t="str">
        <x:v>Positive — Reset mật khẩu cấp dưới</x:v>
      </x:c>
      <x:c r="G43" s="3" t="str">
        <x:v>Reset mật khẩu cấp dưới</x:v>
      </x:c>
      <x:c r="H43" s="3" t="str">
        <x:v>USR-001</x:v>
      </x:c>
      <x:c r="I43" s="3" t="str">
        <x:v>QTV có quyền tương ứng</x:v>
      </x:c>
      <x:c r="J43" s="3" t="str">
        <x:v>Positive</x:v>
      </x:c>
      <x:c r="K43" s="3" t="str">
        <x:v>High</x:v>
      </x:c>
      <x:c r="L43" s="3" t="str">
        <x:v>High</x:v>
      </x:c>
      <x:c r="M43" s="3" t="str">
        <x:v>Môi trường QA cô lập, DB/MinIO sẵn sàng; dữ liệu fixture đã tạo. Đăng nhập tài khoản ACTIVE, mustChangePassword=false.</x:v>
      </x:c>
      <x:c r="N43" s="3" t="str">
        <x:v>Dữ liệu QA tổng hợp; xem fixture trong README.</x:v>
      </x:c>
      <x:c r="O43" s="3" t="str">
        <x:v>1. Mở USER
2. Nhập mật khẩu mới và xác nhận
3. Thực hiện reset</x:v>
      </x:c>
      <x:c r="P43" s="3" t="str">
        <x:v>Hash cập nhật; mustChangePassword=true; thu hồi mọi phiên; có PASSWORD_RESET.</x:v>
      </x:c>
      <x:c r="Q43" s="11" t="str"/>
      <x:c r="R43" s="8" t="str">
        <x:v>NOT RUN</x:v>
      </x:c>
      <x:c r="S43" s="11" t="str">
        <x:v>QA/UAT — cần điền URL/build</x:v>
      </x:c>
      <x:c r="T43" s="11" t="str">
        <x:v>Cần điền phiên bản thực</x:v>
      </x:c>
      <x:c r="U43" s="11" t="str"/>
      <x:c r="V43" s="12" t="str"/>
      <x:c r="W43" s="11" t="str"/>
      <x:c r="X43" s="11" t="str"/>
      <x:c r="Y43" s="3" t="str">
        <x:v>Nguồn: admin/src/app/api/admin/users. </x:v>
      </x:c>
    </x:row>
    <x:row r="44" ht="49" customHeight="1">
      <x:c r="A44" s="3" t="n">
        <x:v>43</x:v>
      </x:c>
      <x:c r="B44" s="3" t="str">
        <x:v>TC_USER_013</x:v>
      </x:c>
      <x:c r="C44" s="3" t="str">
        <x:v>USER</x:v>
      </x:c>
      <x:c r="D44" s="3" t="str">
        <x:v>Tài khoản và hồ sơ</x:v>
      </x:c>
      <x:c r="E44" s="3" t="str">
        <x:v>Tài khoản và hồ sơ</x:v>
      </x:c>
      <x:c r="F44" s="3" t="str">
        <x:v>Positive — Hủy reset mật khẩu</x:v>
      </x:c>
      <x:c r="G44" s="3" t="str">
        <x:v>Hủy reset mật khẩu</x:v>
      </x:c>
      <x:c r="H44" s="3" t="str">
        <x:v>USR-001</x:v>
      </x:c>
      <x:c r="I44" s="3" t="str">
        <x:v>QTV có quyền tương ứng</x:v>
      </x:c>
      <x:c r="J44" s="3" t="str">
        <x:v>Positive</x:v>
      </x:c>
      <x:c r="K44" s="3" t="str">
        <x:v>High</x:v>
      </x:c>
      <x:c r="L44" s="3" t="str">
        <x:v>High</x:v>
      </x:c>
      <x:c r="M44" s="3" t="str">
        <x:v>Môi trường QA cô lập, DB/MinIO sẵn sàng; dữ liệu fixture đã tạo. Đăng nhập tài khoản ACTIVE, mustChangePassword=false.</x:v>
      </x:c>
      <x:c r="N44" s="3" t="str">
        <x:v>Dữ liệu QA tổng hợp; xem fixture trong README.</x:v>
      </x:c>
      <x:c r="O44" s="3" t="str">
        <x:v>1. Mở thao tác reset USER
2. Nhập dữ liệu
3. Hủy/đóng trước khi gửi</x:v>
      </x:c>
      <x:c r="P44" s="3" t="str">
        <x:v>Không có request reset; hash và phiên không đổi.</x:v>
      </x:c>
      <x:c r="Q44" s="11" t="str"/>
      <x:c r="R44" s="8" t="str">
        <x:v>NOT RUN</x:v>
      </x:c>
      <x:c r="S44" s="11" t="str">
        <x:v>QA/UAT — cần điền URL/build</x:v>
      </x:c>
      <x:c r="T44" s="11" t="str">
        <x:v>Cần điền phiên bản thực</x:v>
      </x:c>
      <x:c r="U44" s="11" t="str"/>
      <x:c r="V44" s="12" t="str"/>
      <x:c r="W44" s="11" t="str"/>
      <x:c r="X44" s="11" t="str"/>
      <x:c r="Y44" s="3" t="str">
        <x:v>Nguồn: admin/src/app/api/admin/users. </x:v>
      </x:c>
    </x:row>
    <x:row r="45" ht="49" customHeight="1">
      <x:c r="A45" s="3" t="n">
        <x:v>44</x:v>
      </x:c>
      <x:c r="B45" s="3" t="str">
        <x:v>TC_USER_014</x:v>
      </x:c>
      <x:c r="C45" s="3" t="str">
        <x:v>USER</x:v>
      </x:c>
      <x:c r="D45" s="3" t="str">
        <x:v>Tài khoản và hồ sơ</x:v>
      </x:c>
      <x:c r="E45" s="3" t="str">
        <x:v>Tài khoản và hồ sơ</x:v>
      </x:c>
      <x:c r="F45" s="3" t="str">
        <x:v>Positive — Xóa tài khoản không tham chiếu</x:v>
      </x:c>
      <x:c r="G45" s="3" t="str">
        <x:v>Xóa tài khoản không tham chiếu</x:v>
      </x:c>
      <x:c r="H45" s="3" t="str">
        <x:v>USR-001</x:v>
      </x:c>
      <x:c r="I45" s="3" t="str">
        <x:v>QTV có quyền tương ứng</x:v>
      </x:c>
      <x:c r="J45" s="3" t="str">
        <x:v>Positive</x:v>
      </x:c>
      <x:c r="K45" s="3" t="str">
        <x:v>High</x:v>
      </x:c>
      <x:c r="L45" s="3" t="str">
        <x:v>High</x:v>
      </x:c>
      <x:c r="M45" s="3" t="str">
        <x:v>Môi trường QA cô lập, DB/MinIO sẵn sàng; dữ liệu fixture đã tạo. Đăng nhập tài khoản ACTIVE, mustChangePassword=false.</x:v>
      </x:c>
      <x:c r="N45" s="3" t="str">
        <x:v>Dữ liệu QA tổng hợp; xem fixture trong README.</x:v>
      </x:c>
      <x:c r="O45" s="3" t="str">
        <x:v>1. Tạo USER chưa có bài/resource/note, actor có admins.delete
2. Xác nhận xóa USER</x:v>
      </x:c>
      <x:c r="P45" s="3" t="str">
        <x:v>HTTP 200; Admin, sessions, reset tokens bị xóa; audit ACCOUNT_DELETED giữ metadata và targetAdminId=null.</x:v>
      </x:c>
      <x:c r="Q45" s="11" t="str"/>
      <x:c r="R45" s="8" t="str">
        <x:v>NOT RUN</x:v>
      </x:c>
      <x:c r="S45" s="11" t="str">
        <x:v>QA/UAT — cần điền URL/build</x:v>
      </x:c>
      <x:c r="T45" s="11" t="str">
        <x:v>Cần điền phiên bản thực</x:v>
      </x:c>
      <x:c r="U45" s="11" t="str"/>
      <x:c r="V45" s="12" t="str"/>
      <x:c r="W45" s="11" t="str"/>
      <x:c r="X45" s="11" t="str"/>
      <x:c r="Y45" s="3" t="str">
        <x:v>Nguồn: admin/src/app/api/admin/users. </x:v>
      </x:c>
    </x:row>
    <x:row r="46" ht="49" customHeight="1">
      <x:c r="A46" s="3" t="n">
        <x:v>45</x:v>
      </x:c>
      <x:c r="B46" s="3" t="str">
        <x:v>TC_USER_015</x:v>
      </x:c>
      <x:c r="C46" s="3" t="str">
        <x:v>USER</x:v>
      </x:c>
      <x:c r="D46" s="3" t="str">
        <x:v>Tài khoản và hồ sơ</x:v>
      </x:c>
      <x:c r="E46" s="3" t="str">
        <x:v>Tài khoản và hồ sơ</x:v>
      </x:c>
      <x:c r="F46" s="3" t="str">
        <x:v>Negative — Từ chối tự xóa</x:v>
      </x:c>
      <x:c r="G46" s="3" t="str">
        <x:v>Từ chối tự xóa</x:v>
      </x:c>
      <x:c r="H46" s="3" t="str">
        <x:v>USR-001</x:v>
      </x:c>
      <x:c r="I46" s="3" t="str">
        <x:v>QTV có quyền tương ứng</x:v>
      </x:c>
      <x:c r="J46" s="3" t="str">
        <x:v>Negative</x:v>
      </x:c>
      <x:c r="K46" s="3" t="str">
        <x:v>High</x:v>
      </x:c>
      <x:c r="L46" s="3" t="str">
        <x:v>High</x:v>
      </x:c>
      <x:c r="M46" s="3" t="str">
        <x:v>Môi trường QA cô lập, DB/MinIO sẵn sàng; dữ liệu fixture đã tạo. Đăng nhập tài khoản ACTIVE, mustChangePassword=false.</x:v>
      </x:c>
      <x:c r="N46" s="3" t="str">
        <x:v>Dữ liệu QA tổng hợp; xem fixture trong README.</x:v>
      </x:c>
      <x:c r="O46" s="3" t="str">
        <x:v>1. Actor có admins.delete
2. Gửi DELETE với chính ID actor</x:v>
      </x:c>
      <x:c r="P46" s="3" t="str">
        <x:v>HTTP 400; tài khoản và phiên còn nguyên.</x:v>
      </x:c>
      <x:c r="Q46" s="11" t="str"/>
      <x:c r="R46" s="8" t="str">
        <x:v>NOT RUN</x:v>
      </x:c>
      <x:c r="S46" s="11" t="str">
        <x:v>QA/UAT — cần điền URL/build</x:v>
      </x:c>
      <x:c r="T46" s="11" t="str">
        <x:v>Cần điền phiên bản thực</x:v>
      </x:c>
      <x:c r="U46" s="11" t="str"/>
      <x:c r="V46" s="12" t="str"/>
      <x:c r="W46" s="11" t="str"/>
      <x:c r="X46" s="11" t="str"/>
      <x:c r="Y46" s="3" t="str">
        <x:v>Nguồn: admin/src/app/api/admin/users. </x:v>
      </x:c>
    </x:row>
    <x:row r="47" ht="49" customHeight="1">
      <x:c r="A47" s="3" t="n">
        <x:v>46</x:v>
      </x:c>
      <x:c r="B47" s="3" t="str">
        <x:v>TC_USER_016</x:v>
      </x:c>
      <x:c r="C47" s="3" t="str">
        <x:v>USER</x:v>
      </x:c>
      <x:c r="D47" s="3" t="str">
        <x:v>Tài khoản và hồ sơ</x:v>
      </x:c>
      <x:c r="E47" s="3" t="str">
        <x:v>Tài khoản và hồ sơ</x:v>
      </x:c>
      <x:c r="F47" s="3" t="str">
        <x:v>Positive — Danh sách rỗng theo fixture</x:v>
      </x:c>
      <x:c r="G47" s="3" t="str">
        <x:v>Danh sách rỗng theo fixture</x:v>
      </x:c>
      <x:c r="H47" s="3" t="str">
        <x:v>USR-001</x:v>
      </x:c>
      <x:c r="I47" s="3" t="str">
        <x:v>QTV có quyền tương ứng</x:v>
      </x:c>
      <x:c r="J47" s="3" t="str">
        <x:v>Positive</x:v>
      </x:c>
      <x:c r="K47" s="3" t="str">
        <x:v>High</x:v>
      </x:c>
      <x:c r="L47" s="3" t="str">
        <x:v>High</x:v>
      </x:c>
      <x:c r="M47" s="3" t="str">
        <x:v>Môi trường QA cô lập, DB/MinIO sẵn sàng; dữ liệu fixture đã tạo. Đăng nhập tài khoản ACTIVE, mustChangePassword=false.</x:v>
      </x:c>
      <x:c r="N47" s="3" t="str">
        <x:v>Dữ liệu QA tổng hợp; xem fixture trong README.</x:v>
      </x:c>
      <x:c r="O47" s="3" t="str">
        <x:v>1. Dùng role có admins.view trên DB fixture phù hợp
2. Mở /admin/users</x:v>
      </x:c>
      <x:c r="P47" s="3" t="str">
        <x:v>Không crash; hiển thị trạng thái không có dữ liệu hoặc danh sách các tài khoản thực có.</x:v>
      </x:c>
      <x:c r="Q47" s="11" t="str"/>
      <x:c r="R47" s="8" t="str">
        <x:v>NOT RUN</x:v>
      </x:c>
      <x:c r="S47" s="11" t="str">
        <x:v>QA/UAT — cần điền URL/build</x:v>
      </x:c>
      <x:c r="T47" s="11" t="str">
        <x:v>Cần điền phiên bản thực</x:v>
      </x:c>
      <x:c r="U47" s="11" t="str"/>
      <x:c r="V47" s="12" t="str"/>
      <x:c r="W47" s="11" t="str"/>
      <x:c r="X47" s="11" t="str"/>
      <x:c r="Y47" s="3" t="str">
        <x:v>Nguồn: admin/src/app/api/admin/users. </x:v>
      </x:c>
    </x:row>
    <x:row r="48" ht="49" customHeight="1">
      <x:c r="A48" s="3" t="n">
        <x:v>47</x:v>
      </x:c>
      <x:c r="B48" s="3" t="str">
        <x:v>TC_USER_017</x:v>
      </x:c>
      <x:c r="C48" s="3" t="str">
        <x:v>USER</x:v>
      </x:c>
      <x:c r="D48" s="3" t="str">
        <x:v>Tài khoản và hồ sơ</x:v>
      </x:c>
      <x:c r="E48" s="3" t="str">
        <x:v>Tài khoản và hồ sơ</x:v>
      </x:c>
      <x:c r="F48" s="3" t="str">
        <x:v>Positive — Hồ sơ cá nhân</x:v>
      </x:c>
      <x:c r="G48" s="3" t="str">
        <x:v>Hồ sơ cá nhân</x:v>
      </x:c>
      <x:c r="H48" s="3" t="str">
        <x:v>USR-001</x:v>
      </x:c>
      <x:c r="I48" s="3" t="str">
        <x:v>QTV có quyền tương ứng</x:v>
      </x:c>
      <x:c r="J48" s="3" t="str">
        <x:v>Positive</x:v>
      </x:c>
      <x:c r="K48" s="3" t="str">
        <x:v>High</x:v>
      </x:c>
      <x:c r="L48" s="3" t="str">
        <x:v>High</x:v>
      </x:c>
      <x:c r="M48" s="3" t="str">
        <x:v>Môi trường QA cô lập, DB/MinIO sẵn sàng; dữ liệu fixture đã tạo. Đăng nhập tài khoản ACTIVE, mustChangePassword=false.</x:v>
      </x:c>
      <x:c r="N48" s="3" t="str">
        <x:v>Dữ liệu QA tổng hợp; xem fixture trong README.</x:v>
      </x:c>
      <x:c r="O48" s="3" t="str">
        <x:v>1. Mở /admin/profile
2. Đổi fullName/username/email/phone của chính mình
3. Lưu và refresh</x:v>
      </x:c>
      <x:c r="P48" s="3" t="str">
        <x:v>PATCH /api/admin/auth/me trả 200; thông tin cập nhật và audit ACCOUNT_UPDATED.</x:v>
      </x:c>
      <x:c r="Q48" s="11" t="str"/>
      <x:c r="R48" s="8" t="str">
        <x:v>NOT RUN</x:v>
      </x:c>
      <x:c r="S48" s="11" t="str">
        <x:v>QA/UAT — cần điền URL/build</x:v>
      </x:c>
      <x:c r="T48" s="11" t="str">
        <x:v>Cần điền phiên bản thực</x:v>
      </x:c>
      <x:c r="U48" s="11" t="str"/>
      <x:c r="V48" s="12" t="str"/>
      <x:c r="W48" s="11" t="str"/>
      <x:c r="X48" s="11" t="str"/>
      <x:c r="Y48" s="3" t="str">
        <x:v>Nguồn: admin/src/app/api/admin/auth/me/route.ts. </x:v>
      </x:c>
    </x:row>
    <x:row r="49" ht="49" customHeight="1">
      <x:c r="A49" s="3" t="n">
        <x:v>48</x:v>
      </x:c>
      <x:c r="B49" s="3" t="str">
        <x:v>TC_USER_018</x:v>
      </x:c>
      <x:c r="C49" s="3" t="str">
        <x:v>USER</x:v>
      </x:c>
      <x:c r="D49" s="3" t="str">
        <x:v>Tài khoản và hồ sơ</x:v>
      </x:c>
      <x:c r="E49" s="3" t="str">
        <x:v>Tài khoản và hồ sơ</x:v>
      </x:c>
      <x:c r="F49" s="3" t="str">
        <x:v>Positive — Hủy sửa hồ sơ</x:v>
      </x:c>
      <x:c r="G49" s="3" t="str">
        <x:v>Hủy sửa hồ sơ</x:v>
      </x:c>
      <x:c r="H49" s="3" t="str">
        <x:v>USR-001</x:v>
      </x:c>
      <x:c r="I49" s="3" t="str">
        <x:v>QTV có quyền tương ứng</x:v>
      </x:c>
      <x:c r="J49" s="3" t="str">
        <x:v>Positive</x:v>
      </x:c>
      <x:c r="K49" s="3" t="str">
        <x:v>High</x:v>
      </x:c>
      <x:c r="L49" s="3" t="str">
        <x:v>High</x:v>
      </x:c>
      <x:c r="M49" s="3" t="str">
        <x:v>Môi trường QA cô lập, DB/MinIO sẵn sàng; dữ liệu fixture đã tạo. Đăng nhập tài khoản ACTIVE, mustChangePassword=false.</x:v>
      </x:c>
      <x:c r="N49" s="3" t="str">
        <x:v>Dữ liệu QA tổng hợp; xem fixture trong README.</x:v>
      </x:c>
      <x:c r="O49" s="3" t="str">
        <x:v>1. Mở /admin/profile
2. Thay đổi tên chưa lưu
3. Hủy chỉnh sửa</x:v>
      </x:c>
      <x:c r="P49" s="3" t="str">
        <x:v>Form về dữ liệu đã lưu; không có PATCH; DB không đổi.</x:v>
      </x:c>
      <x:c r="Q49" s="11" t="str"/>
      <x:c r="R49" s="8" t="str">
        <x:v>NOT RUN</x:v>
      </x:c>
      <x:c r="S49" s="11" t="str">
        <x:v>QA/UAT — cần điền URL/build</x:v>
      </x:c>
      <x:c r="T49" s="11" t="str">
        <x:v>Cần điền phiên bản thực</x:v>
      </x:c>
      <x:c r="U49" s="11" t="str"/>
      <x:c r="V49" s="12" t="str"/>
      <x:c r="W49" s="11" t="str"/>
      <x:c r="X49" s="11" t="str"/>
      <x:c r="Y49" s="3" t="str">
        <x:v>Nguồn: admin/src/app/api/admin/auth/me/route.ts. </x:v>
      </x:c>
    </x:row>
    <x:row r="50" ht="62" customHeight="1">
      <x:c r="A50" s="3" t="n">
        <x:v>49</x:v>
      </x:c>
      <x:c r="B50" s="3" t="str">
        <x:v>TC_NEWS_001</x:v>
      </x:c>
      <x:c r="C50" s="3" t="str">
        <x:v>NEWS</x:v>
      </x:c>
      <x:c r="D50" s="3" t="str">
        <x:v>Tạo tin</x:v>
      </x:c>
      <x:c r="E50" s="3" t="str">
        <x:v>Tạo tin</x:v>
      </x:c>
      <x:c r="F50" s="3" t="str">
        <x:v>Positive — Tạo bài DRAFT</x:v>
      </x:c>
      <x:c r="G50" s="3" t="str">
        <x:v>Tạo bài DRAFT</x:v>
      </x:c>
      <x:c r="H50" s="3" t="str">
        <x:v>NEWS-001</x:v>
      </x:c>
      <x:c r="I50" s="3" t="str">
        <x:v>QTV có quyền tương ứng</x:v>
      </x:c>
      <x:c r="J50" s="3" t="str">
        <x:v>Positive</x:v>
      </x:c>
      <x:c r="K50" s="3" t="str">
        <x:v>High</x:v>
      </x:c>
      <x:c r="L50" s="3" t="str">
        <x:v>High</x:v>
      </x:c>
      <x:c r="M50" s="3" t="str">
        <x:v>Môi trường QA cô lập, DB/MinIO sẵn sàng; dữ liệu fixture đã tạo. Đăng nhập tài khoản ACTIVE, mustChangePassword=false.</x:v>
      </x:c>
      <x:c r="N50" s="3" t="str">
        <x:v>NEWS; VGG_DEMO_NEWS=false</x:v>
      </x:c>
      <x:c r="O50" s="3" t="str">
        <x:v>1. Mở /admin/news
2. Nhập fixture NEWS, slug duy nhất, chọn DRAFT
3. Lưu
4. Kiểm tra DB và /api/public/news</x:v>
      </x:c>
      <x:c r="P50" s="3" t="str">
        <x:v>HTTP 201; status=DRAFT; publishedAt=null; bài không có trong public list.</x:v>
      </x:c>
      <x:c r="Q50" s="11" t="str"/>
      <x:c r="R50" s="8" t="str">
        <x:v>NOT RUN</x:v>
      </x:c>
      <x:c r="S50" s="11" t="str">
        <x:v>QA/UAT — cần điền URL/build</x:v>
      </x:c>
      <x:c r="T50" s="11" t="str">
        <x:v>Cần điền phiên bản thực</x:v>
      </x:c>
      <x:c r="U50" s="11" t="str"/>
      <x:c r="V50" s="12" t="str"/>
      <x:c r="W50" s="11" t="str"/>
      <x:c r="X50" s="11" t="str"/>
      <x:c r="Y50" s="3" t="str">
        <x:v>Nguồn: backend/src/modules/cms/cms.routes.ts:63. </x:v>
      </x:c>
    </x:row>
    <x:row r="51" ht="62" customHeight="1">
      <x:c r="A51" s="3" t="n">
        <x:v>50</x:v>
      </x:c>
      <x:c r="B51" s="3" t="str">
        <x:v>TC_NEWS_002</x:v>
      </x:c>
      <x:c r="C51" s="3" t="str">
        <x:v>NEWS</x:v>
      </x:c>
      <x:c r="D51" s="3" t="str">
        <x:v>Tạo tin</x:v>
      </x:c>
      <x:c r="E51" s="3" t="str">
        <x:v>Tạo tin</x:v>
      </x:c>
      <x:c r="F51" s="3" t="str">
        <x:v>Positive — Tạo bài PUBLISHED</x:v>
      </x:c>
      <x:c r="G51" s="3" t="str">
        <x:v>Tạo bài PUBLISHED</x:v>
      </x:c>
      <x:c r="H51" s="3" t="str">
        <x:v>NEWS-004</x:v>
      </x:c>
      <x:c r="I51" s="3" t="str">
        <x:v>QTV có quyền tương ứng</x:v>
      </x:c>
      <x:c r="J51" s="3" t="str">
        <x:v>Positive</x:v>
      </x:c>
      <x:c r="K51" s="3" t="str">
        <x:v>High</x:v>
      </x:c>
      <x:c r="L51" s="3" t="str">
        <x:v>High</x:v>
      </x:c>
      <x:c r="M51" s="3" t="str">
        <x:v>Môi trường QA cô lập, DB/MinIO sẵn sàng; dữ liệu fixture đã tạo. Đăng nhập tài khoản ACTIVE, mustChangePassword=false.</x:v>
      </x:c>
      <x:c r="N51" s="3" t="str">
        <x:v>NEWS; VGG_DEMO_NEWS=false</x:v>
      </x:c>
      <x:c r="O51" s="3" t="str">
        <x:v>1. Mở /admin/news
2. Nhập fixture NEWS, slug duy nhất, chọn PUBLISHED
3. Lưu
4. Kiểm tra DB và /api/public/news</x:v>
      </x:c>
      <x:c r="P51" s="3" t="str">
        <x:v>HTTP 201; status=PUBLISHED; publishedAt có giá trị và bài có trong public list.</x:v>
      </x:c>
      <x:c r="Q51" s="11" t="str"/>
      <x:c r="R51" s="8" t="str">
        <x:v>NOT RUN</x:v>
      </x:c>
      <x:c r="S51" s="11" t="str">
        <x:v>QA/UAT — cần điền URL/build</x:v>
      </x:c>
      <x:c r="T51" s="11" t="str">
        <x:v>Cần điền phiên bản thực</x:v>
      </x:c>
      <x:c r="U51" s="11" t="str"/>
      <x:c r="V51" s="12" t="str"/>
      <x:c r="W51" s="11" t="str"/>
      <x:c r="X51" s="11" t="str"/>
      <x:c r="Y51" s="3" t="str">
        <x:v>Nguồn: backend/src/modules/cms/cms.routes.ts:63. </x:v>
      </x:c>
    </x:row>
    <x:row r="52" ht="49" customHeight="1">
      <x:c r="A52" s="3" t="n">
        <x:v>51</x:v>
      </x:c>
      <x:c r="B52" s="3" t="str">
        <x:v>TC_NEWS_003</x:v>
      </x:c>
      <x:c r="C52" s="3" t="str">
        <x:v>NEWS</x:v>
      </x:c>
      <x:c r="D52" s="3" t="str">
        <x:v>Tạo tin</x:v>
      </x:c>
      <x:c r="E52" s="3" t="str">
        <x:v>Tạo tin</x:v>
      </x:c>
      <x:c r="F52" s="3" t="str">
        <x:v>Positive — Tạo bài ARCHIVED</x:v>
      </x:c>
      <x:c r="G52" s="3" t="str">
        <x:v>Tạo bài ARCHIVED</x:v>
      </x:c>
      <x:c r="H52" s="3" t="str">
        <x:v>NEWS-004</x:v>
      </x:c>
      <x:c r="I52" s="3" t="str">
        <x:v>QTV có quyền tương ứng</x:v>
      </x:c>
      <x:c r="J52" s="3" t="str">
        <x:v>Positive</x:v>
      </x:c>
      <x:c r="K52" s="3" t="str">
        <x:v>High</x:v>
      </x:c>
      <x:c r="L52" s="3" t="str">
        <x:v>High</x:v>
      </x:c>
      <x:c r="M52" s="3" t="str">
        <x:v>Môi trường QA cô lập, DB/MinIO sẵn sàng; dữ liệu fixture đã tạo. Đăng nhập tài khoản ACTIVE, mustChangePassword=false.</x:v>
      </x:c>
      <x:c r="N52" s="3" t="str">
        <x:v>NEWS; VGG_DEMO_NEWS=false</x:v>
      </x:c>
      <x:c r="O52" s="3" t="str">
        <x:v>1. Chuẩn bị NEWS với slug duy nhất và status=ARCHIVED.
2. POST BACKEND /api/admin/news với phiên news.create.
3. Kiểm tra DB và public API.</x:v>
      </x:c>
      <x:c r="P52" s="3" t="str">
        <x:v>HTTP 201; status=ARCHIVED; publishedAt=null; bài không có trong public list.</x:v>
      </x:c>
      <x:c r="Q52" s="11" t="str"/>
      <x:c r="R52" s="8" t="str">
        <x:v>NOT RUN</x:v>
      </x:c>
      <x:c r="S52" s="11" t="str">
        <x:v>QA/UAT — cần điền URL/build</x:v>
      </x:c>
      <x:c r="T52" s="11" t="str">
        <x:v>Cần điền phiên bản thực</x:v>
      </x:c>
      <x:c r="U52" s="11" t="str"/>
      <x:c r="V52" s="12" t="str"/>
      <x:c r="W52" s="11" t="str"/>
      <x:c r="X52" s="11" t="str"/>
      <x:c r="Y52" s="3" t="str">
        <x:v>Nguồn: backend/src/modules/cms/cms.routes.ts:63. </x:v>
      </x:c>
    </x:row>
    <x:row r="53" ht="49" customHeight="1">
      <x:c r="A53" s="3" t="n">
        <x:v>52</x:v>
      </x:c>
      <x:c r="B53" s="3" t="str">
        <x:v>TC_NEWS_004</x:v>
      </x:c>
      <x:c r="C53" s="3" t="str">
        <x:v>NEWS</x:v>
      </x:c>
      <x:c r="D53" s="3" t="str">
        <x:v>Biên tập và công khai tin</x:v>
      </x:c>
      <x:c r="E53" s="3" t="str">
        <x:v>Biên tập và công khai tin</x:v>
      </x:c>
      <x:c r="F53" s="3" t="str">
        <x:v>Positive — Sửa bài đã lưu</x:v>
      </x:c>
      <x:c r="G53" s="3" t="str">
        <x:v>Sửa bài đã lưu</x:v>
      </x:c>
      <x:c r="H53" s="3" t="str">
        <x:v>NEWS-001</x:v>
      </x:c>
      <x:c r="I53" s="3" t="str">
        <x:v>QTV có quyền tương ứng</x:v>
      </x:c>
      <x:c r="J53" s="3" t="str">
        <x:v>Positive</x:v>
      </x:c>
      <x:c r="K53" s="3" t="str">
        <x:v>Medium</x:v>
      </x:c>
      <x:c r="L53" s="3" t="str">
        <x:v>Medium</x:v>
      </x:c>
      <x:c r="M53" s="3" t="str">
        <x:v>Môi trường QA cô lập, DB/MinIO sẵn sàng; dữ liệu fixture đã tạo. Đăng nhập tài khoản ACTIVE, mustChangePassword=false.</x:v>
      </x:c>
      <x:c r="N53" s="3" t="str">
        <x:v>NEWS fixture; VGG_DEMO_NEWS=false</x:v>
      </x:c>
      <x:c r="O53" s="3" t="str">
        <x:v>1. Mở bài NEWS_ID
2. Đổi title/excerpt/content hợp lệ
3. Lưu và refresh</x:v>
      </x:c>
      <x:c r="P53" s="3" t="str">
        <x:v>PUT trả 200; giữ ID và authorId; các trường đổi khớp DB; có NEWS_UPDATED.</x:v>
      </x:c>
      <x:c r="Q53" s="11" t="str"/>
      <x:c r="R53" s="8" t="str">
        <x:v>NOT RUN</x:v>
      </x:c>
      <x:c r="S53" s="11" t="str">
        <x:v>QA/UAT — cần điền URL/build</x:v>
      </x:c>
      <x:c r="T53" s="11" t="str">
        <x:v>Cần điền phiên bản thực</x:v>
      </x:c>
      <x:c r="U53" s="11" t="str"/>
      <x:c r="V53" s="12" t="str"/>
      <x:c r="W53" s="11" t="str"/>
      <x:c r="X53" s="11" t="str"/>
      <x:c r="Y53" s="3" t="str">
        <x:v>Nguồn: admin/src/components/cms/NewsManager.tsx; backend/src/modules/cms/cms.routes.ts. </x:v>
      </x:c>
    </x:row>
    <x:row r="54" ht="49" customHeight="1">
      <x:c r="A54" s="3" t="n">
        <x:v>53</x:v>
      </x:c>
      <x:c r="B54" s="3" t="str">
        <x:v>TC_NEWS_005</x:v>
      </x:c>
      <x:c r="C54" s="3" t="str">
        <x:v>NEWS</x:v>
      </x:c>
      <x:c r="D54" s="3" t="str">
        <x:v>Biên tập và công khai tin</x:v>
      </x:c>
      <x:c r="E54" s="3" t="str">
        <x:v>Biên tập và công khai tin</x:v>
      </x:c>
      <x:c r="F54" s="3" t="str">
        <x:v>Positive — Slug tự sinh từ tiêu đề</x:v>
      </x:c>
      <x:c r="G54" s="3" t="str">
        <x:v>Slug tự sinh từ tiêu đề</x:v>
      </x:c>
      <x:c r="H54" s="3" t="str">
        <x:v>NEWS-001</x:v>
      </x:c>
      <x:c r="I54" s="3" t="str">
        <x:v>QTV có quyền tương ứng</x:v>
      </x:c>
      <x:c r="J54" s="3" t="str">
        <x:v>Positive</x:v>
      </x:c>
      <x:c r="K54" s="3" t="str">
        <x:v>Medium</x:v>
      </x:c>
      <x:c r="L54" s="3" t="str">
        <x:v>Medium</x:v>
      </x:c>
      <x:c r="M54" s="3" t="str">
        <x:v>Môi trường QA cô lập, DB/MinIO sẵn sàng; dữ liệu fixture đã tạo. Đăng nhập tài khoản ACTIVE, mustChangePassword=false.</x:v>
      </x:c>
      <x:c r="N54" s="3" t="str">
        <x:v>NEWS fixture; VGG_DEMO_NEWS=false</x:v>
      </x:c>
      <x:c r="O54" s="3" t="str">
        <x:v>1. Mở tạo bài
2. Nhập tiêu đề tiếng Việt có dấu
3. Kiểm tra slug rồi lưu</x:v>
      </x:c>
      <x:c r="P54" s="3" t="str">
        <x:v>Slug lowercase, bỏ dấu, nối gạch ngang; lưu được và mở đúng URL.</x:v>
      </x:c>
      <x:c r="Q54" s="11" t="str"/>
      <x:c r="R54" s="8" t="str">
        <x:v>NOT RUN</x:v>
      </x:c>
      <x:c r="S54" s="11" t="str">
        <x:v>QA/UAT — cần điền URL/build</x:v>
      </x:c>
      <x:c r="T54" s="11" t="str">
        <x:v>Cần điền phiên bản thực</x:v>
      </x:c>
      <x:c r="U54" s="11" t="str"/>
      <x:c r="V54" s="12" t="str"/>
      <x:c r="W54" s="11" t="str"/>
      <x:c r="X54" s="11" t="str"/>
      <x:c r="Y54" s="3" t="str">
        <x:v>Nguồn: admin/src/components/cms/NewsManager.tsx; backend/src/modules/cms/cms.routes.ts. </x:v>
      </x:c>
    </x:row>
    <x:row r="55" ht="49" customHeight="1">
      <x:c r="A55" s="3" t="n">
        <x:v>54</x:v>
      </x:c>
      <x:c r="B55" s="3" t="str">
        <x:v>TC_NEWS_006</x:v>
      </x:c>
      <x:c r="C55" s="3" t="str">
        <x:v>NEWS</x:v>
      </x:c>
      <x:c r="D55" s="3" t="str">
        <x:v>Biên tập và công khai tin</x:v>
      </x:c>
      <x:c r="E55" s="3" t="str">
        <x:v>Biên tập và công khai tin</x:v>
      </x:c>
      <x:c r="F55" s="3" t="str">
        <x:v>Positive — Slug trùng được thêm hậu tố</x:v>
      </x:c>
      <x:c r="G55" s="3" t="str">
        <x:v>Slug trùng được thêm hậu tố</x:v>
      </x:c>
      <x:c r="H55" s="3" t="str">
        <x:v>NEWS-001</x:v>
      </x:c>
      <x:c r="I55" s="3" t="str">
        <x:v>QTV có quyền tương ứng</x:v>
      </x:c>
      <x:c r="J55" s="3" t="str">
        <x:v>Positive</x:v>
      </x:c>
      <x:c r="K55" s="3" t="str">
        <x:v>Medium</x:v>
      </x:c>
      <x:c r="L55" s="3" t="str">
        <x:v>Medium</x:v>
      </x:c>
      <x:c r="M55" s="3" t="str">
        <x:v>Môi trường QA cô lập, DB/MinIO sẵn sàng; dữ liệu fixture đã tạo. Đăng nhập tài khoản ACTIVE, mustChangePassword=false.</x:v>
      </x:c>
      <x:c r="N55" s="3" t="str">
        <x:v>NEWS fixture; VGG_DEMO_NEWS=false</x:v>
      </x:c>
      <x:c r="O55" s="3" t="str">
        <x:v>1. Tạo bài với slug qa-news đã tồn tại
2. Lưu</x:v>
      </x:c>
      <x:c r="P55" s="3" t="str">
        <x:v>Code trả 201 với slug qa-news-2 (hoặc hậu tố khả dụng kế tiếp); không ghi đè bài cũ.</x:v>
      </x:c>
      <x:c r="Q55" s="11" t="str"/>
      <x:c r="R55" s="8" t="str">
        <x:v>NOT RUN</x:v>
      </x:c>
      <x:c r="S55" s="11" t="str">
        <x:v>QA/UAT — cần điền URL/build</x:v>
      </x:c>
      <x:c r="T55" s="11" t="str">
        <x:v>Cần điền phiên bản thực</x:v>
      </x:c>
      <x:c r="U55" s="11" t="str"/>
      <x:c r="V55" s="12" t="str"/>
      <x:c r="W55" s="11" t="str"/>
      <x:c r="X55" s="11" t="str"/>
      <x:c r="Y55" s="3" t="str">
        <x:v>Nguồn: admin/src/components/cms/NewsManager.tsx; backend/src/modules/cms/cms.routes.ts. </x:v>
      </x:c>
    </x:row>
    <x:row r="56" ht="49" customHeight="1">
      <x:c r="A56" s="3" t="n">
        <x:v>55</x:v>
      </x:c>
      <x:c r="B56" s="3" t="str">
        <x:v>TC_NEWS_007</x:v>
      </x:c>
      <x:c r="C56" s="3" t="str">
        <x:v>NEWS</x:v>
      </x:c>
      <x:c r="D56" s="3" t="str">
        <x:v>Biên tập và công khai tin</x:v>
      </x:c>
      <x:c r="E56" s="3" t="str">
        <x:v>Biên tập và công khai tin</x:v>
      </x:c>
      <x:c r="F56" s="3" t="str">
        <x:v>Positive — Lưu lại slug của chính bài</x:v>
      </x:c>
      <x:c r="G56" s="3" t="str">
        <x:v>Lưu lại slug của chính bài</x:v>
      </x:c>
      <x:c r="H56" s="3" t="str">
        <x:v>NEWS-001</x:v>
      </x:c>
      <x:c r="I56" s="3" t="str">
        <x:v>QTV có quyền tương ứng</x:v>
      </x:c>
      <x:c r="J56" s="3" t="str">
        <x:v>Positive</x:v>
      </x:c>
      <x:c r="K56" s="3" t="str">
        <x:v>Medium</x:v>
      </x:c>
      <x:c r="L56" s="3" t="str">
        <x:v>Medium</x:v>
      </x:c>
      <x:c r="M56" s="3" t="str">
        <x:v>Môi trường QA cô lập, DB/MinIO sẵn sàng; dữ liệu fixture đã tạo. Đăng nhập tài khoản ACTIVE, mustChangePassword=false.</x:v>
      </x:c>
      <x:c r="N56" s="3" t="str">
        <x:v>NEWS fixture; VGG_DEMO_NEWS=false</x:v>
      </x:c>
      <x:c r="O56" s="3" t="str">
        <x:v>1. Sửa excerpt của NEWS_ID, giữ slug
2. Lưu</x:v>
      </x:c>
      <x:c r="P56" s="3" t="str">
        <x:v>Slug không tự thêm -2 vì excludeId loại chính bài.</x:v>
      </x:c>
      <x:c r="Q56" s="11" t="str"/>
      <x:c r="R56" s="8" t="str">
        <x:v>NOT RUN</x:v>
      </x:c>
      <x:c r="S56" s="11" t="str">
        <x:v>QA/UAT — cần điền URL/build</x:v>
      </x:c>
      <x:c r="T56" s="11" t="str">
        <x:v>Cần điền phiên bản thực</x:v>
      </x:c>
      <x:c r="U56" s="11" t="str"/>
      <x:c r="V56" s="12" t="str"/>
      <x:c r="W56" s="11" t="str"/>
      <x:c r="X56" s="11" t="str"/>
      <x:c r="Y56" s="3" t="str">
        <x:v>Nguồn: admin/src/components/cms/NewsManager.tsx; backend/src/modules/cms/cms.routes.ts. </x:v>
      </x:c>
    </x:row>
    <x:row r="57" ht="49" customHeight="1">
      <x:c r="A57" s="3" t="n">
        <x:v>56</x:v>
      </x:c>
      <x:c r="B57" s="3" t="str">
        <x:v>TC_NEWS_008</x:v>
      </x:c>
      <x:c r="C57" s="3" t="str">
        <x:v>NEWS</x:v>
      </x:c>
      <x:c r="D57" s="3" t="str">
        <x:v>Biên tập và công khai tin</x:v>
      </x:c>
      <x:c r="E57" s="3" t="str">
        <x:v>Biên tập và công khai tin</x:v>
      </x:c>
      <x:c r="F57" s="3" t="str">
        <x:v>Positive — Xuất bản từ nháp</x:v>
      </x:c>
      <x:c r="G57" s="3" t="str">
        <x:v>Xuất bản từ nháp</x:v>
      </x:c>
      <x:c r="H57" s="3" t="str">
        <x:v>NEWS-004</x:v>
      </x:c>
      <x:c r="I57" s="3" t="str">
        <x:v>QTV có quyền tương ứng</x:v>
      </x:c>
      <x:c r="J57" s="3" t="str">
        <x:v>Positive</x:v>
      </x:c>
      <x:c r="K57" s="3" t="str">
        <x:v>High</x:v>
      </x:c>
      <x:c r="L57" s="3" t="str">
        <x:v>High</x:v>
      </x:c>
      <x:c r="M57" s="3" t="str">
        <x:v>Môi trường QA cô lập, DB/MinIO sẵn sàng; dữ liệu fixture đã tạo. Đăng nhập tài khoản ACTIVE, mustChangePassword=false.</x:v>
      </x:c>
      <x:c r="N57" s="3" t="str">
        <x:v>NEWS fixture; VGG_DEMO_NEWS=false</x:v>
      </x:c>
      <x:c r="O57" s="3" t="str">
        <x:v>1. Mở bài DRAFT
2. Chọn PUBLISHED và lưu
3. Chờ cửa sổ cache 60 giây rồi mở public</x:v>
      </x:c>
      <x:c r="P57" s="3" t="str">
        <x:v>Bài được trả bởi public API và trang danh sách khi demo tắt; publishedAt được thiết lập.</x:v>
      </x:c>
      <x:c r="Q57" s="11" t="str"/>
      <x:c r="R57" s="8" t="str">
        <x:v>NOT RUN</x:v>
      </x:c>
      <x:c r="S57" s="11" t="str">
        <x:v>QA/UAT — cần điền URL/build</x:v>
      </x:c>
      <x:c r="T57" s="11" t="str">
        <x:v>Cần điền phiên bản thực</x:v>
      </x:c>
      <x:c r="U57" s="11" t="str"/>
      <x:c r="V57" s="12" t="str"/>
      <x:c r="W57" s="11" t="str"/>
      <x:c r="X57" s="11" t="str"/>
      <x:c r="Y57" s="3" t="str">
        <x:v>Nguồn: admin/src/components/cms/NewsManager.tsx; backend/src/modules/cms/cms.routes.ts. </x:v>
      </x:c>
    </x:row>
    <x:row r="58" ht="49" customHeight="1">
      <x:c r="A58" s="3" t="n">
        <x:v>57</x:v>
      </x:c>
      <x:c r="B58" s="3" t="str">
        <x:v>TC_NEWS_009</x:v>
      </x:c>
      <x:c r="C58" s="3" t="str">
        <x:v>NEWS</x:v>
      </x:c>
      <x:c r="D58" s="3" t="str">
        <x:v>Biên tập và công khai tin</x:v>
      </x:c>
      <x:c r="E58" s="3" t="str">
        <x:v>Biên tập và công khai tin</x:v>
      </x:c>
      <x:c r="F58" s="3" t="str">
        <x:v>Positive — Lưu trữ là xóa mềm</x:v>
      </x:c>
      <x:c r="G58" s="3" t="str">
        <x:v>Lưu trữ là xóa mềm</x:v>
      </x:c>
      <x:c r="H58" s="3" t="str">
        <x:v>NEWS-005</x:v>
      </x:c>
      <x:c r="I58" s="3" t="str">
        <x:v>QTV có quyền tương ứng</x:v>
      </x:c>
      <x:c r="J58" s="3" t="str">
        <x:v>Positive</x:v>
      </x:c>
      <x:c r="K58" s="3" t="str">
        <x:v>High</x:v>
      </x:c>
      <x:c r="L58" s="3" t="str">
        <x:v>High</x:v>
      </x:c>
      <x:c r="M58" s="3" t="str">
        <x:v>Môi trường QA cô lập, DB/MinIO sẵn sàng; dữ liệu fixture đã tạo. Đăng nhập tài khoản ACTIVE, mustChangePassword=false.</x:v>
      </x:c>
      <x:c r="N58" s="3" t="str">
        <x:v>NEWS fixture; VGG_DEMO_NEWS=false</x:v>
      </x:c>
      <x:c r="O58" s="3" t="str">
        <x:v>1. Mở bài PUBLISHED
2. Nhấn lưu trữ và xác nhận
3. Truy vấn DB và public detail</x:v>
      </x:c>
      <x:c r="P58" s="3" t="str">
        <x:v>DB vẫn còn bản ghi status=ARCHIVED; public detail trả 404; audit NEWS_DELETED.</x:v>
      </x:c>
      <x:c r="Q58" s="11" t="str"/>
      <x:c r="R58" s="8" t="str">
        <x:v>NOT RUN</x:v>
      </x:c>
      <x:c r="S58" s="11" t="str">
        <x:v>QA/UAT — cần điền URL/build</x:v>
      </x:c>
      <x:c r="T58" s="11" t="str">
        <x:v>Cần điền phiên bản thực</x:v>
      </x:c>
      <x:c r="U58" s="11" t="str"/>
      <x:c r="V58" s="12" t="str"/>
      <x:c r="W58" s="11" t="str"/>
      <x:c r="X58" s="11" t="str"/>
      <x:c r="Y58" s="3" t="str">
        <x:v>Nguồn: admin/src/components/cms/NewsManager.tsx; backend/src/modules/cms/cms.routes.ts. </x:v>
      </x:c>
    </x:row>
    <x:row r="59" ht="49" customHeight="1">
      <x:c r="A59" s="3" t="n">
        <x:v>58</x:v>
      </x:c>
      <x:c r="B59" s="3" t="str">
        <x:v>TC_NEWS_010</x:v>
      </x:c>
      <x:c r="C59" s="3" t="str">
        <x:v>NEWS</x:v>
      </x:c>
      <x:c r="D59" s="3" t="str">
        <x:v>Biên tập và công khai tin</x:v>
      </x:c>
      <x:c r="E59" s="3" t="str">
        <x:v>Biên tập và công khai tin</x:v>
      </x:c>
      <x:c r="F59" s="3" t="str">
        <x:v>Positive — Hủy lưu trữ</x:v>
      </x:c>
      <x:c r="G59" s="3" t="str">
        <x:v>Hủy lưu trữ</x:v>
      </x:c>
      <x:c r="H59" s="3" t="str">
        <x:v>NEWS-005</x:v>
      </x:c>
      <x:c r="I59" s="3" t="str">
        <x:v>QTV có quyền tương ứng</x:v>
      </x:c>
      <x:c r="J59" s="3" t="str">
        <x:v>Positive</x:v>
      </x:c>
      <x:c r="K59" s="3" t="str">
        <x:v>High</x:v>
      </x:c>
      <x:c r="L59" s="3" t="str">
        <x:v>High</x:v>
      </x:c>
      <x:c r="M59" s="3" t="str">
        <x:v>Môi trường QA cô lập, DB/MinIO sẵn sàng; dữ liệu fixture đã tạo. Đăng nhập tài khoản ACTIVE, mustChangePassword=false.</x:v>
      </x:c>
      <x:c r="N59" s="3" t="str">
        <x:v>NEWS fixture; VGG_DEMO_NEWS=false</x:v>
      </x:c>
      <x:c r="O59" s="3" t="str">
        <x:v>1. Nhấn lưu trữ
2. Chọn Cancel trong confirm</x:v>
      </x:c>
      <x:c r="P59" s="3" t="str">
        <x:v>Không gửi DELETE; bài và status giữ nguyên.</x:v>
      </x:c>
      <x:c r="Q59" s="11" t="str"/>
      <x:c r="R59" s="8" t="str">
        <x:v>NOT RUN</x:v>
      </x:c>
      <x:c r="S59" s="11" t="str">
        <x:v>QA/UAT — cần điền URL/build</x:v>
      </x:c>
      <x:c r="T59" s="11" t="str">
        <x:v>Cần điền phiên bản thực</x:v>
      </x:c>
      <x:c r="U59" s="11" t="str"/>
      <x:c r="V59" s="12" t="str"/>
      <x:c r="W59" s="11" t="str"/>
      <x:c r="X59" s="11" t="str"/>
      <x:c r="Y59" s="3" t="str">
        <x:v>Nguồn: admin/src/components/cms/NewsManager.tsx; backend/src/modules/cms/cms.routes.ts. </x:v>
      </x:c>
    </x:row>
    <x:row r="60" ht="49" customHeight="1">
      <x:c r="A60" s="3" t="n">
        <x:v>59</x:v>
      </x:c>
      <x:c r="B60" s="3" t="str">
        <x:v>TC_NEWS_011</x:v>
      </x:c>
      <x:c r="C60" s="3" t="str">
        <x:v>NEWS</x:v>
      </x:c>
      <x:c r="D60" s="3" t="str">
        <x:v>Biên tập và công khai tin</x:v>
      </x:c>
      <x:c r="E60" s="3" t="str">
        <x:v>Biên tập và công khai tin</x:v>
      </x:c>
      <x:c r="F60" s="3" t="str">
        <x:v>Positive — Khôi phục bài lưu trữ bằng sửa</x:v>
      </x:c>
      <x:c r="G60" s="3" t="str">
        <x:v>Khôi phục bài lưu trữ bằng sửa</x:v>
      </x:c>
      <x:c r="H60" s="3" t="str">
        <x:v>NEWS-005</x:v>
      </x:c>
      <x:c r="I60" s="3" t="str">
        <x:v>QTV có quyền tương ứng</x:v>
      </x:c>
      <x:c r="J60" s="3" t="str">
        <x:v>Positive</x:v>
      </x:c>
      <x:c r="K60" s="3" t="str">
        <x:v>High</x:v>
      </x:c>
      <x:c r="L60" s="3" t="str">
        <x:v>High</x:v>
      </x:c>
      <x:c r="M60" s="3" t="str">
        <x:v>Môi trường QA cô lập, DB/MinIO sẵn sàng; dữ liệu fixture đã tạo. Đăng nhập tài khoản ACTIVE, mustChangePassword=false.</x:v>
      </x:c>
      <x:c r="N60" s="3" t="str">
        <x:v>NEWS fixture; VGG_DEMO_NEWS=false</x:v>
      </x:c>
      <x:c r="O60" s="3" t="str">
        <x:v>1. Chọn sửa bài ARCHIVED
2. Kiểm tra DRAFT được chọn
3. Lưu</x:v>
      </x:c>
      <x:c r="P60" s="3" t="str">
        <x:v>PUT trả 200; status=DRAFT; bài vẫn không công khai.</x:v>
      </x:c>
      <x:c r="Q60" s="11" t="str"/>
      <x:c r="R60" s="8" t="str">
        <x:v>NOT RUN</x:v>
      </x:c>
      <x:c r="S60" s="11" t="str">
        <x:v>QA/UAT — cần điền URL/build</x:v>
      </x:c>
      <x:c r="T60" s="11" t="str">
        <x:v>Cần điền phiên bản thực</x:v>
      </x:c>
      <x:c r="U60" s="11" t="str"/>
      <x:c r="V60" s="12" t="str"/>
      <x:c r="W60" s="11" t="str"/>
      <x:c r="X60" s="11" t="str"/>
      <x:c r="Y60" s="3" t="str">
        <x:v>Nguồn: admin/src/components/cms/NewsManager.tsx; backend/src/modules/cms/cms.routes.ts. </x:v>
      </x:c>
    </x:row>
    <x:row r="61" ht="49" customHeight="1">
      <x:c r="A61" s="3" t="n">
        <x:v>60</x:v>
      </x:c>
      <x:c r="B61" s="3" t="str">
        <x:v>TC_NEWS_012</x:v>
      </x:c>
      <x:c r="C61" s="3" t="str">
        <x:v>NEWS</x:v>
      </x:c>
      <x:c r="D61" s="3" t="str">
        <x:v>Biên tập và công khai tin</x:v>
      </x:c>
      <x:c r="E61" s="3" t="str">
        <x:v>Biên tập và công khai tin</x:v>
      </x:c>
      <x:c r="F61" s="3" t="str">
        <x:v>Positive — Tìm tiêu đề không phân biệt hoa thường</x:v>
      </x:c>
      <x:c r="G61" s="3" t="str">
        <x:v>Tìm tiêu đề không phân biệt hoa thường</x:v>
      </x:c>
      <x:c r="H61" s="3" t="str">
        <x:v>NEWS-001</x:v>
      </x:c>
      <x:c r="I61" s="3" t="str">
        <x:v>QTV có quyền tương ứng</x:v>
      </x:c>
      <x:c r="J61" s="3" t="str">
        <x:v>Positive</x:v>
      </x:c>
      <x:c r="K61" s="3" t="str">
        <x:v>Medium</x:v>
      </x:c>
      <x:c r="L61" s="3" t="str">
        <x:v>Medium</x:v>
      </x:c>
      <x:c r="M61" s="3" t="str">
        <x:v>Môi trường QA cô lập, DB/MinIO sẵn sàng; dữ liệu fixture đã tạo. Đăng nhập tài khoản ACTIVE, mustChangePassword=false.</x:v>
      </x:c>
      <x:c r="N61" s="3" t="str">
        <x:v>NEWS fixture; VGG_DEMO_NEWS=false</x:v>
      </x:c>
      <x:c r="O61" s="3" t="str">
        <x:v>1. Nhập một phần title của fixture bằng chữ hoa
2. Quan sát danh sách</x:v>
      </x:c>
      <x:c r="P61" s="3" t="str">
        <x:v>Chỉ bài có title chứa chuỗi (case-insensitive) xuất hiện.</x:v>
      </x:c>
      <x:c r="Q61" s="11" t="str"/>
      <x:c r="R61" s="8" t="str">
        <x:v>NOT RUN</x:v>
      </x:c>
      <x:c r="S61" s="11" t="str">
        <x:v>QA/UAT — cần điền URL/build</x:v>
      </x:c>
      <x:c r="T61" s="11" t="str">
        <x:v>Cần điền phiên bản thực</x:v>
      </x:c>
      <x:c r="U61" s="11" t="str"/>
      <x:c r="V61" s="12" t="str"/>
      <x:c r="W61" s="11" t="str"/>
      <x:c r="X61" s="11" t="str"/>
      <x:c r="Y61" s="3" t="str">
        <x:v>Nguồn: admin/src/components/cms/NewsManager.tsx; backend/src/modules/cms/cms.routes.ts. </x:v>
      </x:c>
    </x:row>
    <x:row r="62" ht="49" customHeight="1">
      <x:c r="A62" s="3" t="n">
        <x:v>61</x:v>
      </x:c>
      <x:c r="B62" s="3" t="str">
        <x:v>TC_NEWS_013</x:v>
      </x:c>
      <x:c r="C62" s="3" t="str">
        <x:v>NEWS</x:v>
      </x:c>
      <x:c r="D62" s="3" t="str">
        <x:v>Biên tập và công khai tin</x:v>
      </x:c>
      <x:c r="E62" s="3" t="str">
        <x:v>Biên tập và công khai tin</x:v>
      </x:c>
      <x:c r="F62" s="3" t="str">
        <x:v>Positive — Lọc trạng thái</x:v>
      </x:c>
      <x:c r="G62" s="3" t="str">
        <x:v>Lọc trạng thái</x:v>
      </x:c>
      <x:c r="H62" s="3" t="str">
        <x:v>NEWS-001</x:v>
      </x:c>
      <x:c r="I62" s="3" t="str">
        <x:v>QTV có quyền tương ứng</x:v>
      </x:c>
      <x:c r="J62" s="3" t="str">
        <x:v>Positive</x:v>
      </x:c>
      <x:c r="K62" s="3" t="str">
        <x:v>Medium</x:v>
      </x:c>
      <x:c r="L62" s="3" t="str">
        <x:v>Medium</x:v>
      </x:c>
      <x:c r="M62" s="3" t="str">
        <x:v>Môi trường QA cô lập, DB/MinIO sẵn sàng; dữ liệu fixture đã tạo. Đăng nhập tài khoản ACTIVE, mustChangePassword=false.</x:v>
      </x:c>
      <x:c r="N62" s="3" t="str">
        <x:v>NEWS fixture; VGG_DEMO_NEWS=false</x:v>
      </x:c>
      <x:c r="O62" s="3" t="str">
        <x:v>1. Chọn DRAFT trong bộ lọc
2. Quan sát bảng</x:v>
      </x:c>
      <x:c r="P62" s="3" t="str">
        <x:v>Mọi dòng có status DRAFT; đếm khớp fixture.</x:v>
      </x:c>
      <x:c r="Q62" s="11" t="str"/>
      <x:c r="R62" s="8" t="str">
        <x:v>NOT RUN</x:v>
      </x:c>
      <x:c r="S62" s="11" t="str">
        <x:v>QA/UAT — cần điền URL/build</x:v>
      </x:c>
      <x:c r="T62" s="11" t="str">
        <x:v>Cần điền phiên bản thực</x:v>
      </x:c>
      <x:c r="U62" s="11" t="str"/>
      <x:c r="V62" s="12" t="str"/>
      <x:c r="W62" s="11" t="str"/>
      <x:c r="X62" s="11" t="str"/>
      <x:c r="Y62" s="3" t="str">
        <x:v>Nguồn: admin/src/components/cms/NewsManager.tsx; backend/src/modules/cms/cms.routes.ts. </x:v>
      </x:c>
    </x:row>
    <x:row r="63" ht="49" customHeight="1">
      <x:c r="A63" s="3" t="n">
        <x:v>62</x:v>
      </x:c>
      <x:c r="B63" s="3" t="str">
        <x:v>TC_NEWS_014</x:v>
      </x:c>
      <x:c r="C63" s="3" t="str">
        <x:v>NEWS</x:v>
      </x:c>
      <x:c r="D63" s="3" t="str">
        <x:v>Biên tập và công khai tin</x:v>
      </x:c>
      <x:c r="E63" s="3" t="str">
        <x:v>Biên tập và công khai tin</x:v>
      </x:c>
      <x:c r="F63" s="3" t="str">
        <x:v>Positive — Kết hợp tìm và lọc</x:v>
      </x:c>
      <x:c r="G63" s="3" t="str">
        <x:v>Kết hợp tìm và lọc</x:v>
      </x:c>
      <x:c r="H63" s="3" t="str">
        <x:v>NEWS-001</x:v>
      </x:c>
      <x:c r="I63" s="3" t="str">
        <x:v>QTV có quyền tương ứng</x:v>
      </x:c>
      <x:c r="J63" s="3" t="str">
        <x:v>Positive</x:v>
      </x:c>
      <x:c r="K63" s="3" t="str">
        <x:v>Medium</x:v>
      </x:c>
      <x:c r="L63" s="3" t="str">
        <x:v>Medium</x:v>
      </x:c>
      <x:c r="M63" s="3" t="str">
        <x:v>Môi trường QA cô lập, DB/MinIO sẵn sàng; dữ liệu fixture đã tạo. Đăng nhập tài khoản ACTIVE, mustChangePassword=false.</x:v>
      </x:c>
      <x:c r="N63" s="3" t="str">
        <x:v>NEWS fixture; VGG_DEMO_NEWS=false</x:v>
      </x:c>
      <x:c r="O63" s="3" t="str">
        <x:v>1. Nhập tiêu đề chỉ có ở PUBLISHED
2. Chọn DRAFT</x:v>
      </x:c>
      <x:c r="P63" s="3" t="str">
        <x:v>Danh sách rỗng; không có dòng ngoài điều kiện AND.</x:v>
      </x:c>
      <x:c r="Q63" s="11" t="str"/>
      <x:c r="R63" s="8" t="str">
        <x:v>NOT RUN</x:v>
      </x:c>
      <x:c r="S63" s="11" t="str">
        <x:v>QA/UAT — cần điền URL/build</x:v>
      </x:c>
      <x:c r="T63" s="11" t="str">
        <x:v>Cần điền phiên bản thực</x:v>
      </x:c>
      <x:c r="U63" s="11" t="str"/>
      <x:c r="V63" s="12" t="str"/>
      <x:c r="W63" s="11" t="str"/>
      <x:c r="X63" s="11" t="str"/>
      <x:c r="Y63" s="3" t="str">
        <x:v>Nguồn: admin/src/components/cms/NewsManager.tsx; backend/src/modules/cms/cms.routes.ts. </x:v>
      </x:c>
    </x:row>
    <x:row r="64" ht="49" customHeight="1">
      <x:c r="A64" s="3" t="n">
        <x:v>63</x:v>
      </x:c>
      <x:c r="B64" s="3" t="str">
        <x:v>TC_NEWS_015</x:v>
      </x:c>
      <x:c r="C64" s="3" t="str">
        <x:v>NEWS</x:v>
      </x:c>
      <x:c r="D64" s="3" t="str">
        <x:v>Biên tập và công khai tin</x:v>
      </x:c>
      <x:c r="E64" s="3" t="str">
        <x:v>Biên tập và công khai tin</x:v>
      </x:c>
      <x:c r="F64" s="3" t="str">
        <x:v>Positive — Rich text giữ bảng và danh sách</x:v>
      </x:c>
      <x:c r="G64" s="3" t="str">
        <x:v>Rich text giữ bảng và danh sách</x:v>
      </x:c>
      <x:c r="H64" s="3" t="str">
        <x:v>NEWS-002</x:v>
      </x:c>
      <x:c r="I64" s="3" t="str">
        <x:v>QTV có quyền tương ứng</x:v>
      </x:c>
      <x:c r="J64" s="3" t="str">
        <x:v>Positive</x:v>
      </x:c>
      <x:c r="K64" s="3" t="str">
        <x:v>Medium</x:v>
      </x:c>
      <x:c r="L64" s="3" t="str">
        <x:v>Medium</x:v>
      </x:c>
      <x:c r="M64" s="3" t="str">
        <x:v>Môi trường QA cô lập, DB/MinIO sẵn sàng; dữ liệu fixture đã tạo. Đăng nhập tài khoản ACTIVE, mustChangePassword=false.</x:v>
      </x:c>
      <x:c r="N64" s="3" t="str">
        <x:v>NEWS fixture; VGG_DEMO_NEWS=false</x:v>
      </x:c>
      <x:c r="O64" s="3" t="str">
        <x:v>1. Nhập đoạn có heading, bold, list, bảng 2x2
2. Lưu và mở public detail</x:v>
      </x:c>
      <x:c r="P64" s="3" t="str">
        <x:v>Các tag được phép giữ cấu trúc, ô bảng và thứ tự danh sách; không lộ HTML thô.</x:v>
      </x:c>
      <x:c r="Q64" s="11" t="str"/>
      <x:c r="R64" s="8" t="str">
        <x:v>NOT RUN</x:v>
      </x:c>
      <x:c r="S64" s="11" t="str">
        <x:v>QA/UAT — cần điền URL/build</x:v>
      </x:c>
      <x:c r="T64" s="11" t="str">
        <x:v>Cần điền phiên bản thực</x:v>
      </x:c>
      <x:c r="U64" s="11" t="str"/>
      <x:c r="V64" s="12" t="str"/>
      <x:c r="W64" s="11" t="str"/>
      <x:c r="X64" s="11" t="str"/>
      <x:c r="Y64" s="3" t="str">
        <x:v>Nguồn: admin/src/components/cms/NewsManager.tsx; backend/src/modules/cms/cms.routes.ts. </x:v>
      </x:c>
    </x:row>
    <x:row r="65" ht="49" customHeight="1">
      <x:c r="A65" s="3" t="n">
        <x:v>64</x:v>
      </x:c>
      <x:c r="B65" s="3" t="str">
        <x:v>TC_NEWS_016</x:v>
      </x:c>
      <x:c r="C65" s="3" t="str">
        <x:v>NEWS</x:v>
      </x:c>
      <x:c r="D65" s="3" t="str">
        <x:v>Biên tập và công khai tin</x:v>
      </x:c>
      <x:c r="E65" s="3" t="str">
        <x:v>Biên tập và công khai tin</x:v>
      </x:c>
      <x:c r="F65" s="3" t="str">
        <x:v>Positive — Undo redo trong editor</x:v>
      </x:c>
      <x:c r="G65" s="3" t="str">
        <x:v>Undo redo trong editor</x:v>
      </x:c>
      <x:c r="H65" s="3" t="str">
        <x:v>NEWS-002</x:v>
      </x:c>
      <x:c r="I65" s="3" t="str">
        <x:v>QTV có quyền tương ứng</x:v>
      </x:c>
      <x:c r="J65" s="3" t="str">
        <x:v>Positive</x:v>
      </x:c>
      <x:c r="K65" s="3" t="str">
        <x:v>Medium</x:v>
      </x:c>
      <x:c r="L65" s="3" t="str">
        <x:v>Medium</x:v>
      </x:c>
      <x:c r="M65" s="3" t="str">
        <x:v>Môi trường QA cô lập, DB/MinIO sẵn sàng; dữ liệu fixture đã tạo. Đăng nhập tài khoản ACTIVE, mustChangePassword=false.</x:v>
      </x:c>
      <x:c r="N65" s="3" t="str">
        <x:v>NEWS fixture; VGG_DEMO_NEWS=false</x:v>
      </x:c>
      <x:c r="O65" s="3" t="str">
        <x:v>1. Nhập hai đoạn
2. Undo rồi redo
3. Lưu</x:v>
      </x:c>
      <x:c r="P65" s="3" t="str">
        <x:v>Undo bỏ thao tác cuối; redo phục hồi; content lưu bằng nội dung cuối hiển thị.</x:v>
      </x:c>
      <x:c r="Q65" s="11" t="str"/>
      <x:c r="R65" s="8" t="str">
        <x:v>NOT RUN</x:v>
      </x:c>
      <x:c r="S65" s="11" t="str">
        <x:v>QA/UAT — cần điền URL/build</x:v>
      </x:c>
      <x:c r="T65" s="11" t="str">
        <x:v>Cần điền phiên bản thực</x:v>
      </x:c>
      <x:c r="U65" s="11" t="str"/>
      <x:c r="V65" s="12" t="str"/>
      <x:c r="W65" s="11" t="str"/>
      <x:c r="X65" s="11" t="str"/>
      <x:c r="Y65" s="3" t="str">
        <x:v>Nguồn: admin/src/components/cms/NewsManager.tsx; backend/src/modules/cms/cms.routes.ts. </x:v>
      </x:c>
    </x:row>
    <x:row r="66" ht="49" customHeight="1">
      <x:c r="A66" s="3" t="n">
        <x:v>65</x:v>
      </x:c>
      <x:c r="B66" s="3" t="str">
        <x:v>TC_NEWS_017</x:v>
      </x:c>
      <x:c r="C66" s="3" t="str">
        <x:v>NEWS</x:v>
      </x:c>
      <x:c r="D66" s="3" t="str">
        <x:v>Biên tập và công khai tin</x:v>
      </x:c>
      <x:c r="E66" s="3" t="str">
        <x:v>Biên tập và công khai tin</x:v>
      </x:c>
      <x:c r="F66" s="3" t="str">
        <x:v>Positive — Dán ảnh clipboard</x:v>
      </x:c>
      <x:c r="G66" s="3" t="str">
        <x:v>Dán ảnh clipboard</x:v>
      </x:c>
      <x:c r="H66" s="3" t="str">
        <x:v>NEWS-002</x:v>
      </x:c>
      <x:c r="I66" s="3" t="str">
        <x:v>QTV có quyền tương ứng</x:v>
      </x:c>
      <x:c r="J66" s="3" t="str">
        <x:v>Positive</x:v>
      </x:c>
      <x:c r="K66" s="3" t="str">
        <x:v>Medium</x:v>
      </x:c>
      <x:c r="L66" s="3" t="str">
        <x:v>Medium</x:v>
      </x:c>
      <x:c r="M66" s="3" t="str">
        <x:v>Môi trường QA cô lập, DB/MinIO sẵn sàng; dữ liệu fixture đã tạo. Đăng nhập tài khoản ACTIVE, mustChangePassword=false.</x:v>
      </x:c>
      <x:c r="N66" s="3" t="str">
        <x:v>NEWS fixture; VGG_DEMO_NEWS=false</x:v>
      </x:c>
      <x:c r="O66" s="3" t="str">
        <x:v>1. Copy ảnh PNG fixture
2. Đặt caret trong editor
3. Paste và lưu</x:v>
      </x:c>
      <x:c r="P66" s="3" t="str">
        <x:v>Upload ảnh được gọi; HTML chèn URL /api/media/ ở caret; sau reload ảnh tải được.</x:v>
      </x:c>
      <x:c r="Q66" s="11" t="str"/>
      <x:c r="R66" s="8" t="str">
        <x:v>NOT RUN</x:v>
      </x:c>
      <x:c r="S66" s="11" t="str">
        <x:v>QA/UAT — cần điền URL/build</x:v>
      </x:c>
      <x:c r="T66" s="11" t="str">
        <x:v>Cần điền phiên bản thực</x:v>
      </x:c>
      <x:c r="U66" s="11" t="str"/>
      <x:c r="V66" s="12" t="str"/>
      <x:c r="W66" s="11" t="str"/>
      <x:c r="X66" s="11" t="str"/>
      <x:c r="Y66" s="3" t="str">
        <x:v>Nguồn: admin/src/components/cms/NewsManager.tsx; backend/src/modules/cms/cms.routes.ts. </x:v>
      </x:c>
    </x:row>
    <x:row r="67" ht="49" customHeight="1">
      <x:c r="A67" s="3" t="n">
        <x:v>66</x:v>
      </x:c>
      <x:c r="B67" s="3" t="str">
        <x:v>TC_NEWS_018</x:v>
      </x:c>
      <x:c r="C67" s="3" t="str">
        <x:v>NEWS</x:v>
      </x:c>
      <x:c r="D67" s="3" t="str">
        <x:v>Biên tập và công khai tin</x:v>
      </x:c>
      <x:c r="E67" s="3" t="str">
        <x:v>Biên tập và công khai tin</x:v>
      </x:c>
      <x:c r="F67" s="3" t="str">
        <x:v>Positive — Dán ảnh khi storage lỗi</x:v>
      </x:c>
      <x:c r="G67" s="3" t="str">
        <x:v>Dán ảnh khi storage lỗi</x:v>
      </x:c>
      <x:c r="H67" s="3" t="str">
        <x:v>NEWS-002</x:v>
      </x:c>
      <x:c r="I67" s="3" t="str">
        <x:v>QTV có quyền tương ứng</x:v>
      </x:c>
      <x:c r="J67" s="3" t="str">
        <x:v>Positive</x:v>
      </x:c>
      <x:c r="K67" s="3" t="str">
        <x:v>Medium</x:v>
      </x:c>
      <x:c r="L67" s="3" t="str">
        <x:v>Medium</x:v>
      </x:c>
      <x:c r="M67" s="3" t="str">
        <x:v>Môi trường QA cô lập, DB/MinIO sẵn sàng; dữ liệu fixture đã tạo. Đăng nhập tài khoản ACTIVE, mustChangePassword=false.</x:v>
      </x:c>
      <x:c r="N67" s="3" t="str">
        <x:v>NEWS fixture; VGG_DEMO_NEWS=false</x:v>
      </x:c>
      <x:c r="O67" s="3" t="str">
        <x:v>1. Mock upload-image trả 502
2. Dán ảnh</x:v>
      </x:c>
      <x:c r="P67" s="3" t="str">
        <x:v>Thông báo lỗi; văn bản cũ còn; không chèn URL giả.</x:v>
      </x:c>
      <x:c r="Q67" s="11" t="str"/>
      <x:c r="R67" s="8" t="str">
        <x:v>NOT RUN</x:v>
      </x:c>
      <x:c r="S67" s="11" t="str">
        <x:v>QA/UAT — cần điền URL/build</x:v>
      </x:c>
      <x:c r="T67" s="11" t="str">
        <x:v>Cần điền phiên bản thực</x:v>
      </x:c>
      <x:c r="U67" s="11" t="str"/>
      <x:c r="V67" s="12" t="str"/>
      <x:c r="W67" s="11" t="str"/>
      <x:c r="X67" s="11" t="str"/>
      <x:c r="Y67" s="3" t="str">
        <x:v>Nguồn: admin/src/components/cms/NewsManager.tsx; backend/src/modules/cms/cms.routes.ts. </x:v>
      </x:c>
    </x:row>
    <x:row r="68" ht="49" customHeight="1">
      <x:c r="A68" s="3" t="n">
        <x:v>67</x:v>
      </x:c>
      <x:c r="B68" s="3" t="str">
        <x:v>TC_NEWS_019</x:v>
      </x:c>
      <x:c r="C68" s="3" t="str">
        <x:v>NEWS</x:v>
      </x:c>
      <x:c r="D68" s="3" t="str">
        <x:v>Biên tập và công khai tin</x:v>
      </x:c>
      <x:c r="E68" s="3" t="str">
        <x:v>Biên tập và công khai tin</x:v>
      </x:c>
      <x:c r="F68" s="3" t="str">
        <x:v>Positive — Thay ảnh bìa</x:v>
      </x:c>
      <x:c r="G68" s="3" t="str">
        <x:v>Thay ảnh bìa</x:v>
      </x:c>
      <x:c r="H68" s="3" t="str">
        <x:v>NEWS-003</x:v>
      </x:c>
      <x:c r="I68" s="3" t="str">
        <x:v>QTV có quyền tương ứng</x:v>
      </x:c>
      <x:c r="J68" s="3" t="str">
        <x:v>Positive</x:v>
      </x:c>
      <x:c r="K68" s="3" t="str">
        <x:v>Medium</x:v>
      </x:c>
      <x:c r="L68" s="3" t="str">
        <x:v>Medium</x:v>
      </x:c>
      <x:c r="M68" s="3" t="str">
        <x:v>Môi trường QA cô lập, DB/MinIO sẵn sàng; dữ liệu fixture đã tạo. Đăng nhập tài khoản ACTIVE, mustChangePassword=false.</x:v>
      </x:c>
      <x:c r="N68" s="3" t="str">
        <x:v>NEWS fixture; VGG_DEMO_NEWS=false</x:v>
      </x:c>
      <x:c r="O68" s="3" t="str">
        <x:v>1. Mở NEWS_ID có ảnh bìa
2. Upload PNG khác
3. Lưu</x:v>
      </x:c>
      <x:c r="P68" s="3" t="str">
        <x:v>coverImage là URL mới; preview và public detail dùng ảnh mới.</x:v>
      </x:c>
      <x:c r="Q68" s="11" t="str"/>
      <x:c r="R68" s="8" t="str">
        <x:v>NOT RUN</x:v>
      </x:c>
      <x:c r="S68" s="11" t="str">
        <x:v>QA/UAT — cần điền URL/build</x:v>
      </x:c>
      <x:c r="T68" s="11" t="str">
        <x:v>Cần điền phiên bản thực</x:v>
      </x:c>
      <x:c r="U68" s="11" t="str"/>
      <x:c r="V68" s="12" t="str"/>
      <x:c r="W68" s="11" t="str"/>
      <x:c r="X68" s="11" t="str"/>
      <x:c r="Y68" s="3" t="str">
        <x:v>Nguồn: admin/src/components/cms/NewsManager.tsx; backend/src/modules/cms/cms.routes.ts. </x:v>
      </x:c>
    </x:row>
    <x:row r="69" ht="49" customHeight="1">
      <x:c r="A69" s="3" t="n">
        <x:v>68</x:v>
      </x:c>
      <x:c r="B69" s="3" t="str">
        <x:v>TC_NEWS_020</x:v>
      </x:c>
      <x:c r="C69" s="3" t="str">
        <x:v>NEWS</x:v>
      </x:c>
      <x:c r="D69" s="3" t="str">
        <x:v>Biên tập và công khai tin</x:v>
      </x:c>
      <x:c r="E69" s="3" t="str">
        <x:v>Biên tập và công khai tin</x:v>
      </x:c>
      <x:c r="F69" s="3" t="str">
        <x:v>Positive — Import Word có hình và bảng</x:v>
      </x:c>
      <x:c r="G69" s="3" t="str">
        <x:v>Import Word có hình và bảng</x:v>
      </x:c>
      <x:c r="H69" s="3" t="str">
        <x:v>NEWS-002</x:v>
      </x:c>
      <x:c r="I69" s="3" t="str">
        <x:v>QTV có quyền tương ứng</x:v>
      </x:c>
      <x:c r="J69" s="3" t="str">
        <x:v>Positive</x:v>
      </x:c>
      <x:c r="K69" s="3" t="str">
        <x:v>Medium</x:v>
      </x:c>
      <x:c r="L69" s="3" t="str">
        <x:v>Medium</x:v>
      </x:c>
      <x:c r="M69" s="3" t="str">
        <x:v>Môi trường QA cô lập, DB/MinIO sẵn sàng; dữ liệu fixture đã tạo. Đăng nhập tài khoản ACTIVE, mustChangePassword=false.</x:v>
      </x:c>
      <x:c r="N69" s="3" t="str">
        <x:v>NEWS fixture; VGG_DEMO_NEWS=false</x:v>
      </x:c>
      <x:c r="O69" s="3" t="str">
        <x:v>1. Chọn .docx fixture với tiêu đề, bảng và ảnh
2. Import rồi lưu</x:v>
      </x:c>
      <x:c r="P69" s="3" t="str">
        <x:v>Title/Heading 1 chuyển h2; Heading 2 thành h3; ảnh dùng URL kho; excerpt tối đa 300 ký tự.</x:v>
      </x:c>
      <x:c r="Q69" s="11" t="str"/>
      <x:c r="R69" s="8" t="str">
        <x:v>NOT RUN</x:v>
      </x:c>
      <x:c r="S69" s="11" t="str">
        <x:v>QA/UAT — cần điền URL/build</x:v>
      </x:c>
      <x:c r="T69" s="11" t="str">
        <x:v>Cần điền phiên bản thực</x:v>
      </x:c>
      <x:c r="U69" s="11" t="str"/>
      <x:c r="V69" s="12" t="str"/>
      <x:c r="W69" s="11" t="str"/>
      <x:c r="X69" s="11" t="str"/>
      <x:c r="Y69" s="3" t="str">
        <x:v>Nguồn: admin/src/components/cms/NewsManager.tsx; backend/src/modules/cms/cms.routes.ts. </x:v>
      </x:c>
    </x:row>
    <x:row r="70" ht="49" customHeight="1">
      <x:c r="A70" s="3" t="n">
        <x:v>69</x:v>
      </x:c>
      <x:c r="B70" s="3" t="str">
        <x:v>TC_NEWS_021</x:v>
      </x:c>
      <x:c r="C70" s="3" t="str">
        <x:v>NEWS</x:v>
      </x:c>
      <x:c r="D70" s="3" t="str">
        <x:v>Biên tập và công khai tin</x:v>
      </x:c>
      <x:c r="E70" s="3" t="str">
        <x:v>Biên tập và công khai tin</x:v>
      </x:c>
      <x:c r="F70" s="3" t="str">
        <x:v>Positive — Word không có chữ</x:v>
      </x:c>
      <x:c r="G70" s="3" t="str">
        <x:v>Word không có chữ</x:v>
      </x:c>
      <x:c r="H70" s="3" t="str">
        <x:v>NEWS-002</x:v>
      </x:c>
      <x:c r="I70" s="3" t="str">
        <x:v>QTV có quyền tương ứng</x:v>
      </x:c>
      <x:c r="J70" s="3" t="str">
        <x:v>Positive</x:v>
      </x:c>
      <x:c r="K70" s="3" t="str">
        <x:v>Medium</x:v>
      </x:c>
      <x:c r="L70" s="3" t="str">
        <x:v>Medium</x:v>
      </x:c>
      <x:c r="M70" s="3" t="str">
        <x:v>Môi trường QA cô lập, DB/MinIO sẵn sàng; dữ liệu fixture đã tạo. Đăng nhập tài khoản ACTIVE, mustChangePassword=false.</x:v>
      </x:c>
      <x:c r="N70" s="3" t="str">
        <x:v>NEWS fixture; VGG_DEMO_NEWS=false</x:v>
      </x:c>
      <x:c r="O70" s="3" t="str">
        <x:v>1. Import .docx chỉ có hình hoặc tài liệu trống hợp lệ</x:v>
      </x:c>
      <x:c r="P70" s="3" t="str">
        <x:v>HTTP 422 với thông báo không tìm thấy nội dung chữ; bài chưa lưu không bị xóa.</x:v>
      </x:c>
      <x:c r="Q70" s="11" t="str"/>
      <x:c r="R70" s="8" t="str">
        <x:v>NOT RUN</x:v>
      </x:c>
      <x:c r="S70" s="11" t="str">
        <x:v>QA/UAT — cần điền URL/build</x:v>
      </x:c>
      <x:c r="T70" s="11" t="str">
        <x:v>Cần điền phiên bản thực</x:v>
      </x:c>
      <x:c r="U70" s="11" t="str"/>
      <x:c r="V70" s="12" t="str"/>
      <x:c r="W70" s="11" t="str"/>
      <x:c r="X70" s="11" t="str"/>
      <x:c r="Y70" s="3" t="str">
        <x:v>Nguồn: admin/src/components/cms/NewsManager.tsx; backend/src/modules/cms/cms.routes.ts. </x:v>
      </x:c>
    </x:row>
    <x:row r="71" ht="49" customHeight="1">
      <x:c r="A71" s="3" t="n">
        <x:v>70</x:v>
      </x:c>
      <x:c r="B71" s="3" t="str">
        <x:v>TC_NEWS_022</x:v>
      </x:c>
      <x:c r="C71" s="3" t="str">
        <x:v>NEWS</x:v>
      </x:c>
      <x:c r="D71" s="3" t="str">
        <x:v>Biên tập và công khai tin</x:v>
      </x:c>
      <x:c r="E71" s="3" t="str">
        <x:v>Biên tập và công khai tin</x:v>
      </x:c>
      <x:c r="F71" s="3" t="str">
        <x:v>Positive — Lỗi lưu giữ nội dung nhập</x:v>
      </x:c>
      <x:c r="G71" s="3" t="str">
        <x:v>Lỗi lưu giữ nội dung nhập</x:v>
      </x:c>
      <x:c r="H71" s="3" t="str">
        <x:v>NEWS-001</x:v>
      </x:c>
      <x:c r="I71" s="3" t="str">
        <x:v>QTV có quyền tương ứng</x:v>
      </x:c>
      <x:c r="J71" s="3" t="str">
        <x:v>Positive</x:v>
      </x:c>
      <x:c r="K71" s="3" t="str">
        <x:v>Medium</x:v>
      </x:c>
      <x:c r="L71" s="3" t="str">
        <x:v>Medium</x:v>
      </x:c>
      <x:c r="M71" s="3" t="str">
        <x:v>Môi trường QA cô lập, DB/MinIO sẵn sàng; dữ liệu fixture đã tạo. Đăng nhập tài khoản ACTIVE, mustChangePassword=false.</x:v>
      </x:c>
      <x:c r="N71" s="3" t="str">
        <x:v>NEWS fixture; VGG_DEMO_NEWS=false</x:v>
      </x:c>
      <x:c r="O71" s="3" t="str">
        <x:v>1. Mock POST/PUT news trả 500
2. Điền bài và lưu
3. Khôi phục mạng rồi gửi lại</x:v>
      </x:c>
      <x:c r="P71" s="3" t="str">
        <x:v>Thông báo lỗi; dữ liệu đang nhập được giữ; lần gửi lại lưu được một bài.</x:v>
      </x:c>
      <x:c r="Q71" s="11" t="str"/>
      <x:c r="R71" s="8" t="str">
        <x:v>NOT RUN</x:v>
      </x:c>
      <x:c r="S71" s="11" t="str">
        <x:v>QA/UAT — cần điền URL/build</x:v>
      </x:c>
      <x:c r="T71" s="11" t="str">
        <x:v>Cần điền phiên bản thực</x:v>
      </x:c>
      <x:c r="U71" s="11" t="str"/>
      <x:c r="V71" s="12" t="str"/>
      <x:c r="W71" s="11" t="str"/>
      <x:c r="X71" s="11" t="str"/>
      <x:c r="Y71" s="3" t="str">
        <x:v>Nguồn: admin/src/components/cms/NewsManager.tsx; backend/src/modules/cms/cms.routes.ts. </x:v>
      </x:c>
    </x:row>
    <x:row r="72" ht="49" customHeight="1">
      <x:c r="A72" s="3" t="n">
        <x:v>71</x:v>
      </x:c>
      <x:c r="B72" s="3" t="str">
        <x:v>TC_NEWS_023</x:v>
      </x:c>
      <x:c r="C72" s="3" t="str">
        <x:v>NEWS</x:v>
      </x:c>
      <x:c r="D72" s="3" t="str">
        <x:v>Biên tập và công khai tin</x:v>
      </x:c>
      <x:c r="E72" s="3" t="str">
        <x:v>Biên tập và công khai tin</x:v>
      </x:c>
      <x:c r="F72" s="3" t="str">
        <x:v>Positive — Chia sẻ bài</x:v>
      </x:c>
      <x:c r="G72" s="3" t="str">
        <x:v>Chia sẻ bài</x:v>
      </x:c>
      <x:c r="H72" s="3" t="str">
        <x:v>PUB-003</x:v>
      </x:c>
      <x:c r="I72" s="3" t="str">
        <x:v>QTV có quyền tương ứng</x:v>
      </x:c>
      <x:c r="J72" s="3" t="str">
        <x:v>Positive</x:v>
      </x:c>
      <x:c r="K72" s="3" t="str">
        <x:v>Medium</x:v>
      </x:c>
      <x:c r="L72" s="3" t="str">
        <x:v>Medium</x:v>
      </x:c>
      <x:c r="M72" s="3" t="str">
        <x:v>Môi trường QA cô lập, DB/MinIO sẵn sàng; dữ liệu fixture đã tạo. Đăng nhập tài khoản ACTIVE, mustChangePassword=false.</x:v>
      </x:c>
      <x:c r="N72" s="3" t="str">
        <x:v>NEWS fixture; VGG_DEMO_NEWS=false</x:v>
      </x:c>
      <x:c r="O72" s="3" t="str">
        <x:v>1. Mở bài public
2. Chọn sao chép liên kết/chia sẻ có trong NewsShare</x:v>
      </x:c>
      <x:c r="P72" s="3" t="str">
        <x:v>Liên kết chứa slug bài đang đọc; thông báo sao chép đúng; không chuyển sang bài khác.</x:v>
      </x:c>
      <x:c r="Q72" s="11" t="str"/>
      <x:c r="R72" s="8" t="str">
        <x:v>NOT RUN</x:v>
      </x:c>
      <x:c r="S72" s="11" t="str">
        <x:v>QA/UAT — cần điền URL/build</x:v>
      </x:c>
      <x:c r="T72" s="11" t="str">
        <x:v>Cần điền phiên bản thực</x:v>
      </x:c>
      <x:c r="U72" s="11" t="str"/>
      <x:c r="V72" s="12" t="str"/>
      <x:c r="W72" s="11" t="str"/>
      <x:c r="X72" s="11" t="str"/>
      <x:c r="Y72" s="3" t="str">
        <x:v>Nguồn: admin/src/components/cms/NewsManager.tsx; backend/src/modules/cms/cms.routes.ts. </x:v>
      </x:c>
    </x:row>
    <x:row r="73" ht="49" customHeight="1">
      <x:c r="A73" s="3" t="n">
        <x:v>72</x:v>
      </x:c>
      <x:c r="B73" s="3" t="str">
        <x:v>TC_NEWS_024</x:v>
      </x:c>
      <x:c r="C73" s="3" t="str">
        <x:v>NEWS</x:v>
      </x:c>
      <x:c r="D73" s="3" t="str">
        <x:v>Danh mục tin</x:v>
      </x:c>
      <x:c r="E73" s="3" t="str">
        <x:v>Danh mục tin</x:v>
      </x:c>
      <x:c r="F73" s="3" t="str">
        <x:v>Positive — Xuất bản danh mục ADMISSIONS</x:v>
      </x:c>
      <x:c r="G73" s="3" t="str">
        <x:v>Xuất bản danh mục ADMISSIONS</x:v>
      </x:c>
      <x:c r="H73" s="3" t="str">
        <x:v>NEWS-004</x:v>
      </x:c>
      <x:c r="I73" s="3" t="str">
        <x:v>QTV có quyền tương ứng</x:v>
      </x:c>
      <x:c r="J73" s="3" t="str">
        <x:v>Positive</x:v>
      </x:c>
      <x:c r="K73" s="3" t="str">
        <x:v>Medium</x:v>
      </x:c>
      <x:c r="L73" s="3" t="str">
        <x:v>Medium</x:v>
      </x:c>
      <x:c r="M73" s="3" t="str">
        <x:v>Môi trường QA cô lập, DB/MinIO sẵn sàng; dữ liệu fixture đã tạo. Đăng nhập tài khoản ACTIVE, mustChangePassword=false.</x:v>
      </x:c>
      <x:c r="N73" s="3" t="str">
        <x:v>NEWS có slug riêng cho mỗi category</x:v>
      </x:c>
      <x:c r="O73" s="3" t="str">
        <x:v>1. Tạo NEWS với category=ADMISSIONS
2. Lưu PUBLISHED
3. GET /api/public/news?category=ADMISSIONS&amp;locale=vi</x:v>
      </x:c>
      <x:c r="P73" s="3" t="str">
        <x:v>Bài có category đã chọn; API filter trả bài fixture, không trả category khác.</x:v>
      </x:c>
      <x:c r="Q73" s="11" t="str"/>
      <x:c r="R73" s="8" t="str">
        <x:v>NOT RUN</x:v>
      </x:c>
      <x:c r="S73" s="11" t="str">
        <x:v>QA/UAT — cần điền URL/build</x:v>
      </x:c>
      <x:c r="T73" s="11" t="str">
        <x:v>Cần điền phiên bản thực</x:v>
      </x:c>
      <x:c r="U73" s="11" t="str"/>
      <x:c r="V73" s="12" t="str"/>
      <x:c r="W73" s="11" t="str"/>
      <x:c r="X73" s="11" t="str"/>
      <x:c r="Y73" s="3" t="str">
        <x:v>Nguồn: backend/src/modules/cms/cms.routes.ts. </x:v>
      </x:c>
    </x:row>
    <x:row r="74" ht="49" customHeight="1">
      <x:c r="A74" s="3" t="n">
        <x:v>73</x:v>
      </x:c>
      <x:c r="B74" s="3" t="str">
        <x:v>TC_NEWS_025</x:v>
      </x:c>
      <x:c r="C74" s="3" t="str">
        <x:v>NEWS</x:v>
      </x:c>
      <x:c r="D74" s="3" t="str">
        <x:v>Danh mục tin</x:v>
      </x:c>
      <x:c r="E74" s="3" t="str">
        <x:v>Danh mục tin</x:v>
      </x:c>
      <x:c r="F74" s="3" t="str">
        <x:v>Positive — Xuất bản danh mục VAN_LANG_UNIVERSITY</x:v>
      </x:c>
      <x:c r="G74" s="3" t="str">
        <x:v>Xuất bản danh mục VAN_LANG_UNIVERSITY</x:v>
      </x:c>
      <x:c r="H74" s="3" t="str">
        <x:v>NEWS-004</x:v>
      </x:c>
      <x:c r="I74" s="3" t="str">
        <x:v>QTV có quyền tương ứng</x:v>
      </x:c>
      <x:c r="J74" s="3" t="str">
        <x:v>Positive</x:v>
      </x:c>
      <x:c r="K74" s="3" t="str">
        <x:v>Medium</x:v>
      </x:c>
      <x:c r="L74" s="3" t="str">
        <x:v>Medium</x:v>
      </x:c>
      <x:c r="M74" s="3" t="str">
        <x:v>Môi trường QA cô lập, DB/MinIO sẵn sàng; dữ liệu fixture đã tạo. Đăng nhập tài khoản ACTIVE, mustChangePassword=false.</x:v>
      </x:c>
      <x:c r="N74" s="3" t="str">
        <x:v>NEWS có slug riêng cho mỗi category</x:v>
      </x:c>
      <x:c r="O74" s="3" t="str">
        <x:v>1. Tạo NEWS với category=VAN_LANG_UNIVERSITY
2. Lưu PUBLISHED
3. GET /api/public/news?category=VAN_LANG_UNIVERSITY&amp;locale=vi</x:v>
      </x:c>
      <x:c r="P74" s="3" t="str">
        <x:v>Bài có category đã chọn; API filter trả bài fixture, không trả category khác.</x:v>
      </x:c>
      <x:c r="Q74" s="11" t="str"/>
      <x:c r="R74" s="8" t="str">
        <x:v>NOT RUN</x:v>
      </x:c>
      <x:c r="S74" s="11" t="str">
        <x:v>QA/UAT — cần điền URL/build</x:v>
      </x:c>
      <x:c r="T74" s="11" t="str">
        <x:v>Cần điền phiên bản thực</x:v>
      </x:c>
      <x:c r="U74" s="11" t="str"/>
      <x:c r="V74" s="12" t="str"/>
      <x:c r="W74" s="11" t="str"/>
      <x:c r="X74" s="11" t="str"/>
      <x:c r="Y74" s="3" t="str">
        <x:v>Nguồn: backend/src/modules/cms/cms.routes.ts. </x:v>
      </x:c>
    </x:row>
    <x:row r="75" ht="49" customHeight="1">
      <x:c r="A75" s="3" t="n">
        <x:v>74</x:v>
      </x:c>
      <x:c r="B75" s="3" t="str">
        <x:v>TC_NEWS_026</x:v>
      </x:c>
      <x:c r="C75" s="3" t="str">
        <x:v>NEWS</x:v>
      </x:c>
      <x:c r="D75" s="3" t="str">
        <x:v>Danh mục tin</x:v>
      </x:c>
      <x:c r="E75" s="3" t="str">
        <x:v>Danh mục tin</x:v>
      </x:c>
      <x:c r="F75" s="3" t="str">
        <x:v>Positive — Xuất bản danh mục UNIVERSITY_EVENT</x:v>
      </x:c>
      <x:c r="G75" s="3" t="str">
        <x:v>Xuất bản danh mục UNIVERSITY_EVENT</x:v>
      </x:c>
      <x:c r="H75" s="3" t="str">
        <x:v>NEWS-004</x:v>
      </x:c>
      <x:c r="I75" s="3" t="str">
        <x:v>QTV có quyền tương ứng</x:v>
      </x:c>
      <x:c r="J75" s="3" t="str">
        <x:v>Positive</x:v>
      </x:c>
      <x:c r="K75" s="3" t="str">
        <x:v>Medium</x:v>
      </x:c>
      <x:c r="L75" s="3" t="str">
        <x:v>Medium</x:v>
      </x:c>
      <x:c r="M75" s="3" t="str">
        <x:v>Môi trường QA cô lập, DB/MinIO sẵn sàng; dữ liệu fixture đã tạo. Đăng nhập tài khoản ACTIVE, mustChangePassword=false.</x:v>
      </x:c>
      <x:c r="N75" s="3" t="str">
        <x:v>NEWS có slug riêng cho mỗi category</x:v>
      </x:c>
      <x:c r="O75" s="3" t="str">
        <x:v>1. Tạo NEWS với category=UNIVERSITY_EVENT
2. Lưu PUBLISHED
3. GET /api/public/news?category=UNIVERSITY_EVENT&amp;locale=vi</x:v>
      </x:c>
      <x:c r="P75" s="3" t="str">
        <x:v>Bài có category đã chọn; API filter trả bài fixture, không trả category khác.</x:v>
      </x:c>
      <x:c r="Q75" s="11" t="str"/>
      <x:c r="R75" s="8" t="str">
        <x:v>NOT RUN</x:v>
      </x:c>
      <x:c r="S75" s="11" t="str">
        <x:v>QA/UAT — cần điền URL/build</x:v>
      </x:c>
      <x:c r="T75" s="11" t="str">
        <x:v>Cần điền phiên bản thực</x:v>
      </x:c>
      <x:c r="U75" s="11" t="str"/>
      <x:c r="V75" s="12" t="str"/>
      <x:c r="W75" s="11" t="str"/>
      <x:c r="X75" s="11" t="str"/>
      <x:c r="Y75" s="3" t="str">
        <x:v>Nguồn: backend/src/modules/cms/cms.routes.ts. </x:v>
      </x:c>
    </x:row>
    <x:row r="76" ht="49" customHeight="1">
      <x:c r="A76" s="3" t="n">
        <x:v>75</x:v>
      </x:c>
      <x:c r="B76" s="3" t="str">
        <x:v>TC_NEWS_027</x:v>
      </x:c>
      <x:c r="C76" s="3" t="str">
        <x:v>NEWS</x:v>
      </x:c>
      <x:c r="D76" s="3" t="str">
        <x:v>Danh mục tin</x:v>
      </x:c>
      <x:c r="E76" s="3" t="str">
        <x:v>Danh mục tin</x:v>
      </x:c>
      <x:c r="F76" s="3" t="str">
        <x:v>Positive — Xuất bản danh mục VAN_LANG_LIFE</x:v>
      </x:c>
      <x:c r="G76" s="3" t="str">
        <x:v>Xuất bản danh mục VAN_LANG_LIFE</x:v>
      </x:c>
      <x:c r="H76" s="3" t="str">
        <x:v>NEWS-004</x:v>
      </x:c>
      <x:c r="I76" s="3" t="str">
        <x:v>QTV có quyền tương ứng</x:v>
      </x:c>
      <x:c r="J76" s="3" t="str">
        <x:v>Positive</x:v>
      </x:c>
      <x:c r="K76" s="3" t="str">
        <x:v>Medium</x:v>
      </x:c>
      <x:c r="L76" s="3" t="str">
        <x:v>Medium</x:v>
      </x:c>
      <x:c r="M76" s="3" t="str">
        <x:v>Môi trường QA cô lập, DB/MinIO sẵn sàng; dữ liệu fixture đã tạo. Đăng nhập tài khoản ACTIVE, mustChangePassword=false.</x:v>
      </x:c>
      <x:c r="N76" s="3" t="str">
        <x:v>NEWS có slug riêng cho mỗi category</x:v>
      </x:c>
      <x:c r="O76" s="3" t="str">
        <x:v>1. Tạo NEWS với category=VAN_LANG_LIFE
2. Lưu PUBLISHED
3. GET /api/public/news?category=VAN_LANG_LIFE&amp;locale=vi</x:v>
      </x:c>
      <x:c r="P76" s="3" t="str">
        <x:v>Bài có category đã chọn; API filter trả bài fixture, không trả category khác.</x:v>
      </x:c>
      <x:c r="Q76" s="11" t="str"/>
      <x:c r="R76" s="8" t="str">
        <x:v>NOT RUN</x:v>
      </x:c>
      <x:c r="S76" s="11" t="str">
        <x:v>QA/UAT — cần điền URL/build</x:v>
      </x:c>
      <x:c r="T76" s="11" t="str">
        <x:v>Cần điền phiên bản thực</x:v>
      </x:c>
      <x:c r="U76" s="11" t="str"/>
      <x:c r="V76" s="12" t="str"/>
      <x:c r="W76" s="11" t="str"/>
      <x:c r="X76" s="11" t="str"/>
      <x:c r="Y76" s="3" t="str">
        <x:v>Nguồn: backend/src/modules/cms/cms.routes.ts. </x:v>
      </x:c>
    </x:row>
    <x:row r="77" ht="49" customHeight="1">
      <x:c r="A77" s="3" t="n">
        <x:v>76</x:v>
      </x:c>
      <x:c r="B77" s="3" t="str">
        <x:v>TC_NEWS_028</x:v>
      </x:c>
      <x:c r="C77" s="3" t="str">
        <x:v>NEWS</x:v>
      </x:c>
      <x:c r="D77" s="3" t="str">
        <x:v>Danh mục tin</x:v>
      </x:c>
      <x:c r="E77" s="3" t="str">
        <x:v>Danh mục tin</x:v>
      </x:c>
      <x:c r="F77" s="3" t="str">
        <x:v>Positive — Xuất bản danh mục INTERNATIONAL_COOPERATION</x:v>
      </x:c>
      <x:c r="G77" s="3" t="str">
        <x:v>Xuất bản danh mục INTERNATIONAL_COOPERATION</x:v>
      </x:c>
      <x:c r="H77" s="3" t="str">
        <x:v>NEWS-004</x:v>
      </x:c>
      <x:c r="I77" s="3" t="str">
        <x:v>QTV có quyền tương ứng</x:v>
      </x:c>
      <x:c r="J77" s="3" t="str">
        <x:v>Positive</x:v>
      </x:c>
      <x:c r="K77" s="3" t="str">
        <x:v>Medium</x:v>
      </x:c>
      <x:c r="L77" s="3" t="str">
        <x:v>Medium</x:v>
      </x:c>
      <x:c r="M77" s="3" t="str">
        <x:v>Môi trường QA cô lập, DB/MinIO sẵn sàng; dữ liệu fixture đã tạo. Đăng nhập tài khoản ACTIVE, mustChangePassword=false.</x:v>
      </x:c>
      <x:c r="N77" s="3" t="str">
        <x:v>NEWS có slug riêng cho mỗi category</x:v>
      </x:c>
      <x:c r="O77" s="3" t="str">
        <x:v>1. Tạo NEWS với category=INTERNATIONAL_COOPERATION
2. Lưu PUBLISHED
3. GET /api/public/news?category=INTERNATIONAL_COOPERATION&amp;locale=vi</x:v>
      </x:c>
      <x:c r="P77" s="3" t="str">
        <x:v>Bài có category đã chọn; API filter trả bài fixture, không trả category khác.</x:v>
      </x:c>
      <x:c r="Q77" s="11" t="str"/>
      <x:c r="R77" s="8" t="str">
        <x:v>NOT RUN</x:v>
      </x:c>
      <x:c r="S77" s="11" t="str">
        <x:v>QA/UAT — cần điền URL/build</x:v>
      </x:c>
      <x:c r="T77" s="11" t="str">
        <x:v>Cần điền phiên bản thực</x:v>
      </x:c>
      <x:c r="U77" s="11" t="str"/>
      <x:c r="V77" s="12" t="str"/>
      <x:c r="W77" s="11" t="str"/>
      <x:c r="X77" s="11" t="str"/>
      <x:c r="Y77" s="3" t="str">
        <x:v>Nguồn: backend/src/modules/cms/cms.routes.ts. </x:v>
      </x:c>
    </x:row>
    <x:row r="78" ht="49" customHeight="1">
      <x:c r="A78" s="3" t="n">
        <x:v>77</x:v>
      </x:c>
      <x:c r="B78" s="3" t="str">
        <x:v>TC_NEWS_029</x:v>
      </x:c>
      <x:c r="C78" s="3" t="str">
        <x:v>NEWS</x:v>
      </x:c>
      <x:c r="D78" s="3" t="str">
        <x:v>Danh mục tin</x:v>
      </x:c>
      <x:c r="E78" s="3" t="str">
        <x:v>Danh mục tin</x:v>
      </x:c>
      <x:c r="F78" s="3" t="str">
        <x:v>Positive — Xuất bản danh mục RESEARCH_PROJECT</x:v>
      </x:c>
      <x:c r="G78" s="3" t="str">
        <x:v>Xuất bản danh mục RESEARCH_PROJECT</x:v>
      </x:c>
      <x:c r="H78" s="3" t="str">
        <x:v>NEWS-004</x:v>
      </x:c>
      <x:c r="I78" s="3" t="str">
        <x:v>QTV có quyền tương ứng</x:v>
      </x:c>
      <x:c r="J78" s="3" t="str">
        <x:v>Positive</x:v>
      </x:c>
      <x:c r="K78" s="3" t="str">
        <x:v>Medium</x:v>
      </x:c>
      <x:c r="L78" s="3" t="str">
        <x:v>Medium</x:v>
      </x:c>
      <x:c r="M78" s="3" t="str">
        <x:v>Môi trường QA cô lập, DB/MinIO sẵn sàng; dữ liệu fixture đã tạo. Đăng nhập tài khoản ACTIVE, mustChangePassword=false.</x:v>
      </x:c>
      <x:c r="N78" s="3" t="str">
        <x:v>NEWS có slug riêng cho mỗi category</x:v>
      </x:c>
      <x:c r="O78" s="3" t="str">
        <x:v>1. Tạo NEWS với category=RESEARCH_PROJECT
2. Lưu PUBLISHED
3. GET /api/public/news?category=RESEARCH_PROJECT&amp;locale=vi</x:v>
      </x:c>
      <x:c r="P78" s="3" t="str">
        <x:v>Bài có category đã chọn; API filter trả bài fixture, không trả category khác.</x:v>
      </x:c>
      <x:c r="Q78" s="11" t="str"/>
      <x:c r="R78" s="8" t="str">
        <x:v>NOT RUN</x:v>
      </x:c>
      <x:c r="S78" s="11" t="str">
        <x:v>QA/UAT — cần điền URL/build</x:v>
      </x:c>
      <x:c r="T78" s="11" t="str">
        <x:v>Cần điền phiên bản thực</x:v>
      </x:c>
      <x:c r="U78" s="11" t="str"/>
      <x:c r="V78" s="12" t="str"/>
      <x:c r="W78" s="11" t="str"/>
      <x:c r="X78" s="11" t="str"/>
      <x:c r="Y78" s="3" t="str">
        <x:v>Nguồn: backend/src/modules/cms/cms.routes.ts. </x:v>
      </x:c>
    </x:row>
    <x:row r="79" ht="49" customHeight="1">
      <x:c r="A79" s="3" t="n">
        <x:v>78</x:v>
      </x:c>
      <x:c r="B79" s="3" t="str">
        <x:v>TC_NEWS_030</x:v>
      </x:c>
      <x:c r="C79" s="3" t="str">
        <x:v>NEWS</x:v>
      </x:c>
      <x:c r="D79" s="3" t="str">
        <x:v>Danh mục tin</x:v>
      </x:c>
      <x:c r="E79" s="3" t="str">
        <x:v>Danh mục tin</x:v>
      </x:c>
      <x:c r="F79" s="3" t="str">
        <x:v>Positive — Xuất bản danh mục RESEARCH_PUBLICATION</x:v>
      </x:c>
      <x:c r="G79" s="3" t="str">
        <x:v>Xuất bản danh mục RESEARCH_PUBLICATION</x:v>
      </x:c>
      <x:c r="H79" s="3" t="str">
        <x:v>NEWS-004</x:v>
      </x:c>
      <x:c r="I79" s="3" t="str">
        <x:v>QTV có quyền tương ứng</x:v>
      </x:c>
      <x:c r="J79" s="3" t="str">
        <x:v>Positive</x:v>
      </x:c>
      <x:c r="K79" s="3" t="str">
        <x:v>Medium</x:v>
      </x:c>
      <x:c r="L79" s="3" t="str">
        <x:v>Medium</x:v>
      </x:c>
      <x:c r="M79" s="3" t="str">
        <x:v>Môi trường QA cô lập, DB/MinIO sẵn sàng; dữ liệu fixture đã tạo. Đăng nhập tài khoản ACTIVE, mustChangePassword=false.</x:v>
      </x:c>
      <x:c r="N79" s="3" t="str">
        <x:v>NEWS có slug riêng cho mỗi category</x:v>
      </x:c>
      <x:c r="O79" s="3" t="str">
        <x:v>1. Tạo NEWS với category=RESEARCH_PUBLICATION
2. Lưu PUBLISHED
3. GET /api/public/news?category=RESEARCH_PUBLICATION&amp;locale=vi</x:v>
      </x:c>
      <x:c r="P79" s="3" t="str">
        <x:v>Bài có category đã chọn; API filter trả bài fixture, không trả category khác.</x:v>
      </x:c>
      <x:c r="Q79" s="11" t="str"/>
      <x:c r="R79" s="8" t="str">
        <x:v>NOT RUN</x:v>
      </x:c>
      <x:c r="S79" s="11" t="str">
        <x:v>QA/UAT — cần điền URL/build</x:v>
      </x:c>
      <x:c r="T79" s="11" t="str">
        <x:v>Cần điền phiên bản thực</x:v>
      </x:c>
      <x:c r="U79" s="11" t="str"/>
      <x:c r="V79" s="12" t="str"/>
      <x:c r="W79" s="11" t="str"/>
      <x:c r="X79" s="11" t="str"/>
      <x:c r="Y79" s="3" t="str">
        <x:v>Nguồn: backend/src/modules/cms/cms.routes.ts. </x:v>
      </x:c>
    </x:row>
    <x:row r="80" ht="62" customHeight="1">
      <x:c r="A80" s="3" t="n">
        <x:v>79</x:v>
      </x:c>
      <x:c r="B80" s="3" t="str">
        <x:v>TC_RESOURCE_001</x:v>
      </x:c>
      <x:c r="C80" s="3" t="str">
        <x:v>RESOURCE</x:v>
      </x:c>
      <x:c r="D80" s="3" t="str">
        <x:v>Tạo tài nguyên</x:v>
      </x:c>
      <x:c r="E80" s="3" t="str">
        <x:v>Tạo tài nguyên</x:v>
      </x:c>
      <x:c r="F80" s="3" t="str">
        <x:v>Positive — Tạo loại DIRECTIVE_DOCUMENT</x:v>
      </x:c>
      <x:c r="G80" s="3" t="str">
        <x:v>Tạo loại DIRECTIVE_DOCUMENT</x:v>
      </x:c>
      <x:c r="H80" s="3" t="str">
        <x:v>RES-001</x:v>
      </x:c>
      <x:c r="I80" s="3" t="str">
        <x:v>QTV có quyền tương ứng</x:v>
      </x:c>
      <x:c r="J80" s="3" t="str">
        <x:v>Positive</x:v>
      </x:c>
      <x:c r="K80" s="3" t="str">
        <x:v>High</x:v>
      </x:c>
      <x:c r="L80" s="3" t="str">
        <x:v>High</x:v>
      </x:c>
      <x:c r="M80" s="3" t="str">
        <x:v>Môi trường QA cô lập, DB/MinIO sẵn sàng; dữ liệu fixture đã tạo. Đăng nhập tài khoản ACTIVE, mustChangePassword=false.</x:v>
      </x:c>
      <x:c r="N80" s="3" t="str">
        <x:v>RESOURCE; documentNumber=QA-01, issueDate=2026-09-01, issuingOrganization=QA, documentType=NOTICE</x:v>
      </x:c>
      <x:c r="O80" s="3" t="str">
        <x:v>1. Mở /admin/resources
2. Tải PDF fixture
3. Chọn DIRECTIVE_DOCUMENT và điền metadata RESOURCE
4. Lưu và mở public</x:v>
      </x:c>
      <x:c r="P80" s="3" t="str">
        <x:v>HTTP 201; slug sinh từ title, categoryId đúng; metadata được lưu; bản PUBLISHED xuất hiện công khai khi demo tắt.</x:v>
      </x:c>
      <x:c r="Q80" s="11" t="str"/>
      <x:c r="R80" s="8" t="str">
        <x:v>NOT RUN</x:v>
      </x:c>
      <x:c r="S80" s="11" t="str">
        <x:v>QA/UAT — cần điền URL/build</x:v>
      </x:c>
      <x:c r="T80" s="11" t="str">
        <x:v>Cần điền phiên bản thực</x:v>
      </x:c>
      <x:c r="U80" s="11" t="str"/>
      <x:c r="V80" s="12" t="str"/>
      <x:c r="W80" s="11" t="str"/>
      <x:c r="X80" s="11" t="str"/>
      <x:c r="Y80" s="3" t="str">
        <x:v>Nguồn: backend/src/modules/cms/cms.routes.ts; admin/src/components/cms/ResourceManager.tsx. </x:v>
      </x:c>
    </x:row>
    <x:row r="81" ht="62" customHeight="1">
      <x:c r="A81" s="3" t="n">
        <x:v>80</x:v>
      </x:c>
      <x:c r="B81" s="3" t="str">
        <x:v>TC_RESOURCE_002</x:v>
      </x:c>
      <x:c r="C81" s="3" t="str">
        <x:v>RESOURCE</x:v>
      </x:c>
      <x:c r="D81" s="3" t="str">
        <x:v>Tạo tài nguyên</x:v>
      </x:c>
      <x:c r="E81" s="3" t="str">
        <x:v>Tạo tài nguyên</x:v>
      </x:c>
      <x:c r="F81" s="3" t="str">
        <x:v>Positive — Tạo loại EXECUTION_DOCUMENT</x:v>
      </x:c>
      <x:c r="G81" s="3" t="str">
        <x:v>Tạo loại EXECUTION_DOCUMENT</x:v>
      </x:c>
      <x:c r="H81" s="3" t="str">
        <x:v>RES-001</x:v>
      </x:c>
      <x:c r="I81" s="3" t="str">
        <x:v>QTV có quyền tương ứng</x:v>
      </x:c>
      <x:c r="J81" s="3" t="str">
        <x:v>Positive</x:v>
      </x:c>
      <x:c r="K81" s="3" t="str">
        <x:v>High</x:v>
      </x:c>
      <x:c r="L81" s="3" t="str">
        <x:v>High</x:v>
      </x:c>
      <x:c r="M81" s="3" t="str">
        <x:v>Môi trường QA cô lập, DB/MinIO sẵn sàng; dữ liệu fixture đã tạo. Đăng nhập tài khoản ACTIVE, mustChangePassword=false.</x:v>
      </x:c>
      <x:c r="N81" s="3" t="str">
        <x:v>RESOURCE; documentNumber=QA-01, issueDate=2026-09-01, issuingOrganization=QA, documentType=NOTICE</x:v>
      </x:c>
      <x:c r="O81" s="3" t="str">
        <x:v>1. Mở /admin/resources
2. Tải PDF fixture
3. Chọn EXECUTION_DOCUMENT và điền metadata RESOURCE
4. Lưu và mở public</x:v>
      </x:c>
      <x:c r="P81" s="3" t="str">
        <x:v>HTTP 201; slug sinh từ title, categoryId đúng; metadata được lưu; bản PUBLISHED xuất hiện công khai khi demo tắt.</x:v>
      </x:c>
      <x:c r="Q81" s="11" t="str"/>
      <x:c r="R81" s="8" t="str">
        <x:v>NOT RUN</x:v>
      </x:c>
      <x:c r="S81" s="11" t="str">
        <x:v>QA/UAT — cần điền URL/build</x:v>
      </x:c>
      <x:c r="T81" s="11" t="str">
        <x:v>Cần điền phiên bản thực</x:v>
      </x:c>
      <x:c r="U81" s="11" t="str"/>
      <x:c r="V81" s="12" t="str"/>
      <x:c r="W81" s="11" t="str"/>
      <x:c r="X81" s="11" t="str"/>
      <x:c r="Y81" s="3" t="str">
        <x:v>Nguồn: backend/src/modules/cms/cms.routes.ts; admin/src/components/cms/ResourceManager.tsx. </x:v>
      </x:c>
    </x:row>
    <x:row r="82" ht="62" customHeight="1">
      <x:c r="A82" s="3" t="n">
        <x:v>81</x:v>
      </x:c>
      <x:c r="B82" s="3" t="str">
        <x:v>TC_RESOURCE_003</x:v>
      </x:c>
      <x:c r="C82" s="3" t="str">
        <x:v>RESOURCE</x:v>
      </x:c>
      <x:c r="D82" s="3" t="str">
        <x:v>Tạo tài nguyên</x:v>
      </x:c>
      <x:c r="E82" s="3" t="str">
        <x:v>Tạo tài nguyên</x:v>
      </x:c>
      <x:c r="F82" s="3" t="str">
        <x:v>Positive — Tạo loại BROCHURE</x:v>
      </x:c>
      <x:c r="G82" s="3" t="str">
        <x:v>Tạo loại BROCHURE</x:v>
      </x:c>
      <x:c r="H82" s="3" t="str">
        <x:v>RES-001</x:v>
      </x:c>
      <x:c r="I82" s="3" t="str">
        <x:v>QTV có quyền tương ứng</x:v>
      </x:c>
      <x:c r="J82" s="3" t="str">
        <x:v>Positive</x:v>
      </x:c>
      <x:c r="K82" s="3" t="str">
        <x:v>High</x:v>
      </x:c>
      <x:c r="L82" s="3" t="str">
        <x:v>High</x:v>
      </x:c>
      <x:c r="M82" s="3" t="str">
        <x:v>Môi trường QA cô lập, DB/MinIO sẵn sàng; dữ liệu fixture đã tạo. Đăng nhập tài khoản ACTIVE, mustChangePassword=false.</x:v>
      </x:c>
      <x:c r="N82" s="3" t="str">
        <x:v>RESOURCE; PDF application/pdf</x:v>
      </x:c>
      <x:c r="O82" s="3" t="str">
        <x:v>1. Mở /admin/resources
2. Tải PDF fixture
3. Chọn BROCHURE và điền metadata RESOURCE
4. Lưu và mở public</x:v>
      </x:c>
      <x:c r="P82" s="3" t="str">
        <x:v>HTTP 201; slug sinh từ title, categoryId đúng; metadata được lưu; bản PUBLISHED xuất hiện công khai khi demo tắt.</x:v>
      </x:c>
      <x:c r="Q82" s="11" t="str"/>
      <x:c r="R82" s="8" t="str">
        <x:v>NOT RUN</x:v>
      </x:c>
      <x:c r="S82" s="11" t="str">
        <x:v>QA/UAT — cần điền URL/build</x:v>
      </x:c>
      <x:c r="T82" s="11" t="str">
        <x:v>Cần điền phiên bản thực</x:v>
      </x:c>
      <x:c r="U82" s="11" t="str"/>
      <x:c r="V82" s="12" t="str"/>
      <x:c r="W82" s="11" t="str"/>
      <x:c r="X82" s="11" t="str"/>
      <x:c r="Y82" s="3" t="str">
        <x:v>Nguồn: backend/src/modules/cms/cms.routes.ts; admin/src/components/cms/ResourceManager.tsx. </x:v>
      </x:c>
    </x:row>
    <x:row r="83" ht="62" customHeight="1">
      <x:c r="A83" s="3" t="n">
        <x:v>82</x:v>
      </x:c>
      <x:c r="B83" s="3" t="str">
        <x:v>TC_RESOURCE_004</x:v>
      </x:c>
      <x:c r="C83" s="3" t="str">
        <x:v>RESOURCE</x:v>
      </x:c>
      <x:c r="D83" s="3" t="str">
        <x:v>Tạo tài nguyên</x:v>
      </x:c>
      <x:c r="E83" s="3" t="str">
        <x:v>Tạo tài nguyên</x:v>
      </x:c>
      <x:c r="F83" s="3" t="str">
        <x:v>Positive — Tạo loại PDF_DOCUMENT</x:v>
      </x:c>
      <x:c r="G83" s="3" t="str">
        <x:v>Tạo loại PDF_DOCUMENT</x:v>
      </x:c>
      <x:c r="H83" s="3" t="str">
        <x:v>RES-001</x:v>
      </x:c>
      <x:c r="I83" s="3" t="str">
        <x:v>QTV có quyền tương ứng</x:v>
      </x:c>
      <x:c r="J83" s="3" t="str">
        <x:v>Positive</x:v>
      </x:c>
      <x:c r="K83" s="3" t="str">
        <x:v>High</x:v>
      </x:c>
      <x:c r="L83" s="3" t="str">
        <x:v>High</x:v>
      </x:c>
      <x:c r="M83" s="3" t="str">
        <x:v>Môi trường QA cô lập, DB/MinIO sẵn sàng; dữ liệu fixture đã tạo. Đăng nhập tài khoản ACTIVE, mustChangePassword=false.</x:v>
      </x:c>
      <x:c r="N83" s="3" t="str">
        <x:v>RESOURCE; PDF application/pdf</x:v>
      </x:c>
      <x:c r="O83" s="3" t="str">
        <x:v>1. Mở /admin/resources
2. Tải PDF fixture
3. Chọn PDF_DOCUMENT và điền metadata RESOURCE
4. Lưu và mở public</x:v>
      </x:c>
      <x:c r="P83" s="3" t="str">
        <x:v>HTTP 201; slug sinh từ title, categoryId đúng; metadata được lưu; bản PUBLISHED xuất hiện công khai khi demo tắt.</x:v>
      </x:c>
      <x:c r="Q83" s="11" t="str"/>
      <x:c r="R83" s="8" t="str">
        <x:v>NOT RUN</x:v>
      </x:c>
      <x:c r="S83" s="11" t="str">
        <x:v>QA/UAT — cần điền URL/build</x:v>
      </x:c>
      <x:c r="T83" s="11" t="str">
        <x:v>Cần điền phiên bản thực</x:v>
      </x:c>
      <x:c r="U83" s="11" t="str"/>
      <x:c r="V83" s="12" t="str"/>
      <x:c r="W83" s="11" t="str"/>
      <x:c r="X83" s="11" t="str"/>
      <x:c r="Y83" s="3" t="str">
        <x:v>Nguồn: backend/src/modules/cms/cms.routes.ts; admin/src/components/cms/ResourceManager.tsx. </x:v>
      </x:c>
    </x:row>
    <x:row r="84" ht="49" customHeight="1">
      <x:c r="A84" s="3" t="n">
        <x:v>83</x:v>
      </x:c>
      <x:c r="B84" s="3" t="str">
        <x:v>TC_RESOURCE_005</x:v>
      </x:c>
      <x:c r="C84" s="3" t="str">
        <x:v>RESOURCE</x:v>
      </x:c>
      <x:c r="D84" s="3" t="str">
        <x:v>Quản lý tệp và danh mục</x:v>
      </x:c>
      <x:c r="E84" s="3" t="str">
        <x:v>Quản lý tệp và danh mục</x:v>
      </x:c>
      <x:c r="F84" s="3" t="str">
        <x:v>Positive — Sửa tài nguyên</x:v>
      </x:c>
      <x:c r="G84" s="3" t="str">
        <x:v>Sửa tài nguyên</x:v>
      </x:c>
      <x:c r="H84" s="3" t="str">
        <x:v>RES-001</x:v>
      </x:c>
      <x:c r="I84" s="3" t="str">
        <x:v>QTV có quyền tương ứng</x:v>
      </x:c>
      <x:c r="J84" s="3" t="str">
        <x:v>Positive</x:v>
      </x:c>
      <x:c r="K84" s="3" t="str">
        <x:v>Medium</x:v>
      </x:c>
      <x:c r="L84" s="3" t="str">
        <x:v>Medium</x:v>
      </x:c>
      <x:c r="M84" s="3" t="str">
        <x:v>Môi trường QA cô lập, DB/MinIO sẵn sàng; dữ liệu fixture đã tạo. Đăng nhập tài khoản ACTIVE, mustChangePassword=false.</x:v>
      </x:c>
      <x:c r="N84" s="3" t="str">
        <x:v>RESOURCE; VGG_DEMO_RESOURCES=false</x:v>
      </x:c>
      <x:c r="O84" s="3" t="str">
        <x:v>1. Mở RESOURCE_ID
2. Đổi mô tả và tiêu đề
3. Lưu và tải lại</x:v>
      </x:c>
      <x:c r="P84" s="3" t="str">
        <x:v>HTTP 200; mô tả/title mới; slug tái sinh; ID giữ nguyên.</x:v>
      </x:c>
      <x:c r="Q84" s="11" t="str"/>
      <x:c r="R84" s="8" t="str">
        <x:v>NOT RUN</x:v>
      </x:c>
      <x:c r="S84" s="11" t="str">
        <x:v>QA/UAT — cần điền URL/build</x:v>
      </x:c>
      <x:c r="T84" s="11" t="str">
        <x:v>Cần điền phiên bản thực</x:v>
      </x:c>
      <x:c r="U84" s="11" t="str"/>
      <x:c r="V84" s="12" t="str"/>
      <x:c r="W84" s="11" t="str"/>
      <x:c r="X84" s="11" t="str"/>
      <x:c r="Y84" s="3" t="str">
        <x:v>Nguồn: admin/src/components/cms/ResourceManager.tsx; backend/src/modules/cms/cms.routes.ts. </x:v>
      </x:c>
    </x:row>
    <x:row r="85" ht="49" customHeight="1">
      <x:c r="A85" s="3" t="n">
        <x:v>84</x:v>
      </x:c>
      <x:c r="B85" s="3" t="str">
        <x:v>TC_RESOURCE_006</x:v>
      </x:c>
      <x:c r="C85" s="3" t="str">
        <x:v>RESOURCE</x:v>
      </x:c>
      <x:c r="D85" s="3" t="str">
        <x:v>Quản lý tệp và danh mục</x:v>
      </x:c>
      <x:c r="E85" s="3" t="str">
        <x:v>Quản lý tệp và danh mục</x:v>
      </x:c>
      <x:c r="F85" s="3" t="str">
        <x:v>Positive — Thay tệp</x:v>
      </x:c>
      <x:c r="G85" s="3" t="str">
        <x:v>Thay tệp</x:v>
      </x:c>
      <x:c r="H85" s="3" t="str">
        <x:v>RES-001</x:v>
      </x:c>
      <x:c r="I85" s="3" t="str">
        <x:v>QTV có quyền tương ứng</x:v>
      </x:c>
      <x:c r="J85" s="3" t="str">
        <x:v>Positive</x:v>
      </x:c>
      <x:c r="K85" s="3" t="str">
        <x:v>Medium</x:v>
      </x:c>
      <x:c r="L85" s="3" t="str">
        <x:v>Medium</x:v>
      </x:c>
      <x:c r="M85" s="3" t="str">
        <x:v>Môi trường QA cô lập, DB/MinIO sẵn sàng; dữ liệu fixture đã tạo. Đăng nhập tài khoản ACTIVE, mustChangePassword=false.</x:v>
      </x:c>
      <x:c r="N85" s="3" t="str">
        <x:v>RESOURCE; VGG_DEMO_RESOURCES=false</x:v>
      </x:c>
      <x:c r="O85" s="3" t="str">
        <x:v>1. Mở RESOURCE_ID
2. Tải PDF fixture thứ hai
3. Lưu rồi tải public</x:v>
      </x:c>
      <x:c r="P85" s="3" t="str">
        <x:v>fileUrl/fileName/fileType/fileSize khớp file mới; SHA256 file tải khớp file thứ hai.</x:v>
      </x:c>
      <x:c r="Q85" s="11" t="str"/>
      <x:c r="R85" s="8" t="str">
        <x:v>NOT RUN</x:v>
      </x:c>
      <x:c r="S85" s="11" t="str">
        <x:v>QA/UAT — cần điền URL/build</x:v>
      </x:c>
      <x:c r="T85" s="11" t="str">
        <x:v>Cần điền phiên bản thực</x:v>
      </x:c>
      <x:c r="U85" s="11" t="str"/>
      <x:c r="V85" s="12" t="str"/>
      <x:c r="W85" s="11" t="str"/>
      <x:c r="X85" s="11" t="str"/>
      <x:c r="Y85" s="3" t="str">
        <x:v>Nguồn: admin/src/components/cms/ResourceManager.tsx; backend/src/modules/cms/cms.routes.ts. </x:v>
      </x:c>
    </x:row>
    <x:row r="86" ht="49" customHeight="1">
      <x:c r="A86" s="3" t="n">
        <x:v>85</x:v>
      </x:c>
      <x:c r="B86" s="3" t="str">
        <x:v>TC_RESOURCE_007</x:v>
      </x:c>
      <x:c r="C86" s="3" t="str">
        <x:v>RESOURCE</x:v>
      </x:c>
      <x:c r="D86" s="3" t="str">
        <x:v>Quản lý tệp và danh mục</x:v>
      </x:c>
      <x:c r="E86" s="3" t="str">
        <x:v>Quản lý tệp và danh mục</x:v>
      </x:c>
      <x:c r="F86" s="3" t="str">
        <x:v>Positive — Tạo danh mục</x:v>
      </x:c>
      <x:c r="G86" s="3" t="str">
        <x:v>Tạo danh mục</x:v>
      </x:c>
      <x:c r="H86" s="3" t="str">
        <x:v>RES-002</x:v>
      </x:c>
      <x:c r="I86" s="3" t="str">
        <x:v>QTV có quyền tương ứng</x:v>
      </x:c>
      <x:c r="J86" s="3" t="str">
        <x:v>Positive</x:v>
      </x:c>
      <x:c r="K86" s="3" t="str">
        <x:v>Medium</x:v>
      </x:c>
      <x:c r="L86" s="3" t="str">
        <x:v>Medium</x:v>
      </x:c>
      <x:c r="M86" s="3" t="str">
        <x:v>Môi trường QA cô lập, DB/MinIO sẵn sàng; dữ liệu fixture đã tạo. Đăng nhập tài khoản ACTIVE, mustChangePassword=false.</x:v>
      </x:c>
      <x:c r="N86" s="3" t="str">
        <x:v>RESOURCE; VGG_DEMO_RESOURCES=false</x:v>
      </x:c>
      <x:c r="O86" s="3" t="str">
        <x:v>1. Chuyển tab danh mục
2. Nhập tên QA mới và lưu</x:v>
      </x:c>
      <x:c r="P86" s="3" t="str">
        <x:v>HTTP 201; category mới xuất hiện trong danh sách và dropdown tài nguyên.</x:v>
      </x:c>
      <x:c r="Q86" s="11" t="str"/>
      <x:c r="R86" s="8" t="str">
        <x:v>NOT RUN</x:v>
      </x:c>
      <x:c r="S86" s="11" t="str">
        <x:v>QA/UAT — cần điền URL/build</x:v>
      </x:c>
      <x:c r="T86" s="11" t="str">
        <x:v>Cần điền phiên bản thực</x:v>
      </x:c>
      <x:c r="U86" s="11" t="str"/>
      <x:c r="V86" s="12" t="str"/>
      <x:c r="W86" s="11" t="str"/>
      <x:c r="X86" s="11" t="str"/>
      <x:c r="Y86" s="3" t="str">
        <x:v>Nguồn: admin/src/components/cms/ResourceManager.tsx; backend/src/modules/cms/cms.routes.ts. </x:v>
      </x:c>
    </x:row>
    <x:row r="87" ht="49" customHeight="1">
      <x:c r="A87" s="3" t="n">
        <x:v>86</x:v>
      </x:c>
      <x:c r="B87" s="3" t="str">
        <x:v>TC_RESOURCE_008</x:v>
      </x:c>
      <x:c r="C87" s="3" t="str">
        <x:v>RESOURCE</x:v>
      </x:c>
      <x:c r="D87" s="3" t="str">
        <x:v>Quản lý tệp và danh mục</x:v>
      </x:c>
      <x:c r="E87" s="3" t="str">
        <x:v>Quản lý tệp và danh mục</x:v>
      </x:c>
      <x:c r="F87" s="3" t="str">
        <x:v>Positive — Sửa danh mục</x:v>
      </x:c>
      <x:c r="G87" s="3" t="str">
        <x:v>Sửa danh mục</x:v>
      </x:c>
      <x:c r="H87" s="3" t="str">
        <x:v>RES-002</x:v>
      </x:c>
      <x:c r="I87" s="3" t="str">
        <x:v>QTV có quyền tương ứng</x:v>
      </x:c>
      <x:c r="J87" s="3" t="str">
        <x:v>Positive</x:v>
      </x:c>
      <x:c r="K87" s="3" t="str">
        <x:v>Medium</x:v>
      </x:c>
      <x:c r="L87" s="3" t="str">
        <x:v>Medium</x:v>
      </x:c>
      <x:c r="M87" s="3" t="str">
        <x:v>Môi trường QA cô lập, DB/MinIO sẵn sàng; dữ liệu fixture đã tạo. Đăng nhập tài khoản ACTIVE, mustChangePassword=false.</x:v>
      </x:c>
      <x:c r="N87" s="3" t="str">
        <x:v>RESOURCE; VGG_DEMO_RESOURCES=false</x:v>
      </x:c>
      <x:c r="O87" s="3" t="str">
        <x:v>1. Mở danh mục QA
2. Đổi tên và lưu</x:v>
      </x:c>
      <x:c r="P87" s="3" t="str">
        <x:v>HTTP 200; tên mới xuất hiện ở resource tham chiếu; ID giữ nguyên.</x:v>
      </x:c>
      <x:c r="Q87" s="11" t="str"/>
      <x:c r="R87" s="8" t="str">
        <x:v>NOT RUN</x:v>
      </x:c>
      <x:c r="S87" s="11" t="str">
        <x:v>QA/UAT — cần điền URL/build</x:v>
      </x:c>
      <x:c r="T87" s="11" t="str">
        <x:v>Cần điền phiên bản thực</x:v>
      </x:c>
      <x:c r="U87" s="11" t="str"/>
      <x:c r="V87" s="12" t="str"/>
      <x:c r="W87" s="11" t="str"/>
      <x:c r="X87" s="11" t="str"/>
      <x:c r="Y87" s="3" t="str">
        <x:v>Nguồn: admin/src/components/cms/ResourceManager.tsx; backend/src/modules/cms/cms.routes.ts. </x:v>
      </x:c>
    </x:row>
    <x:row r="88" ht="49" customHeight="1">
      <x:c r="A88" s="3" t="n">
        <x:v>87</x:v>
      </x:c>
      <x:c r="B88" s="3" t="str">
        <x:v>TC_RESOURCE_009</x:v>
      </x:c>
      <x:c r="C88" s="3" t="str">
        <x:v>RESOURCE</x:v>
      </x:c>
      <x:c r="D88" s="3" t="str">
        <x:v>Quản lý tệp và danh mục</x:v>
      </x:c>
      <x:c r="E88" s="3" t="str">
        <x:v>Quản lý tệp và danh mục</x:v>
      </x:c>
      <x:c r="F88" s="3" t="str">
        <x:v>Positive — Danh mục trùng không phân biệt hoa thường</x:v>
      </x:c>
      <x:c r="G88" s="3" t="str">
        <x:v>Danh mục trùng không phân biệt hoa thường</x:v>
      </x:c>
      <x:c r="H88" s="3" t="str">
        <x:v>RES-002</x:v>
      </x:c>
      <x:c r="I88" s="3" t="str">
        <x:v>QTV có quyền tương ứng</x:v>
      </x:c>
      <x:c r="J88" s="3" t="str">
        <x:v>Positive</x:v>
      </x:c>
      <x:c r="K88" s="3" t="str">
        <x:v>Medium</x:v>
      </x:c>
      <x:c r="L88" s="3" t="str">
        <x:v>Medium</x:v>
      </x:c>
      <x:c r="M88" s="3" t="str">
        <x:v>Môi trường QA cô lập, DB/MinIO sẵn sàng; dữ liệu fixture đã tạo. Đăng nhập tài khoản ACTIVE, mustChangePassword=false.</x:v>
      </x:c>
      <x:c r="N88" s="3" t="str">
        <x:v>RESOURCE; VGG_DEMO_RESOURCES=false</x:v>
      </x:c>
      <x:c r="O88" s="3" t="str">
        <x:v>1. Đã có danh mục QA
2. Tạo qa</x:v>
      </x:c>
      <x:c r="P88" s="3" t="str">
        <x:v>HTTP 409 RESOURCE_CATEGORY_DUPLICATE; không tạo thêm.</x:v>
      </x:c>
      <x:c r="Q88" s="11" t="str"/>
      <x:c r="R88" s="8" t="str">
        <x:v>NOT RUN</x:v>
      </x:c>
      <x:c r="S88" s="11" t="str">
        <x:v>QA/UAT — cần điền URL/build</x:v>
      </x:c>
      <x:c r="T88" s="11" t="str">
        <x:v>Cần điền phiên bản thực</x:v>
      </x:c>
      <x:c r="U88" s="11" t="str"/>
      <x:c r="V88" s="12" t="str"/>
      <x:c r="W88" s="11" t="str"/>
      <x:c r="X88" s="11" t="str"/>
      <x:c r="Y88" s="3" t="str">
        <x:v>Nguồn: admin/src/components/cms/ResourceManager.tsx; backend/src/modules/cms/cms.routes.ts. </x:v>
      </x:c>
    </x:row>
    <x:row r="89" ht="49" customHeight="1">
      <x:c r="A89" s="3" t="n">
        <x:v>88</x:v>
      </x:c>
      <x:c r="B89" s="3" t="str">
        <x:v>TC_RESOURCE_010</x:v>
      </x:c>
      <x:c r="C89" s="3" t="str">
        <x:v>RESOURCE</x:v>
      </x:c>
      <x:c r="D89" s="3" t="str">
        <x:v>Quản lý tệp và danh mục</x:v>
      </x:c>
      <x:c r="E89" s="3" t="str">
        <x:v>Quản lý tệp và danh mục</x:v>
      </x:c>
      <x:c r="F89" s="3" t="str">
        <x:v>Positive — Xóa danh mục rỗng</x:v>
      </x:c>
      <x:c r="G89" s="3" t="str">
        <x:v>Xóa danh mục rỗng</x:v>
      </x:c>
      <x:c r="H89" s="3" t="str">
        <x:v>RES-002</x:v>
      </x:c>
      <x:c r="I89" s="3" t="str">
        <x:v>QTV có quyền tương ứng</x:v>
      </x:c>
      <x:c r="J89" s="3" t="str">
        <x:v>Positive</x:v>
      </x:c>
      <x:c r="K89" s="3" t="str">
        <x:v>High</x:v>
      </x:c>
      <x:c r="L89" s="3" t="str">
        <x:v>High</x:v>
      </x:c>
      <x:c r="M89" s="3" t="str">
        <x:v>Môi trường QA cô lập, DB/MinIO sẵn sàng; dữ liệu fixture đã tạo. Đăng nhập tài khoản ACTIVE, mustChangePassword=false.</x:v>
      </x:c>
      <x:c r="N89" s="3" t="str">
        <x:v>RESOURCE; VGG_DEMO_RESOURCES=false</x:v>
      </x:c>
      <x:c r="O89" s="3" t="str">
        <x:v>1. Chọn danh mục không có resource
2. Xác nhận xóa</x:v>
      </x:c>
      <x:c r="P89" s="3" t="str">
        <x:v>HTTP 200; danh mục không còn trong list/dropdown.</x:v>
      </x:c>
      <x:c r="Q89" s="11" t="str"/>
      <x:c r="R89" s="8" t="str">
        <x:v>NOT RUN</x:v>
      </x:c>
      <x:c r="S89" s="11" t="str">
        <x:v>QA/UAT — cần điền URL/build</x:v>
      </x:c>
      <x:c r="T89" s="11" t="str">
        <x:v>Cần điền phiên bản thực</x:v>
      </x:c>
      <x:c r="U89" s="11" t="str"/>
      <x:c r="V89" s="12" t="str"/>
      <x:c r="W89" s="11" t="str"/>
      <x:c r="X89" s="11" t="str"/>
      <x:c r="Y89" s="3" t="str">
        <x:v>Nguồn: admin/src/components/cms/ResourceManager.tsx; backend/src/modules/cms/cms.routes.ts. </x:v>
      </x:c>
    </x:row>
    <x:row r="90" ht="49" customHeight="1">
      <x:c r="A90" s="3" t="n">
        <x:v>89</x:v>
      </x:c>
      <x:c r="B90" s="3" t="str">
        <x:v>TC_RESOURCE_011</x:v>
      </x:c>
      <x:c r="C90" s="3" t="str">
        <x:v>RESOURCE</x:v>
      </x:c>
      <x:c r="D90" s="3" t="str">
        <x:v>Quản lý tệp và danh mục</x:v>
      </x:c>
      <x:c r="E90" s="3" t="str">
        <x:v>Quản lý tệp và danh mục</x:v>
      </x:c>
      <x:c r="F90" s="3" t="str">
        <x:v>Positive — Chặn xóa danh mục đang dùng</x:v>
      </x:c>
      <x:c r="G90" s="3" t="str">
        <x:v>Chặn xóa danh mục đang dùng</x:v>
      </x:c>
      <x:c r="H90" s="3" t="str">
        <x:v>RES-002</x:v>
      </x:c>
      <x:c r="I90" s="3" t="str">
        <x:v>QTV có quyền tương ứng</x:v>
      </x:c>
      <x:c r="J90" s="3" t="str">
        <x:v>Positive</x:v>
      </x:c>
      <x:c r="K90" s="3" t="str">
        <x:v>High</x:v>
      </x:c>
      <x:c r="L90" s="3" t="str">
        <x:v>High</x:v>
      </x:c>
      <x:c r="M90" s="3" t="str">
        <x:v>Môi trường QA cô lập, DB/MinIO sẵn sàng; dữ liệu fixture đã tạo. Đăng nhập tài khoản ACTIVE, mustChangePassword=false.</x:v>
      </x:c>
      <x:c r="N90" s="3" t="str">
        <x:v>RESOURCE; VGG_DEMO_RESOURCES=false</x:v>
      </x:c>
      <x:c r="O90" s="3" t="str">
        <x:v>1. Chọn danh mục có RESOURCE_ID
2. Xác nhận xóa</x:v>
      </x:c>
      <x:c r="P90" s="3" t="str">
        <x:v>HTTP 409 RESOURCE_CATEGORY_IN_USE; danh mục và resource còn nguyên.</x:v>
      </x:c>
      <x:c r="Q90" s="11" t="str"/>
      <x:c r="R90" s="8" t="str">
        <x:v>NOT RUN</x:v>
      </x:c>
      <x:c r="S90" s="11" t="str">
        <x:v>QA/UAT — cần điền URL/build</x:v>
      </x:c>
      <x:c r="T90" s="11" t="str">
        <x:v>Cần điền phiên bản thực</x:v>
      </x:c>
      <x:c r="U90" s="11" t="str"/>
      <x:c r="V90" s="12" t="str"/>
      <x:c r="W90" s="11" t="str"/>
      <x:c r="X90" s="11" t="str"/>
      <x:c r="Y90" s="3" t="str">
        <x:v>Nguồn: admin/src/components/cms/ResourceManager.tsx; backend/src/modules/cms/cms.routes.ts. </x:v>
      </x:c>
    </x:row>
    <x:row r="91" ht="49" customHeight="1">
      <x:c r="A91" s="3" t="n">
        <x:v>90</x:v>
      </x:c>
      <x:c r="B91" s="3" t="str">
        <x:v>TC_RESOURCE_012</x:v>
      </x:c>
      <x:c r="C91" s="3" t="str">
        <x:v>RESOURCE</x:v>
      </x:c>
      <x:c r="D91" s="3" t="str">
        <x:v>Quản lý tệp và danh mục</x:v>
      </x:c>
      <x:c r="E91" s="3" t="str">
        <x:v>Quản lý tệp và danh mục</x:v>
      </x:c>
      <x:c r="F91" s="3" t="str">
        <x:v>Positive — Xóa resource</x:v>
      </x:c>
      <x:c r="G91" s="3" t="str">
        <x:v>Xóa resource</x:v>
      </x:c>
      <x:c r="H91" s="3" t="str">
        <x:v>RES-003</x:v>
      </x:c>
      <x:c r="I91" s="3" t="str">
        <x:v>QTV có quyền tương ứng</x:v>
      </x:c>
      <x:c r="J91" s="3" t="str">
        <x:v>Positive</x:v>
      </x:c>
      <x:c r="K91" s="3" t="str">
        <x:v>High</x:v>
      </x:c>
      <x:c r="L91" s="3" t="str">
        <x:v>High</x:v>
      </x:c>
      <x:c r="M91" s="3" t="str">
        <x:v>Môi trường QA cô lập, DB/MinIO sẵn sàng; dữ liệu fixture đã tạo. Đăng nhập tài khoản ACTIVE, mustChangePassword=false.</x:v>
      </x:c>
      <x:c r="N91" s="3" t="str">
        <x:v>RESOURCE; VGG_DEMO_RESOURCES=false</x:v>
      </x:c>
      <x:c r="O91" s="3" t="str">
        <x:v>1. Chọn RESOURCE_ID
2. Xác nhận xóa
3. Gọi admin detail và public list</x:v>
      </x:c>
      <x:c r="P91" s="3" t="str">
        <x:v>HTTP 200; hard-delete bản ghi; detail 404; public list không có ID; audit RESOURCE_DELETED.</x:v>
      </x:c>
      <x:c r="Q91" s="11" t="str"/>
      <x:c r="R91" s="8" t="str">
        <x:v>NOT RUN</x:v>
      </x:c>
      <x:c r="S91" s="11" t="str">
        <x:v>QA/UAT — cần điền URL/build</x:v>
      </x:c>
      <x:c r="T91" s="11" t="str">
        <x:v>Cần điền phiên bản thực</x:v>
      </x:c>
      <x:c r="U91" s="11" t="str"/>
      <x:c r="V91" s="12" t="str"/>
      <x:c r="W91" s="11" t="str"/>
      <x:c r="X91" s="11" t="str"/>
      <x:c r="Y91" s="3" t="str">
        <x:v>Nguồn: admin/src/components/cms/ResourceManager.tsx; backend/src/modules/cms/cms.routes.ts. </x:v>
      </x:c>
    </x:row>
    <x:row r="92" ht="49" customHeight="1">
      <x:c r="A92" s="3" t="n">
        <x:v>91</x:v>
      </x:c>
      <x:c r="B92" s="3" t="str">
        <x:v>TC_RESOURCE_013</x:v>
      </x:c>
      <x:c r="C92" s="3" t="str">
        <x:v>RESOURCE</x:v>
      </x:c>
      <x:c r="D92" s="3" t="str">
        <x:v>Quản lý tệp và danh mục</x:v>
      </x:c>
      <x:c r="E92" s="3" t="str">
        <x:v>Quản lý tệp và danh mục</x:v>
      </x:c>
      <x:c r="F92" s="3" t="str">
        <x:v>Positive — Hủy xóa resource</x:v>
      </x:c>
      <x:c r="G92" s="3" t="str">
        <x:v>Hủy xóa resource</x:v>
      </x:c>
      <x:c r="H92" s="3" t="str">
        <x:v>RES-003</x:v>
      </x:c>
      <x:c r="I92" s="3" t="str">
        <x:v>QTV có quyền tương ứng</x:v>
      </x:c>
      <x:c r="J92" s="3" t="str">
        <x:v>Positive</x:v>
      </x:c>
      <x:c r="K92" s="3" t="str">
        <x:v>Medium</x:v>
      </x:c>
      <x:c r="L92" s="3" t="str">
        <x:v>Medium</x:v>
      </x:c>
      <x:c r="M92" s="3" t="str">
        <x:v>Môi trường QA cô lập, DB/MinIO sẵn sàng; dữ liệu fixture đã tạo. Đăng nhập tài khoản ACTIVE, mustChangePassword=false.</x:v>
      </x:c>
      <x:c r="N92" s="3" t="str">
        <x:v>RESOURCE; VGG_DEMO_RESOURCES=false</x:v>
      </x:c>
      <x:c r="O92" s="3" t="str">
        <x:v>1. Chọn xóa RESOURCE_ID
2. Đóng confirm</x:v>
      </x:c>
      <x:c r="P92" s="3" t="str">
        <x:v>Không DELETE; bản ghi còn nguyên.</x:v>
      </x:c>
      <x:c r="Q92" s="11" t="str"/>
      <x:c r="R92" s="8" t="str">
        <x:v>NOT RUN</x:v>
      </x:c>
      <x:c r="S92" s="11" t="str">
        <x:v>QA/UAT — cần điền URL/build</x:v>
      </x:c>
      <x:c r="T92" s="11" t="str">
        <x:v>Cần điền phiên bản thực</x:v>
      </x:c>
      <x:c r="U92" s="11" t="str"/>
      <x:c r="V92" s="12" t="str"/>
      <x:c r="W92" s="11" t="str"/>
      <x:c r="X92" s="11" t="str"/>
      <x:c r="Y92" s="3" t="str">
        <x:v>Nguồn: admin/src/components/cms/ResourceManager.tsx; backend/src/modules/cms/cms.routes.ts. </x:v>
      </x:c>
    </x:row>
    <x:row r="93" ht="49" customHeight="1">
      <x:c r="A93" s="3" t="n">
        <x:v>92</x:v>
      </x:c>
      <x:c r="B93" s="3" t="str">
        <x:v>TC_RESOURCE_014</x:v>
      </x:c>
      <x:c r="C93" s="3" t="str">
        <x:v>RESOURCE</x:v>
      </x:c>
      <x:c r="D93" s="3" t="str">
        <x:v>Quản lý tệp và danh mục</x:v>
      </x:c>
      <x:c r="E93" s="3" t="str">
        <x:v>Quản lý tệp và danh mục</x:v>
      </x:c>
      <x:c r="F93" s="3" t="str">
        <x:v>Positive — Đóng drawer chưa lưu</x:v>
      </x:c>
      <x:c r="G93" s="3" t="str">
        <x:v>Đóng drawer chưa lưu</x:v>
      </x:c>
      <x:c r="H93" s="3" t="str">
        <x:v>RES-001</x:v>
      </x:c>
      <x:c r="I93" s="3" t="str">
        <x:v>QTV có quyền tương ứng</x:v>
      </x:c>
      <x:c r="J93" s="3" t="str">
        <x:v>Positive</x:v>
      </x:c>
      <x:c r="K93" s="3" t="str">
        <x:v>Medium</x:v>
      </x:c>
      <x:c r="L93" s="3" t="str">
        <x:v>Medium</x:v>
      </x:c>
      <x:c r="M93" s="3" t="str">
        <x:v>Môi trường QA cô lập, DB/MinIO sẵn sàng; dữ liệu fixture đã tạo. Đăng nhập tài khoản ACTIVE, mustChangePassword=false.</x:v>
      </x:c>
      <x:c r="N93" s="3" t="str">
        <x:v>RESOURCE; VGG_DEMO_RESOURCES=false</x:v>
      </x:c>
      <x:c r="O93" s="3" t="str">
        <x:v>1. Mở tạo tài nguyên
2. Nhập metadata nhưng chưa lưu
3. Đóng drawer</x:v>
      </x:c>
      <x:c r="P93" s="3" t="str">
        <x:v>Không có POST resource; danh sách không thêm bản ghi.</x:v>
      </x:c>
      <x:c r="Q93" s="11" t="str"/>
      <x:c r="R93" s="8" t="str">
        <x:v>NOT RUN</x:v>
      </x:c>
      <x:c r="S93" s="11" t="str">
        <x:v>QA/UAT — cần điền URL/build</x:v>
      </x:c>
      <x:c r="T93" s="11" t="str">
        <x:v>Cần điền phiên bản thực</x:v>
      </x:c>
      <x:c r="U93" s="11" t="str"/>
      <x:c r="V93" s="12" t="str"/>
      <x:c r="W93" s="11" t="str"/>
      <x:c r="X93" s="11" t="str"/>
      <x:c r="Y93" s="3" t="str">
        <x:v>Nguồn: admin/src/components/cms/ResourceManager.tsx; backend/src/modules/cms/cms.routes.ts. </x:v>
      </x:c>
    </x:row>
    <x:row r="94" ht="49" customHeight="1">
      <x:c r="A94" s="3" t="n">
        <x:v>93</x:v>
      </x:c>
      <x:c r="B94" s="3" t="str">
        <x:v>TC_RESOURCE_015</x:v>
      </x:c>
      <x:c r="C94" s="3" t="str">
        <x:v>RESOURCE</x:v>
      </x:c>
      <x:c r="D94" s="3" t="str">
        <x:v>Quản lý tệp và danh mục</x:v>
      </x:c>
      <x:c r="E94" s="3" t="str">
        <x:v>Quản lý tệp và danh mục</x:v>
      </x:c>
      <x:c r="F94" s="3" t="str">
        <x:v>Positive — Lọc đồng thời loại và danh mục</x:v>
      </x:c>
      <x:c r="G94" s="3" t="str">
        <x:v>Lọc đồng thời loại và danh mục</x:v>
      </x:c>
      <x:c r="H94" s="3" t="str">
        <x:v>RES-001</x:v>
      </x:c>
      <x:c r="I94" s="3" t="str">
        <x:v>QTV có quyền tương ứng</x:v>
      </x:c>
      <x:c r="J94" s="3" t="str">
        <x:v>Positive</x:v>
      </x:c>
      <x:c r="K94" s="3" t="str">
        <x:v>Medium</x:v>
      </x:c>
      <x:c r="L94" s="3" t="str">
        <x:v>Medium</x:v>
      </x:c>
      <x:c r="M94" s="3" t="str">
        <x:v>Môi trường QA cô lập, DB/MinIO sẵn sàng; dữ liệu fixture đã tạo. Đăng nhập tài khoản ACTIVE, mustChangePassword=false.</x:v>
      </x:c>
      <x:c r="N94" s="3" t="str">
        <x:v>RESOURCE; VGG_DEMO_RESOURCES=false</x:v>
      </x:c>
      <x:c r="O94" s="3" t="str">
        <x:v>1. Chọn category QA và loại BROCHURE
2. Xem bảng</x:v>
      </x:c>
      <x:c r="P94" s="3" t="str">
        <x:v>Chỉ resource thuộc category QA AND BROCHURE xuất hiện.</x:v>
      </x:c>
      <x:c r="Q94" s="11" t="str"/>
      <x:c r="R94" s="8" t="str">
        <x:v>NOT RUN</x:v>
      </x:c>
      <x:c r="S94" s="11" t="str">
        <x:v>QA/UAT — cần điền URL/build</x:v>
      </x:c>
      <x:c r="T94" s="11" t="str">
        <x:v>Cần điền phiên bản thực</x:v>
      </x:c>
      <x:c r="U94" s="11" t="str"/>
      <x:c r="V94" s="12" t="str"/>
      <x:c r="W94" s="11" t="str"/>
      <x:c r="X94" s="11" t="str"/>
      <x:c r="Y94" s="3" t="str">
        <x:v>Nguồn: admin/src/components/cms/ResourceManager.tsx; backend/src/modules/cms/cms.routes.ts. </x:v>
      </x:c>
    </x:row>
    <x:row r="95" ht="49" customHeight="1">
      <x:c r="A95" s="3" t="n">
        <x:v>94</x:v>
      </x:c>
      <x:c r="B95" s="3" t="str">
        <x:v>TC_RESOURCE_016</x:v>
      </x:c>
      <x:c r="C95" s="3" t="str">
        <x:v>RESOURCE</x:v>
      </x:c>
      <x:c r="D95" s="3" t="str">
        <x:v>Quản lý tệp và danh mục</x:v>
      </x:c>
      <x:c r="E95" s="3" t="str">
        <x:v>Quản lý tệp và danh mục</x:v>
      </x:c>
      <x:c r="F95" s="3" t="str">
        <x:v>Positive — Lọc documentType</x:v>
      </x:c>
      <x:c r="G95" s="3" t="str">
        <x:v>Lọc documentType</x:v>
      </x:c>
      <x:c r="H95" s="3" t="str">
        <x:v>RES-001</x:v>
      </x:c>
      <x:c r="I95" s="3" t="str">
        <x:v>QTV có quyền tương ứng</x:v>
      </x:c>
      <x:c r="J95" s="3" t="str">
        <x:v>Positive</x:v>
      </x:c>
      <x:c r="K95" s="3" t="str">
        <x:v>Medium</x:v>
      </x:c>
      <x:c r="L95" s="3" t="str">
        <x:v>Medium</x:v>
      </x:c>
      <x:c r="M95" s="3" t="str">
        <x:v>Môi trường QA cô lập, DB/MinIO sẵn sàng; dữ liệu fixture đã tạo. Đăng nhập tài khoản ACTIVE, mustChangePassword=false.</x:v>
      </x:c>
      <x:c r="N95" s="3" t="str">
        <x:v>RESOURCE; VGG_DEMO_RESOURCES=false</x:v>
      </x:c>
      <x:c r="O95" s="3" t="str">
        <x:v>1. Chọn EXECUTION_DOCUMENT và NOTICE
2. Xem bảng</x:v>
      </x:c>
      <x:c r="P95" s="3" t="str">
        <x:v>Chỉ văn bản triển khai có documentType=NOTICE xuất hiện.</x:v>
      </x:c>
      <x:c r="Q95" s="11" t="str"/>
      <x:c r="R95" s="8" t="str">
        <x:v>NOT RUN</x:v>
      </x:c>
      <x:c r="S95" s="11" t="str">
        <x:v>QA/UAT — cần điền URL/build</x:v>
      </x:c>
      <x:c r="T95" s="11" t="str">
        <x:v>Cần điền phiên bản thực</x:v>
      </x:c>
      <x:c r="U95" s="11" t="str"/>
      <x:c r="V95" s="12" t="str"/>
      <x:c r="W95" s="11" t="str"/>
      <x:c r="X95" s="11" t="str"/>
      <x:c r="Y95" s="3" t="str">
        <x:v>Nguồn: admin/src/components/cms/ResourceManager.tsx; backend/src/modules/cms/cms.routes.ts. </x:v>
      </x:c>
    </x:row>
    <x:row r="96" ht="49" customHeight="1">
      <x:c r="A96" s="3" t="n">
        <x:v>95</x:v>
      </x:c>
      <x:c r="B96" s="3" t="str">
        <x:v>TC_RESOURCE_017</x:v>
      </x:c>
      <x:c r="C96" s="3" t="str">
        <x:v>RESOURCE</x:v>
      </x:c>
      <x:c r="D96" s="3" t="str">
        <x:v>Quản lý tệp và danh mục</x:v>
      </x:c>
      <x:c r="E96" s="3" t="str">
        <x:v>Quản lý tệp và danh mục</x:v>
      </x:c>
      <x:c r="F96" s="3" t="str">
        <x:v>Positive — Lọc ở trang cuối</x:v>
      </x:c>
      <x:c r="G96" s="3" t="str">
        <x:v>Lọc ở trang cuối</x:v>
      </x:c>
      <x:c r="H96" s="3" t="str">
        <x:v>RES-001</x:v>
      </x:c>
      <x:c r="I96" s="3" t="str">
        <x:v>QTV có quyền tương ứng</x:v>
      </x:c>
      <x:c r="J96" s="3" t="str">
        <x:v>Positive</x:v>
      </x:c>
      <x:c r="K96" s="3" t="str">
        <x:v>Medium</x:v>
      </x:c>
      <x:c r="L96" s="3" t="str">
        <x:v>Medium</x:v>
      </x:c>
      <x:c r="M96" s="3" t="str">
        <x:v>Môi trường QA cô lập, DB/MinIO sẵn sàng; dữ liệu fixture đã tạo. Đăng nhập tài khoản ACTIVE, mustChangePassword=false.</x:v>
      </x:c>
      <x:c r="N96" s="3" t="str">
        <x:v>RESOURCE; VGG_DEMO_RESOURCES=false</x:v>
      </x:c>
      <x:c r="O96" s="3" t="str">
        <x:v>1. Chuyển trang 2
2. Chọn điều kiện chỉ có 1 kết quả</x:v>
      </x:c>
      <x:c r="P96" s="3" t="str">
        <x:v>Hiển thị bản ghi phù hợp trên trang hợp lệ; không bị bảng rỗng do page cũ.</x:v>
      </x:c>
      <x:c r="Q96" s="11" t="str"/>
      <x:c r="R96" s="8" t="str">
        <x:v>NOT RUN</x:v>
      </x:c>
      <x:c r="S96" s="11" t="str">
        <x:v>QA/UAT — cần điền URL/build</x:v>
      </x:c>
      <x:c r="T96" s="11" t="str">
        <x:v>Cần điền phiên bản thực</x:v>
      </x:c>
      <x:c r="U96" s="11" t="str"/>
      <x:c r="V96" s="12" t="str"/>
      <x:c r="W96" s="11" t="str"/>
      <x:c r="X96" s="11" t="str"/>
      <x:c r="Y96" s="3" t="str">
        <x:v>Nguồn: admin/src/components/cms/ResourceManager.tsx; backend/src/modules/cms/cms.routes.ts. </x:v>
      </x:c>
    </x:row>
    <x:row r="97" ht="49" customHeight="1">
      <x:c r="A97" s="3" t="n">
        <x:v>96</x:v>
      </x:c>
      <x:c r="B97" s="3" t="str">
        <x:v>TC_RESOURCE_018</x:v>
      </x:c>
      <x:c r="C97" s="3" t="str">
        <x:v>RESOURCE</x:v>
      </x:c>
      <x:c r="D97" s="3" t="str">
        <x:v>Quản lý tệp và danh mục</x:v>
      </x:c>
      <x:c r="E97" s="3" t="str">
        <x:v>Quản lý tệp và danh mục</x:v>
      </x:c>
      <x:c r="F97" s="3" t="str">
        <x:v>Positive — Preview PDF desktop</x:v>
      </x:c>
      <x:c r="G97" s="3" t="str">
        <x:v>Preview PDF desktop</x:v>
      </x:c>
      <x:c r="H97" s="3" t="str">
        <x:v>PUB-004</x:v>
      </x:c>
      <x:c r="I97" s="3" t="str">
        <x:v>QTV có quyền tương ứng</x:v>
      </x:c>
      <x:c r="J97" s="3" t="str">
        <x:v>Positive</x:v>
      </x:c>
      <x:c r="K97" s="3" t="str">
        <x:v>Medium</x:v>
      </x:c>
      <x:c r="L97" s="3" t="str">
        <x:v>Medium</x:v>
      </x:c>
      <x:c r="M97" s="3" t="str">
        <x:v>Môi trường QA cô lập, DB/MinIO sẵn sàng; dữ liệu fixture đã tạo. Đăng nhập tài khoản ACTIVE, mustChangePassword=false.</x:v>
      </x:c>
      <x:c r="N97" s="3" t="str">
        <x:v>RESOURCE; VGG_DEMO_RESOURCES=false</x:v>
      </x:c>
      <x:c r="O97" s="3" t="str">
        <x:v>1. Mở /vi/resources ở 1280px
2. Chọn xem trước PDF</x:v>
      </x:c>
      <x:c r="P97" s="3" t="str">
        <x:v>Panel xem trước hiển thị đúng tài liệu và metadata; trang còn cuộn được.</x:v>
      </x:c>
      <x:c r="Q97" s="11" t="str"/>
      <x:c r="R97" s="8" t="str">
        <x:v>NOT RUN</x:v>
      </x:c>
      <x:c r="S97" s="11" t="str">
        <x:v>QA/UAT — cần điền URL/build</x:v>
      </x:c>
      <x:c r="T97" s="11" t="str">
        <x:v>Cần điền phiên bản thực</x:v>
      </x:c>
      <x:c r="U97" s="11" t="str"/>
      <x:c r="V97" s="12" t="str"/>
      <x:c r="W97" s="11" t="str"/>
      <x:c r="X97" s="11" t="str"/>
      <x:c r="Y97" s="3" t="str">
        <x:v>Nguồn: admin/src/components/cms/ResourceManager.tsx; backend/src/modules/cms/cms.routes.ts. </x:v>
      </x:c>
    </x:row>
    <x:row r="98" ht="49" customHeight="1">
      <x:c r="A98" s="3" t="n">
        <x:v>97</x:v>
      </x:c>
      <x:c r="B98" s="3" t="str">
        <x:v>TC_RESOURCE_019</x:v>
      </x:c>
      <x:c r="C98" s="3" t="str">
        <x:v>RESOURCE</x:v>
      </x:c>
      <x:c r="D98" s="3" t="str">
        <x:v>Quản lý tệp và danh mục</x:v>
      </x:c>
      <x:c r="E98" s="3" t="str">
        <x:v>Quản lý tệp và danh mục</x:v>
      </x:c>
      <x:c r="F98" s="3" t="str">
        <x:v>Positive — Preview mobile Escape</x:v>
      </x:c>
      <x:c r="G98" s="3" t="str">
        <x:v>Preview mobile Escape</x:v>
      </x:c>
      <x:c r="H98" s="3" t="str">
        <x:v>PUB-004</x:v>
      </x:c>
      <x:c r="I98" s="3" t="str">
        <x:v>QTV có quyền tương ứng</x:v>
      </x:c>
      <x:c r="J98" s="3" t="str">
        <x:v>Positive</x:v>
      </x:c>
      <x:c r="K98" s="3" t="str">
        <x:v>Medium</x:v>
      </x:c>
      <x:c r="L98" s="3" t="str">
        <x:v>Medium</x:v>
      </x:c>
      <x:c r="M98" s="3" t="str">
        <x:v>Môi trường QA cô lập, DB/MinIO sẵn sàng; dữ liệu fixture đã tạo. Đăng nhập tài khoản ACTIVE, mustChangePassword=false.</x:v>
      </x:c>
      <x:c r="N98" s="3" t="str">
        <x:v>RESOURCE; VGG_DEMO_RESOURCES=false</x:v>
      </x:c>
      <x:c r="O98" s="3" t="str">
        <x:v>1. Mở /vi/resources ở 390px
2. Mở preview rồi nhấn Escape</x:v>
      </x:c>
      <x:c r="P98" s="3" t="str">
        <x:v>Dialog đóng; body cuộn lại; focus về nút đã mở preview.</x:v>
      </x:c>
      <x:c r="Q98" s="11" t="str"/>
      <x:c r="R98" s="8" t="str">
        <x:v>NOT RUN</x:v>
      </x:c>
      <x:c r="S98" s="11" t="str">
        <x:v>QA/UAT — cần điền URL/build</x:v>
      </x:c>
      <x:c r="T98" s="11" t="str">
        <x:v>Cần điền phiên bản thực</x:v>
      </x:c>
      <x:c r="U98" s="11" t="str"/>
      <x:c r="V98" s="12" t="str"/>
      <x:c r="W98" s="11" t="str"/>
      <x:c r="X98" s="11" t="str"/>
      <x:c r="Y98" s="3" t="str">
        <x:v>Nguồn: admin/src/components/cms/ResourceManager.tsx; backend/src/modules/cms/cms.routes.ts. </x:v>
      </x:c>
    </x:row>
    <x:row r="99" ht="49" customHeight="1">
      <x:c r="A99" s="3" t="n">
        <x:v>98</x:v>
      </x:c>
      <x:c r="B99" s="3" t="str">
        <x:v>TC_RESOURCE_020</x:v>
      </x:c>
      <x:c r="C99" s="3" t="str">
        <x:v>RESOURCE</x:v>
      </x:c>
      <x:c r="D99" s="3" t="str">
        <x:v>Quản lý tệp và danh mục</x:v>
      </x:c>
      <x:c r="E99" s="3" t="str">
        <x:v>Quản lý tệp và danh mục</x:v>
      </x:c>
      <x:c r="F99" s="3" t="str">
        <x:v>Positive — Tải file tiếng Việt</x:v>
      </x:c>
      <x:c r="G99" s="3" t="str">
        <x:v>Tải file tiếng Việt</x:v>
      </x:c>
      <x:c r="H99" s="3" t="str">
        <x:v>PUB-004</x:v>
      </x:c>
      <x:c r="I99" s="3" t="str">
        <x:v>QTV có quyền tương ứng</x:v>
      </x:c>
      <x:c r="J99" s="3" t="str">
        <x:v>Positive</x:v>
      </x:c>
      <x:c r="K99" s="3" t="str">
        <x:v>Medium</x:v>
      </x:c>
      <x:c r="L99" s="3" t="str">
        <x:v>Medium</x:v>
      </x:c>
      <x:c r="M99" s="3" t="str">
        <x:v>Môi trường QA cô lập, DB/MinIO sẵn sàng; dữ liệu fixture đã tạo. Đăng nhập tài khoản ACTIVE, mustChangePassword=false.</x:v>
      </x:c>
      <x:c r="N99" s="3" t="str">
        <x:v>RESOURCE; VGG_DEMO_RESOURCES=false</x:v>
      </x:c>
      <x:c r="O99" s="3" t="str">
        <x:v>1. Chọn tài liệu có tên tiếng Việt
2. Nhấn tải xuống
3. So SHA256</x:v>
      </x:c>
      <x:c r="P99" s="3" t="str">
        <x:v>Response attachment, filename UTF-8; file tải không hỏng, hash khớp MinIO fixture.</x:v>
      </x:c>
      <x:c r="Q99" s="11" t="str"/>
      <x:c r="R99" s="8" t="str">
        <x:v>NOT RUN</x:v>
      </x:c>
      <x:c r="S99" s="11" t="str">
        <x:v>QA/UAT — cần điền URL/build</x:v>
      </x:c>
      <x:c r="T99" s="11" t="str">
        <x:v>Cần điền phiên bản thực</x:v>
      </x:c>
      <x:c r="U99" s="11" t="str"/>
      <x:c r="V99" s="12" t="str"/>
      <x:c r="W99" s="11" t="str"/>
      <x:c r="X99" s="11" t="str"/>
      <x:c r="Y99" s="3" t="str">
        <x:v>Nguồn: admin/src/components/cms/ResourceManager.tsx; backend/src/modules/cms/cms.routes.ts. </x:v>
      </x:c>
    </x:row>
    <x:row r="100" ht="49" customHeight="1">
      <x:c r="A100" s="3" t="n">
        <x:v>99</x:v>
      </x:c>
      <x:c r="B100" s="3" t="str">
        <x:v>TC_RESOURCE_021</x:v>
      </x:c>
      <x:c r="C100" s="3" t="str">
        <x:v>RESOURCE</x:v>
      </x:c>
      <x:c r="D100" s="3" t="str">
        <x:v>Quản lý tệp và danh mục</x:v>
      </x:c>
      <x:c r="E100" s="3" t="str">
        <x:v>Quản lý tệp và danh mục</x:v>
      </x:c>
      <x:c r="F100" s="3" t="str">
        <x:v>Positive — Tìm theo số văn bản</x:v>
      </x:c>
      <x:c r="G100" s="3" t="str">
        <x:v>Tìm theo số văn bản</x:v>
      </x:c>
      <x:c r="H100" s="3" t="str">
        <x:v>PUB-004</x:v>
      </x:c>
      <x:c r="I100" s="3" t="str">
        <x:v>QTV có quyền tương ứng</x:v>
      </x:c>
      <x:c r="J100" s="3" t="str">
        <x:v>Positive</x:v>
      </x:c>
      <x:c r="K100" s="3" t="str">
        <x:v>Medium</x:v>
      </x:c>
      <x:c r="L100" s="3" t="str">
        <x:v>Medium</x:v>
      </x:c>
      <x:c r="M100" s="3" t="str">
        <x:v>Môi trường QA cô lập, DB/MinIO sẵn sàng; dữ liệu fixture đã tạo. Đăng nhập tài khoản ACTIVE, mustChangePassword=false.</x:v>
      </x:c>
      <x:c r="N100" s="3" t="str">
        <x:v>RESOURCE; VGG_DEMO_RESOURCES=false</x:v>
      </x:c>
      <x:c r="O100" s="3" t="str">
        <x:v>1. Nhập documentNumber QA-01 vào tìm kiếm public
2. Nhấn tìm</x:v>
      </x:c>
      <x:c r="P100" s="3" t="str">
        <x:v>Chỉ kết quả chứa QA-01 trong các trường tìm kiếm xuất hiện.</x:v>
      </x:c>
      <x:c r="Q100" s="11" t="str"/>
      <x:c r="R100" s="8" t="str">
        <x:v>NOT RUN</x:v>
      </x:c>
      <x:c r="S100" s="11" t="str">
        <x:v>QA/UAT — cần điền URL/build</x:v>
      </x:c>
      <x:c r="T100" s="11" t="str">
        <x:v>Cần điền phiên bản thực</x:v>
      </x:c>
      <x:c r="U100" s="11" t="str"/>
      <x:c r="V100" s="12" t="str"/>
      <x:c r="W100" s="11" t="str"/>
      <x:c r="X100" s="11" t="str"/>
      <x:c r="Y100" s="3" t="str">
        <x:v>Nguồn: admin/src/components/cms/ResourceManager.tsx; backend/src/modules/cms/cms.routes.ts. </x:v>
      </x:c>
    </x:row>
    <x:row r="101" ht="49" customHeight="1">
      <x:c r="A101" s="3" t="n">
        <x:v>100</x:v>
      </x:c>
      <x:c r="B101" s="3" t="str">
        <x:v>TC_RESOURCE_022</x:v>
      </x:c>
      <x:c r="C101" s="3" t="str">
        <x:v>RESOURCE</x:v>
      </x:c>
      <x:c r="D101" s="3" t="str">
        <x:v>Quản lý tệp và danh mục</x:v>
      </x:c>
      <x:c r="E101" s="3" t="str">
        <x:v>Quản lý tệp và danh mục</x:v>
      </x:c>
      <x:c r="F101" s="3" t="str">
        <x:v>Positive — Không có kết quả</x:v>
      </x:c>
      <x:c r="G101" s="3" t="str">
        <x:v>Không có kết quả</x:v>
      </x:c>
      <x:c r="H101" s="3" t="str">
        <x:v>PUB-004</x:v>
      </x:c>
      <x:c r="I101" s="3" t="str">
        <x:v>QTV có quyền tương ứng</x:v>
      </x:c>
      <x:c r="J101" s="3" t="str">
        <x:v>Positive</x:v>
      </x:c>
      <x:c r="K101" s="3" t="str">
        <x:v>Medium</x:v>
      </x:c>
      <x:c r="L101" s="3" t="str">
        <x:v>Medium</x:v>
      </x:c>
      <x:c r="M101" s="3" t="str">
        <x:v>Môi trường QA cô lập, DB/MinIO sẵn sàng; dữ liệu fixture đã tạo. Đăng nhập tài khoản ACTIVE, mustChangePassword=false.</x:v>
      </x:c>
      <x:c r="N101" s="3" t="str">
        <x:v>RESOURCE; VGG_DEMO_RESOURCES=false</x:v>
      </x:c>
      <x:c r="O101" s="3" t="str">
        <x:v>1. Tìm chuỗi qa-no-result-9988
2. Gửi tìm kiếm</x:v>
      </x:c>
      <x:c r="P101" s="3" t="str">
        <x:v>Trạng thái rỗng; không giữ kết quả cũ; không có trang kế tiếp giả.</x:v>
      </x:c>
      <x:c r="Q101" s="11" t="str"/>
      <x:c r="R101" s="8" t="str">
        <x:v>NOT RUN</x:v>
      </x:c>
      <x:c r="S101" s="11" t="str">
        <x:v>QA/UAT — cần điền URL/build</x:v>
      </x:c>
      <x:c r="T101" s="11" t="str">
        <x:v>Cần điền phiên bản thực</x:v>
      </x:c>
      <x:c r="U101" s="11" t="str"/>
      <x:c r="V101" s="12" t="str"/>
      <x:c r="W101" s="11" t="str"/>
      <x:c r="X101" s="11" t="str"/>
      <x:c r="Y101" s="3" t="str">
        <x:v>Nguồn: admin/src/components/cms/ResourceManager.tsx; backend/src/modules/cms/cms.routes.ts. </x:v>
      </x:c>
    </x:row>
    <x:row r="102" ht="49" customHeight="1">
      <x:c r="A102" s="3" t="n">
        <x:v>101</x:v>
      </x:c>
      <x:c r="B102" s="3" t="str">
        <x:v>TC_RESOURCE_023</x:v>
      </x:c>
      <x:c r="C102" s="3" t="str">
        <x:v>RESOURCE</x:v>
      </x:c>
      <x:c r="D102" s="3" t="str">
        <x:v>Quản lý tệp và danh mục</x:v>
      </x:c>
      <x:c r="E102" s="3" t="str">
        <x:v>Quản lý tệp và danh mục</x:v>
      </x:c>
      <x:c r="F102" s="3" t="str">
        <x:v>Positive — Upload kéo thả</x:v>
      </x:c>
      <x:c r="G102" s="3" t="str">
        <x:v>Upload kéo thả</x:v>
      </x:c>
      <x:c r="H102" s="3" t="str">
        <x:v>RES-001</x:v>
      </x:c>
      <x:c r="I102" s="3" t="str">
        <x:v>QTV có quyền tương ứng</x:v>
      </x:c>
      <x:c r="J102" s="3" t="str">
        <x:v>Positive</x:v>
      </x:c>
      <x:c r="K102" s="3" t="str">
        <x:v>Medium</x:v>
      </x:c>
      <x:c r="L102" s="3" t="str">
        <x:v>Medium</x:v>
      </x:c>
      <x:c r="M102" s="3" t="str">
        <x:v>Môi trường QA cô lập, DB/MinIO sẵn sàng; dữ liệu fixture đã tạo. Đăng nhập tài khoản ACTIVE, mustChangePassword=false.</x:v>
      </x:c>
      <x:c r="N102" s="3" t="str">
        <x:v>RESOURCE; VGG_DEMO_RESOURCES=false</x:v>
      </x:c>
      <x:c r="O102" s="3" t="str">
        <x:v>1. Kéo PDF hợp lệ vào vùng tải trong drawer
2. Chờ xong rồi lưu</x:v>
      </x:c>
      <x:c r="P102" s="3" t="str">
        <x:v>File được upload một lần; metadata nhận đúng tên, MIME và dung lượng.</x:v>
      </x:c>
      <x:c r="Q102" s="11" t="str"/>
      <x:c r="R102" s="8" t="str">
        <x:v>NOT RUN</x:v>
      </x:c>
      <x:c r="S102" s="11" t="str">
        <x:v>QA/UAT — cần điền URL/build</x:v>
      </x:c>
      <x:c r="T102" s="11" t="str">
        <x:v>Cần điền phiên bản thực</x:v>
      </x:c>
      <x:c r="U102" s="11" t="str"/>
      <x:c r="V102" s="12" t="str"/>
      <x:c r="W102" s="11" t="str"/>
      <x:c r="X102" s="11" t="str"/>
      <x:c r="Y102" s="3" t="str">
        <x:v>Nguồn: admin/src/components/cms/ResourceManager.tsx; backend/src/modules/cms/cms.routes.ts. </x:v>
      </x:c>
    </x:row>
    <x:row r="103" ht="62" customHeight="1">
      <x:c r="A103" s="3" t="n">
        <x:v>102</x:v>
      </x:c>
      <x:c r="B103" s="3" t="str">
        <x:v>TC_CONSULT_001</x:v>
      </x:c>
      <x:c r="C103" s="3" t="str">
        <x:v>CONSULT</x:v>
      </x:c>
      <x:c r="D103" s="3" t="str">
        <x:v>Form dùng chung</x:v>
      </x:c>
      <x:c r="E103" s="3" t="str">
        <x:v>Form dùng chung</x:v>
      </x:c>
      <x:c r="F103" s="3" t="str">
        <x:v>Positive — Gửi tư vấn từ /vi</x:v>
      </x:c>
      <x:c r="G103" s="3" t="str">
        <x:v>Gửi tư vấn từ /vi</x:v>
      </x:c>
      <x:c r="H103" s="3" t="str">
        <x:v>CON-001</x:v>
      </x:c>
      <x:c r="I103" s="3" t="str">
        <x:v>Khách truy cập</x:v>
      </x:c>
      <x:c r="J103" s="3" t="str">
        <x:v>Positive</x:v>
      </x:c>
      <x:c r="K103" s="3" t="str">
        <x:v>High</x:v>
      </x:c>
      <x:c r="L103" s="3" t="str">
        <x:v>High</x:v>
      </x:c>
      <x:c r="M103" s="3" t="str">
        <x:v>Môi trường QA cô lập, DB/MinIO sẵn sàng; dữ liệu fixture đã tạo. Không đăng nhập.</x:v>
      </x:c>
      <x:c r="N103" s="3" t="str">
        <x:v>CONSULT: name=Nguyễn QA, phone=0900000001, email=qa+case@example.test, programme=Quản trị kinh doanh, consent=yes, website="". Dùng email riêng mỗi case.</x:v>
      </x:c>
      <x:c r="O103" s="3" t="str">
        <x:v>1. Mở /vi và tìm form tư vấn
2. Nhập CONSULT và chọn chương trình có trong danh sách
3. Nhấn gửi
4. Đối chiếu admin consultations và DB</x:v>
      </x:c>
      <x:c r="P103" s="3" t="str">
        <x:v>Proxy trả 201 với message; form reset và thông báo thành công; DB tạo NEW, fullName/phone/email/programme khớp; history created và audit CONSULTATION_CREATED.</x:v>
      </x:c>
      <x:c r="Q103" s="11" t="str"/>
      <x:c r="R103" s="8" t="str">
        <x:v>NOT RUN</x:v>
      </x:c>
      <x:c r="S103" s="11" t="str">
        <x:v>QA/UAT — cần điền URL/build</x:v>
      </x:c>
      <x:c r="T103" s="11" t="str">
        <x:v>Cần điền phiên bản thực</x:v>
      </x:c>
      <x:c r="U103" s="11" t="str"/>
      <x:c r="V103" s="12" t="str"/>
      <x:c r="W103" s="11" t="str"/>
      <x:c r="X103" s="11" t="str"/>
      <x:c r="Y103" s="3" t="str">
        <x:v>Nguồn: frontend/src/features/home/components/ResourcesConsultation.tsx; backend/src/modules/consultations/consultations.routes.ts. </x:v>
      </x:c>
    </x:row>
    <x:row r="104" ht="62" customHeight="1">
      <x:c r="A104" s="3" t="n">
        <x:v>103</x:v>
      </x:c>
      <x:c r="B104" s="3" t="str">
        <x:v>TC_CONSULT_002</x:v>
      </x:c>
      <x:c r="C104" s="3" t="str">
        <x:v>CONSULT</x:v>
      </x:c>
      <x:c r="D104" s="3" t="str">
        <x:v>Form dùng chung</x:v>
      </x:c>
      <x:c r="E104" s="3" t="str">
        <x:v>Form dùng chung</x:v>
      </x:c>
      <x:c r="F104" s="3" t="str">
        <x:v>Positive — Gửi tư vấn từ /vi/discover</x:v>
      </x:c>
      <x:c r="G104" s="3" t="str">
        <x:v>Gửi tư vấn từ /vi/discover</x:v>
      </x:c>
      <x:c r="H104" s="3" t="str">
        <x:v>CON-001</x:v>
      </x:c>
      <x:c r="I104" s="3" t="str">
        <x:v>Khách truy cập</x:v>
      </x:c>
      <x:c r="J104" s="3" t="str">
        <x:v>Positive</x:v>
      </x:c>
      <x:c r="K104" s="3" t="str">
        <x:v>High</x:v>
      </x:c>
      <x:c r="L104" s="3" t="str">
        <x:v>High</x:v>
      </x:c>
      <x:c r="M104" s="3" t="str">
        <x:v>Môi trường QA cô lập, DB/MinIO sẵn sàng; dữ liệu fixture đã tạo. Không đăng nhập.</x:v>
      </x:c>
      <x:c r="N104" s="3" t="str">
        <x:v>CONSULT: name=Nguyễn QA, phone=0900000001, email=qa+case@example.test, programme=Quản trị kinh doanh, consent=yes, website="". Dùng email riêng mỗi case.</x:v>
      </x:c>
      <x:c r="O104" s="3" t="str">
        <x:v>1. Mở /vi/discover và tìm form tư vấn
2. Nhập CONSULT và chọn chương trình có trong danh sách
3. Nhấn gửi
4. Đối chiếu admin consultations và DB</x:v>
      </x:c>
      <x:c r="P104" s="3" t="str">
        <x:v>Proxy trả 201 với message; form reset và thông báo thành công; DB tạo NEW, fullName/phone/email/programme khớp; history created và audit CONSULTATION_CREATED.</x:v>
      </x:c>
      <x:c r="Q104" s="11" t="str"/>
      <x:c r="R104" s="8" t="str">
        <x:v>NOT RUN</x:v>
      </x:c>
      <x:c r="S104" s="11" t="str">
        <x:v>QA/UAT — cần điền URL/build</x:v>
      </x:c>
      <x:c r="T104" s="11" t="str">
        <x:v>Cần điền phiên bản thực</x:v>
      </x:c>
      <x:c r="U104" s="11" t="str"/>
      <x:c r="V104" s="12" t="str"/>
      <x:c r="W104" s="11" t="str"/>
      <x:c r="X104" s="11" t="str"/>
      <x:c r="Y104" s="3" t="str">
        <x:v>Nguồn: frontend/src/features/home/components/ResourcesConsultation.tsx; backend/src/modules/consultations/consultations.routes.ts. </x:v>
      </x:c>
    </x:row>
    <x:row r="105" ht="62" customHeight="1">
      <x:c r="A105" s="3" t="n">
        <x:v>104</x:v>
      </x:c>
      <x:c r="B105" s="3" t="str">
        <x:v>TC_CONSULT_003</x:v>
      </x:c>
      <x:c r="C105" s="3" t="str">
        <x:v>CONSULT</x:v>
      </x:c>
      <x:c r="D105" s="3" t="str">
        <x:v>Form dùng chung</x:v>
      </x:c>
      <x:c r="E105" s="3" t="str">
        <x:v>Form dùng chung</x:v>
      </x:c>
      <x:c r="F105" s="3" t="str">
        <x:v>Positive — Gửi tư vấn từ /vi/programmes</x:v>
      </x:c>
      <x:c r="G105" s="3" t="str">
        <x:v>Gửi tư vấn từ /vi/programmes</x:v>
      </x:c>
      <x:c r="H105" s="3" t="str">
        <x:v>CON-001</x:v>
      </x:c>
      <x:c r="I105" s="3" t="str">
        <x:v>Khách truy cập</x:v>
      </x:c>
      <x:c r="J105" s="3" t="str">
        <x:v>Positive</x:v>
      </x:c>
      <x:c r="K105" s="3" t="str">
        <x:v>High</x:v>
      </x:c>
      <x:c r="L105" s="3" t="str">
        <x:v>High</x:v>
      </x:c>
      <x:c r="M105" s="3" t="str">
        <x:v>Môi trường QA cô lập, DB/MinIO sẵn sàng; dữ liệu fixture đã tạo. Không đăng nhập.</x:v>
      </x:c>
      <x:c r="N105" s="3" t="str">
        <x:v>CONSULT: name=Nguyễn QA, phone=0900000001, email=qa+case@example.test, programme=Quản trị kinh doanh, consent=yes, website="". Dùng email riêng mỗi case.</x:v>
      </x:c>
      <x:c r="O105" s="3" t="str">
        <x:v>1. Mở /vi/programmes và tìm form tư vấn
2. Nhập CONSULT và chọn chương trình có trong danh sách
3. Nhấn gửi
4. Đối chiếu admin consultations và DB</x:v>
      </x:c>
      <x:c r="P105" s="3" t="str">
        <x:v>Proxy trả 201 với message; form reset và thông báo thành công; DB tạo NEW, fullName/phone/email/programme khớp; history created và audit CONSULTATION_CREATED.</x:v>
      </x:c>
      <x:c r="Q105" s="11" t="str"/>
      <x:c r="R105" s="8" t="str">
        <x:v>NOT RUN</x:v>
      </x:c>
      <x:c r="S105" s="11" t="str">
        <x:v>QA/UAT — cần điền URL/build</x:v>
      </x:c>
      <x:c r="T105" s="11" t="str">
        <x:v>Cần điền phiên bản thực</x:v>
      </x:c>
      <x:c r="U105" s="11" t="str"/>
      <x:c r="V105" s="12" t="str"/>
      <x:c r="W105" s="11" t="str"/>
      <x:c r="X105" s="11" t="str"/>
      <x:c r="Y105" s="3" t="str">
        <x:v>Nguồn: frontend/src/features/home/components/ResourcesConsultation.tsx; backend/src/modules/consultations/consultations.routes.ts. </x:v>
      </x:c>
    </x:row>
    <x:row r="106" ht="62" customHeight="1">
      <x:c r="A106" s="3" t="n">
        <x:v>105</x:v>
      </x:c>
      <x:c r="B106" s="3" t="str">
        <x:v>TC_CONSULT_004</x:v>
      </x:c>
      <x:c r="C106" s="3" t="str">
        <x:v>CONSULT</x:v>
      </x:c>
      <x:c r="D106" s="3" t="str">
        <x:v>Form dùng chung</x:v>
      </x:c>
      <x:c r="E106" s="3" t="str">
        <x:v>Form dùng chung</x:v>
      </x:c>
      <x:c r="F106" s="3" t="str">
        <x:v>Positive — Gửi tư vấn từ /vi/admissions</x:v>
      </x:c>
      <x:c r="G106" s="3" t="str">
        <x:v>Gửi tư vấn từ /vi/admissions</x:v>
      </x:c>
      <x:c r="H106" s="3" t="str">
        <x:v>CON-001</x:v>
      </x:c>
      <x:c r="I106" s="3" t="str">
        <x:v>Khách truy cập</x:v>
      </x:c>
      <x:c r="J106" s="3" t="str">
        <x:v>Positive</x:v>
      </x:c>
      <x:c r="K106" s="3" t="str">
        <x:v>High</x:v>
      </x:c>
      <x:c r="L106" s="3" t="str">
        <x:v>High</x:v>
      </x:c>
      <x:c r="M106" s="3" t="str">
        <x:v>Môi trường QA cô lập, DB/MinIO sẵn sàng; dữ liệu fixture đã tạo. Không đăng nhập.</x:v>
      </x:c>
      <x:c r="N106" s="3" t="str">
        <x:v>CONSULT: name=Nguyễn QA, phone=0900000001, email=qa+case@example.test, programme=Quản trị kinh doanh, consent=yes, website="". Dùng email riêng mỗi case.</x:v>
      </x:c>
      <x:c r="O106" s="3" t="str">
        <x:v>1. Mở /vi/admissions và tìm form tư vấn
2. Nhập CONSULT và chọn chương trình có trong danh sách
3. Nhấn gửi
4. Đối chiếu admin consultations và DB</x:v>
      </x:c>
      <x:c r="P106" s="3" t="str">
        <x:v>Proxy trả 201 với message; form reset và thông báo thành công; DB tạo NEW, fullName/phone/email/programme khớp; history created và audit CONSULTATION_CREATED.</x:v>
      </x:c>
      <x:c r="Q106" s="11" t="str"/>
      <x:c r="R106" s="8" t="str">
        <x:v>NOT RUN</x:v>
      </x:c>
      <x:c r="S106" s="11" t="str">
        <x:v>QA/UAT — cần điền URL/build</x:v>
      </x:c>
      <x:c r="T106" s="11" t="str">
        <x:v>Cần điền phiên bản thực</x:v>
      </x:c>
      <x:c r="U106" s="11" t="str"/>
      <x:c r="V106" s="12" t="str"/>
      <x:c r="W106" s="11" t="str"/>
      <x:c r="X106" s="11" t="str"/>
      <x:c r="Y106" s="3" t="str">
        <x:v>Nguồn: frontend/src/features/home/components/ResourcesConsultation.tsx; backend/src/modules/consultations/consultations.routes.ts. </x:v>
      </x:c>
    </x:row>
    <x:row r="107" ht="62" customHeight="1">
      <x:c r="A107" s="3" t="n">
        <x:v>106</x:v>
      </x:c>
      <x:c r="B107" s="3" t="str">
        <x:v>TC_CONSULT_005</x:v>
      </x:c>
      <x:c r="C107" s="3" t="str">
        <x:v>CONSULT</x:v>
      </x:c>
      <x:c r="D107" s="3" t="str">
        <x:v>Form dùng chung</x:v>
      </x:c>
      <x:c r="E107" s="3" t="str">
        <x:v>Form dùng chung</x:v>
      </x:c>
      <x:c r="F107" s="3" t="str">
        <x:v>Positive — Gửi tư vấn từ /vi/research</x:v>
      </x:c>
      <x:c r="G107" s="3" t="str">
        <x:v>Gửi tư vấn từ /vi/research</x:v>
      </x:c>
      <x:c r="H107" s="3" t="str">
        <x:v>CON-001</x:v>
      </x:c>
      <x:c r="I107" s="3" t="str">
        <x:v>Khách truy cập</x:v>
      </x:c>
      <x:c r="J107" s="3" t="str">
        <x:v>Positive</x:v>
      </x:c>
      <x:c r="K107" s="3" t="str">
        <x:v>High</x:v>
      </x:c>
      <x:c r="L107" s="3" t="str">
        <x:v>High</x:v>
      </x:c>
      <x:c r="M107" s="3" t="str">
        <x:v>Môi trường QA cô lập, DB/MinIO sẵn sàng; dữ liệu fixture đã tạo. Không đăng nhập.</x:v>
      </x:c>
      <x:c r="N107" s="3" t="str">
        <x:v>CONSULT: name=Nguyễn QA, phone=0900000001, email=qa+case@example.test, programme=Quản trị kinh doanh, consent=yes, website="". Dùng email riêng mỗi case.</x:v>
      </x:c>
      <x:c r="O107" s="3" t="str">
        <x:v>1. Mở /vi/research và tìm form tư vấn
2. Nhập CONSULT và chọn chương trình có trong danh sách
3. Nhấn gửi
4. Đối chiếu admin consultations và DB</x:v>
      </x:c>
      <x:c r="P107" s="3" t="str">
        <x:v>Proxy trả 201 với message; form reset và thông báo thành công; DB tạo NEW, fullName/phone/email/programme khớp; history created và audit CONSULTATION_CREATED.</x:v>
      </x:c>
      <x:c r="Q107" s="11" t="str"/>
      <x:c r="R107" s="8" t="str">
        <x:v>NOT RUN</x:v>
      </x:c>
      <x:c r="S107" s="11" t="str">
        <x:v>QA/UAT — cần điền URL/build</x:v>
      </x:c>
      <x:c r="T107" s="11" t="str">
        <x:v>Cần điền phiên bản thực</x:v>
      </x:c>
      <x:c r="U107" s="11" t="str"/>
      <x:c r="V107" s="12" t="str"/>
      <x:c r="W107" s="11" t="str"/>
      <x:c r="X107" s="11" t="str"/>
      <x:c r="Y107" s="3" t="str">
        <x:v>Nguồn: frontend/src/features/home/components/ResourcesConsultation.tsx; backend/src/modules/consultations/consultations.routes.ts. </x:v>
      </x:c>
    </x:row>
    <x:row r="108" ht="62" customHeight="1">
      <x:c r="A108" s="3" t="n">
        <x:v>107</x:v>
      </x:c>
      <x:c r="B108" s="3" t="str">
        <x:v>TC_CONSULT_006</x:v>
      </x:c>
      <x:c r="C108" s="3" t="str">
        <x:v>CONSULT</x:v>
      </x:c>
      <x:c r="D108" s="3" t="str">
        <x:v>Form dùng chung</x:v>
      </x:c>
      <x:c r="E108" s="3" t="str">
        <x:v>Form dùng chung</x:v>
      </x:c>
      <x:c r="F108" s="3" t="str">
        <x:v>Positive — Gửi tư vấn từ /vi/resources</x:v>
      </x:c>
      <x:c r="G108" s="3" t="str">
        <x:v>Gửi tư vấn từ /vi/resources</x:v>
      </x:c>
      <x:c r="H108" s="3" t="str">
        <x:v>CON-001</x:v>
      </x:c>
      <x:c r="I108" s="3" t="str">
        <x:v>Khách truy cập</x:v>
      </x:c>
      <x:c r="J108" s="3" t="str">
        <x:v>Positive</x:v>
      </x:c>
      <x:c r="K108" s="3" t="str">
        <x:v>High</x:v>
      </x:c>
      <x:c r="L108" s="3" t="str">
        <x:v>High</x:v>
      </x:c>
      <x:c r="M108" s="3" t="str">
        <x:v>Môi trường QA cô lập, DB/MinIO sẵn sàng; dữ liệu fixture đã tạo. Không đăng nhập.</x:v>
      </x:c>
      <x:c r="N108" s="3" t="str">
        <x:v>CONSULT: name=Nguyễn QA, phone=0900000001, email=qa+case@example.test, programme=Quản trị kinh doanh, consent=yes, website="". Dùng email riêng mỗi case.</x:v>
      </x:c>
      <x:c r="O108" s="3" t="str">
        <x:v>1. Mở /vi/resources và tìm form tư vấn
2. Nhập CONSULT và chọn chương trình có trong danh sách
3. Nhấn gửi
4. Đối chiếu admin consultations và DB</x:v>
      </x:c>
      <x:c r="P108" s="3" t="str">
        <x:v>Proxy trả 201 với message; form reset và thông báo thành công; DB tạo NEW, fullName/phone/email/programme khớp; history created và audit CONSULTATION_CREATED.</x:v>
      </x:c>
      <x:c r="Q108" s="11" t="str"/>
      <x:c r="R108" s="8" t="str">
        <x:v>NOT RUN</x:v>
      </x:c>
      <x:c r="S108" s="11" t="str">
        <x:v>QA/UAT — cần điền URL/build</x:v>
      </x:c>
      <x:c r="T108" s="11" t="str">
        <x:v>Cần điền phiên bản thực</x:v>
      </x:c>
      <x:c r="U108" s="11" t="str"/>
      <x:c r="V108" s="12" t="str"/>
      <x:c r="W108" s="11" t="str"/>
      <x:c r="X108" s="11" t="str"/>
      <x:c r="Y108" s="3" t="str">
        <x:v>Nguồn: frontend/src/features/home/components/ResourcesConsultation.tsx; backend/src/modules/consultations/consultations.routes.ts. </x:v>
      </x:c>
    </x:row>
    <x:row r="109" ht="49" customHeight="1">
      <x:c r="A109" s="3" t="n">
        <x:v>108</x:v>
      </x:c>
      <x:c r="B109" s="3" t="str">
        <x:v>TC_CONSULT_007</x:v>
      </x:c>
      <x:c r="C109" s="3" t="str">
        <x:v>CONSULT</x:v>
      </x:c>
      <x:c r="D109" s="3" t="str">
        <x:v>Required UI</x:v>
      </x:c>
      <x:c r="E109" s="3" t="str">
        <x:v>Required UI</x:v>
      </x:c>
      <x:c r="F109" s="3" t="str">
        <x:v>Negative — Bỏ trống name</x:v>
      </x:c>
      <x:c r="G109" s="3" t="str">
        <x:v>Bỏ trống name</x:v>
      </x:c>
      <x:c r="H109" s="3" t="str">
        <x:v>CON-001</x:v>
      </x:c>
      <x:c r="I109" s="3" t="str">
        <x:v>Khách truy cập</x:v>
      </x:c>
      <x:c r="J109" s="3" t="str">
        <x:v>Negative</x:v>
      </x:c>
      <x:c r="K109" s="3" t="str">
        <x:v>High</x:v>
      </x:c>
      <x:c r="L109" s="3" t="str">
        <x:v>High</x:v>
      </x:c>
      <x:c r="M109" s="3" t="str">
        <x:v>Môi trường QA cô lập, DB/MinIO sẵn sàng; dữ liệu fixture đã tạo. Không đăng nhập.</x:v>
      </x:c>
      <x:c r="N109" s="3" t="str">
        <x:v>Dữ liệu QA tổng hợp; xem fixture trong README.</x:v>
      </x:c>
      <x:c r="O109" s="3" t="str">
        <x:v>1. Mở form tư vấn
2. Điền CONSULT nhưng để trống name
3. Nhấn gửi</x:v>
      </x:c>
      <x:c r="P109" s="3" t="str">
        <x:v>Browser/form chỉ ra trường bắt buộc; không gửi POST khi native validation chặn; không tạo lead.</x:v>
      </x:c>
      <x:c r="Q109" s="11" t="str"/>
      <x:c r="R109" s="8" t="str">
        <x:v>NOT RUN</x:v>
      </x:c>
      <x:c r="S109" s="11" t="str">
        <x:v>QA/UAT — cần điền URL/build</x:v>
      </x:c>
      <x:c r="T109" s="11" t="str">
        <x:v>Cần điền phiên bản thực</x:v>
      </x:c>
      <x:c r="U109" s="11" t="str"/>
      <x:c r="V109" s="12" t="str"/>
      <x:c r="W109" s="11" t="str"/>
      <x:c r="X109" s="11" t="str"/>
      <x:c r="Y109" s="3" t="str">
        <x:v>Nguồn: frontend/src/features/home/components/ResourcesConsultation.tsx. </x:v>
      </x:c>
    </x:row>
    <x:row r="110" ht="49" customHeight="1">
      <x:c r="A110" s="3" t="n">
        <x:v>109</x:v>
      </x:c>
      <x:c r="B110" s="3" t="str">
        <x:v>TC_CONSULT_008</x:v>
      </x:c>
      <x:c r="C110" s="3" t="str">
        <x:v>CONSULT</x:v>
      </x:c>
      <x:c r="D110" s="3" t="str">
        <x:v>Required UI</x:v>
      </x:c>
      <x:c r="E110" s="3" t="str">
        <x:v>Required UI</x:v>
      </x:c>
      <x:c r="F110" s="3" t="str">
        <x:v>Negative — Bỏ trống phone</x:v>
      </x:c>
      <x:c r="G110" s="3" t="str">
        <x:v>Bỏ trống phone</x:v>
      </x:c>
      <x:c r="H110" s="3" t="str">
        <x:v>CON-001</x:v>
      </x:c>
      <x:c r="I110" s="3" t="str">
        <x:v>Khách truy cập</x:v>
      </x:c>
      <x:c r="J110" s="3" t="str">
        <x:v>Negative</x:v>
      </x:c>
      <x:c r="K110" s="3" t="str">
        <x:v>High</x:v>
      </x:c>
      <x:c r="L110" s="3" t="str">
        <x:v>High</x:v>
      </x:c>
      <x:c r="M110" s="3" t="str">
        <x:v>Môi trường QA cô lập, DB/MinIO sẵn sàng; dữ liệu fixture đã tạo. Không đăng nhập.</x:v>
      </x:c>
      <x:c r="N110" s="3" t="str">
        <x:v>Dữ liệu QA tổng hợp; xem fixture trong README.</x:v>
      </x:c>
      <x:c r="O110" s="3" t="str">
        <x:v>1. Mở form tư vấn
2. Điền CONSULT nhưng để trống phone
3. Nhấn gửi</x:v>
      </x:c>
      <x:c r="P110" s="3" t="str">
        <x:v>Browser/form chỉ ra trường bắt buộc; không gửi POST khi native validation chặn; không tạo lead.</x:v>
      </x:c>
      <x:c r="Q110" s="11" t="str"/>
      <x:c r="R110" s="8" t="str">
        <x:v>NOT RUN</x:v>
      </x:c>
      <x:c r="S110" s="11" t="str">
        <x:v>QA/UAT — cần điền URL/build</x:v>
      </x:c>
      <x:c r="T110" s="11" t="str">
        <x:v>Cần điền phiên bản thực</x:v>
      </x:c>
      <x:c r="U110" s="11" t="str"/>
      <x:c r="V110" s="12" t="str"/>
      <x:c r="W110" s="11" t="str"/>
      <x:c r="X110" s="11" t="str"/>
      <x:c r="Y110" s="3" t="str">
        <x:v>Nguồn: frontend/src/features/home/components/ResourcesConsultation.tsx. </x:v>
      </x:c>
    </x:row>
    <x:row r="111" ht="49" customHeight="1">
      <x:c r="A111" s="3" t="n">
        <x:v>110</x:v>
      </x:c>
      <x:c r="B111" s="3" t="str">
        <x:v>TC_CONSULT_009</x:v>
      </x:c>
      <x:c r="C111" s="3" t="str">
        <x:v>CONSULT</x:v>
      </x:c>
      <x:c r="D111" s="3" t="str">
        <x:v>Required UI</x:v>
      </x:c>
      <x:c r="E111" s="3" t="str">
        <x:v>Required UI</x:v>
      </x:c>
      <x:c r="F111" s="3" t="str">
        <x:v>Negative — Bỏ trống email</x:v>
      </x:c>
      <x:c r="G111" s="3" t="str">
        <x:v>Bỏ trống email</x:v>
      </x:c>
      <x:c r="H111" s="3" t="str">
        <x:v>CON-001</x:v>
      </x:c>
      <x:c r="I111" s="3" t="str">
        <x:v>Khách truy cập</x:v>
      </x:c>
      <x:c r="J111" s="3" t="str">
        <x:v>Negative</x:v>
      </x:c>
      <x:c r="K111" s="3" t="str">
        <x:v>High</x:v>
      </x:c>
      <x:c r="L111" s="3" t="str">
        <x:v>High</x:v>
      </x:c>
      <x:c r="M111" s="3" t="str">
        <x:v>Môi trường QA cô lập, DB/MinIO sẵn sàng; dữ liệu fixture đã tạo. Không đăng nhập.</x:v>
      </x:c>
      <x:c r="N111" s="3" t="str">
        <x:v>Dữ liệu QA tổng hợp; xem fixture trong README.</x:v>
      </x:c>
      <x:c r="O111" s="3" t="str">
        <x:v>1. Mở form tư vấn
2. Điền CONSULT nhưng để trống email
3. Nhấn gửi</x:v>
      </x:c>
      <x:c r="P111" s="3" t="str">
        <x:v>Browser/form chỉ ra trường bắt buộc; không gửi POST khi native validation chặn; không tạo lead.</x:v>
      </x:c>
      <x:c r="Q111" s="11" t="str"/>
      <x:c r="R111" s="8" t="str">
        <x:v>NOT RUN</x:v>
      </x:c>
      <x:c r="S111" s="11" t="str">
        <x:v>QA/UAT — cần điền URL/build</x:v>
      </x:c>
      <x:c r="T111" s="11" t="str">
        <x:v>Cần điền phiên bản thực</x:v>
      </x:c>
      <x:c r="U111" s="11" t="str"/>
      <x:c r="V111" s="12" t="str"/>
      <x:c r="W111" s="11" t="str"/>
      <x:c r="X111" s="11" t="str"/>
      <x:c r="Y111" s="3" t="str">
        <x:v>Nguồn: frontend/src/features/home/components/ResourcesConsultation.tsx. </x:v>
      </x:c>
    </x:row>
    <x:row r="112" ht="49" customHeight="1">
      <x:c r="A112" s="3" t="n">
        <x:v>111</x:v>
      </x:c>
      <x:c r="B112" s="3" t="str">
        <x:v>TC_CONSULT_010</x:v>
      </x:c>
      <x:c r="C112" s="3" t="str">
        <x:v>CONSULT</x:v>
      </x:c>
      <x:c r="D112" s="3" t="str">
        <x:v>Required UI</x:v>
      </x:c>
      <x:c r="E112" s="3" t="str">
        <x:v>Required UI</x:v>
      </x:c>
      <x:c r="F112" s="3" t="str">
        <x:v>Negative — Bỏ trống programme</x:v>
      </x:c>
      <x:c r="G112" s="3" t="str">
        <x:v>Bỏ trống programme</x:v>
      </x:c>
      <x:c r="H112" s="3" t="str">
        <x:v>CON-001</x:v>
      </x:c>
      <x:c r="I112" s="3" t="str">
        <x:v>Khách truy cập</x:v>
      </x:c>
      <x:c r="J112" s="3" t="str">
        <x:v>Negative</x:v>
      </x:c>
      <x:c r="K112" s="3" t="str">
        <x:v>High</x:v>
      </x:c>
      <x:c r="L112" s="3" t="str">
        <x:v>High</x:v>
      </x:c>
      <x:c r="M112" s="3" t="str">
        <x:v>Môi trường QA cô lập, DB/MinIO sẵn sàng; dữ liệu fixture đã tạo. Không đăng nhập.</x:v>
      </x:c>
      <x:c r="N112" s="3" t="str">
        <x:v>Dữ liệu QA tổng hợp; xem fixture trong README.</x:v>
      </x:c>
      <x:c r="O112" s="3" t="str">
        <x:v>1. Mở form tư vấn
2. Điền CONSULT nhưng để trống programme
3. Nhấn gửi</x:v>
      </x:c>
      <x:c r="P112" s="3" t="str">
        <x:v>Browser/form chỉ ra trường bắt buộc; không gửi POST khi native validation chặn; không tạo lead.</x:v>
      </x:c>
      <x:c r="Q112" s="11" t="str"/>
      <x:c r="R112" s="8" t="str">
        <x:v>NOT RUN</x:v>
      </x:c>
      <x:c r="S112" s="11" t="str">
        <x:v>QA/UAT — cần điền URL/build</x:v>
      </x:c>
      <x:c r="T112" s="11" t="str">
        <x:v>Cần điền phiên bản thực</x:v>
      </x:c>
      <x:c r="U112" s="11" t="str"/>
      <x:c r="V112" s="12" t="str"/>
      <x:c r="W112" s="11" t="str"/>
      <x:c r="X112" s="11" t="str"/>
      <x:c r="Y112" s="3" t="str">
        <x:v>Nguồn: frontend/src/features/home/components/ResourcesConsultation.tsx. </x:v>
      </x:c>
    </x:row>
    <x:row r="113" ht="36" customHeight="1">
      <x:c r="A113" s="3" t="n">
        <x:v>112</x:v>
      </x:c>
      <x:c r="B113" s="3" t="str">
        <x:v>TC_CONSULT_011</x:v>
      </x:c>
      <x:c r="C113" s="3" t="str">
        <x:v>CONSULT</x:v>
      </x:c>
      <x:c r="D113" s="3" t="str">
        <x:v>Tư vấn và xử lý</x:v>
      </x:c>
      <x:c r="E113" s="3" t="str">
        <x:v>Tư vấn và xử lý</x:v>
      </x:c>
      <x:c r="F113" s="3" t="str">
        <x:v>Negative — Honeypot có giá trị</x:v>
      </x:c>
      <x:c r="G113" s="3" t="str">
        <x:v>Honeypot có giá trị</x:v>
      </x:c>
      <x:c r="H113" s="3" t="str">
        <x:v>CON-001</x:v>
      </x:c>
      <x:c r="I113" s="3" t="str">
        <x:v>Khách truy cập</x:v>
      </x:c>
      <x:c r="J113" s="3" t="str">
        <x:v>Negative</x:v>
      </x:c>
      <x:c r="K113" s="3" t="str">
        <x:v>High</x:v>
      </x:c>
      <x:c r="L113" s="3" t="str">
        <x:v>High</x:v>
      </x:c>
      <x:c r="M113" s="3" t="str">
        <x:v>Môi trường QA cô lập, DB/MinIO sẵn sàng; dữ liệu fixture đã tạo. Không đăng nhập.</x:v>
      </x:c>
      <x:c r="N113" s="3" t="str">
        <x:v>Dữ liệu QA tổng hợp; xem fixture trong README.</x:v>
      </x:c>
      <x:c r="O113" s="3" t="str">
        <x:v>1. POST CONSULT có website=bot</x:v>
      </x:c>
      <x:c r="P113" s="3" t="str">
        <x:v>HTTP 400 VALIDATION_ERROR; không tạo lead.</x:v>
      </x:c>
      <x:c r="Q113" s="11" t="str"/>
      <x:c r="R113" s="8" t="str">
        <x:v>NOT RUN</x:v>
      </x:c>
      <x:c r="S113" s="11" t="str">
        <x:v>QA/UAT — cần điền URL/build</x:v>
      </x:c>
      <x:c r="T113" s="11" t="str">
        <x:v>Cần điền phiên bản thực</x:v>
      </x:c>
      <x:c r="U113" s="11" t="str"/>
      <x:c r="V113" s="12" t="str"/>
      <x:c r="W113" s="11" t="str"/>
      <x:c r="X113" s="11" t="str"/>
      <x:c r="Y113" s="3" t="str">
        <x:v>Nguồn: backend/src/modules/consultations/consultations.routes.ts; admin/src/components/consultations/ConsultationManager.tsx. </x:v>
      </x:c>
    </x:row>
    <x:row r="114" ht="36" customHeight="1">
      <x:c r="A114" s="3" t="n">
        <x:v>113</x:v>
      </x:c>
      <x:c r="B114" s="3" t="str">
        <x:v>TC_CONSULT_012</x:v>
      </x:c>
      <x:c r="C114" s="3" t="str">
        <x:v>CONSULT</x:v>
      </x:c>
      <x:c r="D114" s="3" t="str">
        <x:v>Tư vấn và xử lý</x:v>
      </x:c>
      <x:c r="E114" s="3" t="str">
        <x:v>Tư vấn và xử lý</x:v>
      </x:c>
      <x:c r="F114" s="3" t="str">
        <x:v>Negative — Consent false</x:v>
      </x:c>
      <x:c r="G114" s="3" t="str">
        <x:v>Consent false</x:v>
      </x:c>
      <x:c r="H114" s="3" t="str">
        <x:v>CON-001</x:v>
      </x:c>
      <x:c r="I114" s="3" t="str">
        <x:v>Khách truy cập</x:v>
      </x:c>
      <x:c r="J114" s="3" t="str">
        <x:v>Negative</x:v>
      </x:c>
      <x:c r="K114" s="3" t="str">
        <x:v>High</x:v>
      </x:c>
      <x:c r="L114" s="3" t="str">
        <x:v>High</x:v>
      </x:c>
      <x:c r="M114" s="3" t="str">
        <x:v>Môi trường QA cô lập, DB/MinIO sẵn sàng; dữ liệu fixture đã tạo. Không đăng nhập.</x:v>
      </x:c>
      <x:c r="N114" s="3" t="str">
        <x:v>Dữ liệu QA tổng hợp; xem fixture trong README.</x:v>
      </x:c>
      <x:c r="O114" s="3" t="str">
        <x:v>1. POST CONSULT có consent=false</x:v>
      </x:c>
      <x:c r="P114" s="3" t="str">
        <x:v>HTTP 400; không tạo lead.</x:v>
      </x:c>
      <x:c r="Q114" s="11" t="str"/>
      <x:c r="R114" s="8" t="str">
        <x:v>NOT RUN</x:v>
      </x:c>
      <x:c r="S114" s="11" t="str">
        <x:v>QA/UAT — cần điền URL/build</x:v>
      </x:c>
      <x:c r="T114" s="11" t="str">
        <x:v>Cần điền phiên bản thực</x:v>
      </x:c>
      <x:c r="U114" s="11" t="str"/>
      <x:c r="V114" s="12" t="str"/>
      <x:c r="W114" s="11" t="str"/>
      <x:c r="X114" s="11" t="str"/>
      <x:c r="Y114" s="3" t="str">
        <x:v>Nguồn: backend/src/modules/consultations/consultations.routes.ts; admin/src/components/consultations/ConsultationManager.tsx. </x:v>
      </x:c>
    </x:row>
    <x:row r="115" ht="36" customHeight="1">
      <x:c r="A115" s="3" t="n">
        <x:v>114</x:v>
      </x:c>
      <x:c r="B115" s="3" t="str">
        <x:v>TC_CONSULT_013</x:v>
      </x:c>
      <x:c r="C115" s="3" t="str">
        <x:v>CONSULT</x:v>
      </x:c>
      <x:c r="D115" s="3" t="str">
        <x:v>Tư vấn và xử lý</x:v>
      </x:c>
      <x:c r="E115" s="3" t="str">
        <x:v>Tư vấn và xử lý</x:v>
      </x:c>
      <x:c r="F115" s="3" t="str">
        <x:v>Negative — Email không hợp lệ</x:v>
      </x:c>
      <x:c r="G115" s="3" t="str">
        <x:v>Email không hợp lệ</x:v>
      </x:c>
      <x:c r="H115" s="3" t="str">
        <x:v>CON-003</x:v>
      </x:c>
      <x:c r="I115" s="3" t="str">
        <x:v>Khách truy cập</x:v>
      </x:c>
      <x:c r="J115" s="3" t="str">
        <x:v>Negative</x:v>
      </x:c>
      <x:c r="K115" s="3" t="str">
        <x:v>High</x:v>
      </x:c>
      <x:c r="L115" s="3" t="str">
        <x:v>High</x:v>
      </x:c>
      <x:c r="M115" s="3" t="str">
        <x:v>Môi trường QA cô lập, DB/MinIO sẵn sàng; dữ liệu fixture đã tạo. Không đăng nhập.</x:v>
      </x:c>
      <x:c r="N115" s="3" t="str">
        <x:v>Dữ liệu QA tổng hợp; xem fixture trong README.</x:v>
      </x:c>
      <x:c r="O115" s="3" t="str">
        <x:v>1. Nhập email qa@@example.test và gửi</x:v>
      </x:c>
      <x:c r="P115" s="3" t="str">
        <x:v>UI chặn hoặc API 400; không tạo lead.</x:v>
      </x:c>
      <x:c r="Q115" s="11" t="str"/>
      <x:c r="R115" s="8" t="str">
        <x:v>NOT RUN</x:v>
      </x:c>
      <x:c r="S115" s="11" t="str">
        <x:v>QA/UAT — cần điền URL/build</x:v>
      </x:c>
      <x:c r="T115" s="11" t="str">
        <x:v>Cần điền phiên bản thực</x:v>
      </x:c>
      <x:c r="U115" s="11" t="str"/>
      <x:c r="V115" s="12" t="str"/>
      <x:c r="W115" s="11" t="str"/>
      <x:c r="X115" s="11" t="str"/>
      <x:c r="Y115" s="3" t="str">
        <x:v>Nguồn: backend/src/modules/consultations/consultations.routes.ts; admin/src/components/consultations/ConsultationManager.tsx. </x:v>
      </x:c>
    </x:row>
    <x:row r="116" ht="49" customHeight="1">
      <x:c r="A116" s="3" t="n">
        <x:v>115</x:v>
      </x:c>
      <x:c r="B116" s="3" t="str">
        <x:v>TC_CONSULT_014</x:v>
      </x:c>
      <x:c r="C116" s="3" t="str">
        <x:v>CONSULT</x:v>
      </x:c>
      <x:c r="D116" s="3" t="str">
        <x:v>Tư vấn và xử lý</x:v>
      </x:c>
      <x:c r="E116" s="3" t="str">
        <x:v>Tư vấn và xử lý</x:v>
      </x:c>
      <x:c r="F116" s="3" t="str">
        <x:v>Negative — Mạng ngắt giữ form</x:v>
      </x:c>
      <x:c r="G116" s="3" t="str">
        <x:v>Mạng ngắt giữ form</x:v>
      </x:c>
      <x:c r="H116" s="3" t="str">
        <x:v>CON-001</x:v>
      </x:c>
      <x:c r="I116" s="3" t="str">
        <x:v>Khách truy cập</x:v>
      </x:c>
      <x:c r="J116" s="3" t="str">
        <x:v>Negative</x:v>
      </x:c>
      <x:c r="K116" s="3" t="str">
        <x:v>High</x:v>
      </x:c>
      <x:c r="L116" s="3" t="str">
        <x:v>High</x:v>
      </x:c>
      <x:c r="M116" s="3" t="str">
        <x:v>Môi trường QA cô lập, DB/MinIO sẵn sàng; dữ liệu fixture đã tạo. Không đăng nhập.</x:v>
      </x:c>
      <x:c r="N116" s="3" t="str">
        <x:v>Dữ liệu QA tổng hợp; xem fixture trong README.</x:v>
      </x:c>
      <x:c r="O116" s="3" t="str">
        <x:v>1. Điền CONSULT
2. Bật Offline
3. Nhấn gửi</x:v>
      </x:c>
      <x:c r="P116" s="3" t="str">
        <x:v>Hiện thông báo mất kết nối; giữ thông tin; nút gửi được bật lại.</x:v>
      </x:c>
      <x:c r="Q116" s="11" t="str"/>
      <x:c r="R116" s="8" t="str">
        <x:v>NOT RUN</x:v>
      </x:c>
      <x:c r="S116" s="11" t="str">
        <x:v>QA/UAT — cần điền URL/build</x:v>
      </x:c>
      <x:c r="T116" s="11" t="str">
        <x:v>Cần điền phiên bản thực</x:v>
      </x:c>
      <x:c r="U116" s="11" t="str"/>
      <x:c r="V116" s="12" t="str"/>
      <x:c r="W116" s="11" t="str"/>
      <x:c r="X116" s="11" t="str"/>
      <x:c r="Y116" s="3" t="str">
        <x:v>Nguồn: backend/src/modules/consultations/consultations.routes.ts; admin/src/components/consultations/ConsultationManager.tsx. </x:v>
      </x:c>
    </x:row>
    <x:row r="117" ht="49" customHeight="1">
      <x:c r="A117" s="3" t="n">
        <x:v>116</x:v>
      </x:c>
      <x:c r="B117" s="3" t="str">
        <x:v>TC_CONSULT_015</x:v>
      </x:c>
      <x:c r="C117" s="3" t="str">
        <x:v>CONSULT</x:v>
      </x:c>
      <x:c r="D117" s="3" t="str">
        <x:v>Tư vấn và xử lý</x:v>
      </x:c>
      <x:c r="E117" s="3" t="str">
        <x:v>Tư vấn và xử lý</x:v>
      </x:c>
      <x:c r="F117" s="3" t="str">
        <x:v>Alternative — Thử lại sau lỗi</x:v>
      </x:c>
      <x:c r="G117" s="3" t="str">
        <x:v>Thử lại sau lỗi</x:v>
      </x:c>
      <x:c r="H117" s="3" t="str">
        <x:v>CON-003</x:v>
      </x:c>
      <x:c r="I117" s="3" t="str">
        <x:v>Khách truy cập</x:v>
      </x:c>
      <x:c r="J117" s="3" t="str">
        <x:v>Alternative</x:v>
      </x:c>
      <x:c r="K117" s="3" t="str">
        <x:v>High</x:v>
      </x:c>
      <x:c r="L117" s="3" t="str">
        <x:v>High</x:v>
      </x:c>
      <x:c r="M117" s="3" t="str">
        <x:v>Môi trường QA cô lập, DB/MinIO sẵn sàng; dữ liệu fixture đã tạo. Không đăng nhập.</x:v>
      </x:c>
      <x:c r="N117" s="3" t="str">
        <x:v>Dữ liệu QA tổng hợp; xem fixture trong README.</x:v>
      </x:c>
      <x:c r="O117" s="3" t="str">
        <x:v>1. Mock /api/consultations trả 502
2. Gửi CONSULT
3. Bỏ mock rồi gửi lại</x:v>
      </x:c>
      <x:c r="P117" s="3" t="str">
        <x:v>Lần đầu không báo thành công; lần sau 201 và form reset; kiểm tra chỉ một bản ghi nếu lần đầu chưa commit.</x:v>
      </x:c>
      <x:c r="Q117" s="11" t="str"/>
      <x:c r="R117" s="8" t="str">
        <x:v>NOT RUN</x:v>
      </x:c>
      <x:c r="S117" s="11" t="str">
        <x:v>QA/UAT — cần điền URL/build</x:v>
      </x:c>
      <x:c r="T117" s="11" t="str">
        <x:v>Cần điền phiên bản thực</x:v>
      </x:c>
      <x:c r="U117" s="11" t="str"/>
      <x:c r="V117" s="12" t="str"/>
      <x:c r="W117" s="11" t="str"/>
      <x:c r="X117" s="11" t="str"/>
      <x:c r="Y117" s="3" t="str">
        <x:v>Nguồn: backend/src/modules/consultations/consultations.routes.ts; admin/src/components/consultations/ConsultationManager.tsx. </x:v>
      </x:c>
    </x:row>
    <x:row r="118" ht="49" customHeight="1">
      <x:c r="A118" s="3" t="n">
        <x:v>117</x:v>
      </x:c>
      <x:c r="B118" s="3" t="str">
        <x:v>TC_CONSULT_016</x:v>
      </x:c>
      <x:c r="C118" s="3" t="str">
        <x:v>CONSULT</x:v>
      </x:c>
      <x:c r="D118" s="3" t="str">
        <x:v>Tư vấn và xử lý</x:v>
      </x:c>
      <x:c r="E118" s="3" t="str">
        <x:v>Tư vấn và xử lý</x:v>
      </x:c>
      <x:c r="F118" s="3" t="str">
        <x:v>Negative — Nhấn gửi liên tục</x:v>
      </x:c>
      <x:c r="G118" s="3" t="str">
        <x:v>Nhấn gửi liên tục</x:v>
      </x:c>
      <x:c r="H118" s="3" t="str">
        <x:v>CON-001</x:v>
      </x:c>
      <x:c r="I118" s="3" t="str">
        <x:v>Khách truy cập</x:v>
      </x:c>
      <x:c r="J118" s="3" t="str">
        <x:v>Negative</x:v>
      </x:c>
      <x:c r="K118" s="3" t="str">
        <x:v>High</x:v>
      </x:c>
      <x:c r="L118" s="3" t="str">
        <x:v>High</x:v>
      </x:c>
      <x:c r="M118" s="3" t="str">
        <x:v>Môi trường QA cô lập, DB/MinIO sẵn sàng; dữ liệu fixture đã tạo. Không đăng nhập.</x:v>
      </x:c>
      <x:c r="N118" s="3" t="str">
        <x:v>Dữ liệu QA tổng hợp; xem fixture trong README.</x:v>
      </x:c>
      <x:c r="O118" s="3" t="str">
        <x:v>1. Throttle mạng
2. Điền CONSULT
3. Nhấn gửi 5 lần nhanh</x:v>
      </x:c>
      <x:c r="P118" s="3" t="str">
        <x:v>Nút disabled trong lúc pending; một request từ thao tác UI; tạo một lead.</x:v>
      </x:c>
      <x:c r="Q118" s="11" t="str"/>
      <x:c r="R118" s="8" t="str">
        <x:v>NOT RUN</x:v>
      </x:c>
      <x:c r="S118" s="11" t="str">
        <x:v>QA/UAT — cần điền URL/build</x:v>
      </x:c>
      <x:c r="T118" s="11" t="str">
        <x:v>Cần điền phiên bản thực</x:v>
      </x:c>
      <x:c r="U118" s="11" t="str"/>
      <x:c r="V118" s="12" t="str"/>
      <x:c r="W118" s="11" t="str"/>
      <x:c r="X118" s="11" t="str"/>
      <x:c r="Y118" s="3" t="str">
        <x:v>Nguồn: backend/src/modules/consultations/consultations.routes.ts; admin/src/components/consultations/ConsultationManager.tsx. </x:v>
      </x:c>
    </x:row>
    <x:row r="119" ht="36" customHeight="1">
      <x:c r="A119" s="3" t="n">
        <x:v>118</x:v>
      </x:c>
      <x:c r="B119" s="3" t="str">
        <x:v>TC_CONSULT_017</x:v>
      </x:c>
      <x:c r="C119" s="3" t="str">
        <x:v>CONSULT</x:v>
      </x:c>
      <x:c r="D119" s="3" t="str">
        <x:v>Tư vấn và xử lý</x:v>
      </x:c>
      <x:c r="E119" s="3" t="str">
        <x:v>Tư vấn và xử lý</x:v>
      </x:c>
      <x:c r="F119" s="3" t="str">
        <x:v>Positive — Danh sách tư vấn mới nhất</x:v>
      </x:c>
      <x:c r="G119" s="3" t="str">
        <x:v>Danh sách tư vấn mới nhất</x:v>
      </x:c>
      <x:c r="H119" s="3" t="str">
        <x:v>CON-003</x:v>
      </x:c>
      <x:c r="I119" s="3" t="str">
        <x:v>Khách truy cập</x:v>
      </x:c>
      <x:c r="J119" s="3" t="str">
        <x:v>Positive</x:v>
      </x:c>
      <x:c r="K119" s="3" t="str">
        <x:v>High</x:v>
      </x:c>
      <x:c r="L119" s="3" t="str">
        <x:v>High</x:v>
      </x:c>
      <x:c r="M119" s="3" t="str">
        <x:v>Môi trường QA cô lập, DB/MinIO sẵn sàng; dữ liệu fixture đã tạo. Không đăng nhập.</x:v>
      </x:c>
      <x:c r="N119" s="3" t="str">
        <x:v>Dữ liệu QA tổng hợp; xem fixture trong README.</x:v>
      </x:c>
      <x:c r="O119" s="3" t="str">
        <x:v>1. Tạo 3 lead có createdAt khác nhau
2. Mở /admin/consultations</x:v>
      </x:c>
      <x:c r="P119" s="3" t="str">
        <x:v>Sắp createdAt giảm dần; tên/email/phone/programme khớp DB.</x:v>
      </x:c>
      <x:c r="Q119" s="11" t="str"/>
      <x:c r="R119" s="8" t="str">
        <x:v>NOT RUN</x:v>
      </x:c>
      <x:c r="S119" s="11" t="str">
        <x:v>QA/UAT — cần điền URL/build</x:v>
      </x:c>
      <x:c r="T119" s="11" t="str">
        <x:v>Cần điền phiên bản thực</x:v>
      </x:c>
      <x:c r="U119" s="11" t="str"/>
      <x:c r="V119" s="12" t="str"/>
      <x:c r="W119" s="11" t="str"/>
      <x:c r="X119" s="11" t="str"/>
      <x:c r="Y119" s="3" t="str">
        <x:v>Nguồn: backend/src/modules/consultations/consultations.routes.ts; admin/src/components/consultations/ConsultationManager.tsx. </x:v>
      </x:c>
    </x:row>
    <x:row r="120" ht="49" customHeight="1">
      <x:c r="A120" s="3" t="n">
        <x:v>119</x:v>
      </x:c>
      <x:c r="B120" s="3" t="str">
        <x:v>TC_CONSULT_018</x:v>
      </x:c>
      <x:c r="C120" s="3" t="str">
        <x:v>CONSULT</x:v>
      </x:c>
      <x:c r="D120" s="3" t="str">
        <x:v>Tư vấn và xử lý</x:v>
      </x:c>
      <x:c r="E120" s="3" t="str">
        <x:v>Tư vấn và xử lý</x:v>
      </x:c>
      <x:c r="F120" s="3" t="str">
        <x:v>Positive — Polling tư vấn</x:v>
      </x:c>
      <x:c r="G120" s="3" t="str">
        <x:v>Polling tư vấn</x:v>
      </x:c>
      <x:c r="H120" s="3" t="str">
        <x:v>CON-003</x:v>
      </x:c>
      <x:c r="I120" s="3" t="str">
        <x:v>Khách truy cập</x:v>
      </x:c>
      <x:c r="J120" s="3" t="str">
        <x:v>Positive</x:v>
      </x:c>
      <x:c r="K120" s="3" t="str">
        <x:v>High</x:v>
      </x:c>
      <x:c r="L120" s="3" t="str">
        <x:v>High</x:v>
      </x:c>
      <x:c r="M120" s="3" t="str">
        <x:v>Môi trường QA cô lập, DB/MinIO sẵn sàng; dữ liệu fixture đã tạo. Không đăng nhập.</x:v>
      </x:c>
      <x:c r="N120" s="3" t="str">
        <x:v>Dữ liệu QA tổng hợp; xem fixture trong README.</x:v>
      </x:c>
      <x:c r="O120" s="3" t="str">
        <x:v>1. Mở admin consultations
2. Tạo lead ở trình duyệt khác
3. Chờ hơn 5 giây</x:v>
      </x:c>
      <x:c r="P120" s="3" t="str">
        <x:v>Bản ghi mới xuất hiện sau polling; bộ đếm trạng thái cập nhật.</x:v>
      </x:c>
      <x:c r="Q120" s="11" t="str"/>
      <x:c r="R120" s="8" t="str">
        <x:v>NOT RUN</x:v>
      </x:c>
      <x:c r="S120" s="11" t="str">
        <x:v>QA/UAT — cần điền URL/build</x:v>
      </x:c>
      <x:c r="T120" s="11" t="str">
        <x:v>Cần điền phiên bản thực</x:v>
      </x:c>
      <x:c r="U120" s="11" t="str"/>
      <x:c r="V120" s="12" t="str"/>
      <x:c r="W120" s="11" t="str"/>
      <x:c r="X120" s="11" t="str"/>
      <x:c r="Y120" s="3" t="str">
        <x:v>Nguồn: backend/src/modules/consultations/consultations.routes.ts; admin/src/components/consultations/ConsultationManager.tsx. </x:v>
      </x:c>
    </x:row>
    <x:row r="121" ht="36" customHeight="1">
      <x:c r="A121" s="3" t="n">
        <x:v>120</x:v>
      </x:c>
      <x:c r="B121" s="3" t="str">
        <x:v>TC_CONSULT_019</x:v>
      </x:c>
      <x:c r="C121" s="3" t="str">
        <x:v>CONSULT</x:v>
      </x:c>
      <x:c r="D121" s="3" t="str">
        <x:v>Tư vấn và xử lý</x:v>
      </x:c>
      <x:c r="E121" s="3" t="str">
        <x:v>Tư vấn và xử lý</x:v>
      </x:c>
      <x:c r="F121" s="3" t="str">
        <x:v>Negative — Rollback optimistic khi PATCH lỗi</x:v>
      </x:c>
      <x:c r="G121" s="3" t="str">
        <x:v>Rollback optimistic khi PATCH lỗi</x:v>
      </x:c>
      <x:c r="H121" s="3" t="str">
        <x:v>CON-003</x:v>
      </x:c>
      <x:c r="I121" s="3" t="str">
        <x:v>Khách truy cập</x:v>
      </x:c>
      <x:c r="J121" s="3" t="str">
        <x:v>Negative</x:v>
      </x:c>
      <x:c r="K121" s="3" t="str">
        <x:v>High</x:v>
      </x:c>
      <x:c r="L121" s="3" t="str">
        <x:v>High</x:v>
      </x:c>
      <x:c r="M121" s="3" t="str">
        <x:v>Môi trường QA cô lập, DB/MinIO sẵn sàng; dữ liệu fixture đã tạo. Không đăng nhập.</x:v>
      </x:c>
      <x:c r="N121" s="3" t="str">
        <x:v>Dữ liệu QA tổng hợp; xem fixture trong README.</x:v>
      </x:c>
      <x:c r="O121" s="3" t="str">
        <x:v>1. Mock PATCH status trả 500
2. Đổi NEW thành CONTACTING</x:v>
      </x:c>
      <x:c r="P121" s="3" t="str">
        <x:v>UI khôi phục NEW; thông báo lỗi; DB không đổi nếu request chưa commit.</x:v>
      </x:c>
      <x:c r="Q121" s="11" t="str"/>
      <x:c r="R121" s="8" t="str">
        <x:v>NOT RUN</x:v>
      </x:c>
      <x:c r="S121" s="11" t="str">
        <x:v>QA/UAT — cần điền URL/build</x:v>
      </x:c>
      <x:c r="T121" s="11" t="str">
        <x:v>Cần điền phiên bản thực</x:v>
      </x:c>
      <x:c r="U121" s="11" t="str"/>
      <x:c r="V121" s="12" t="str"/>
      <x:c r="W121" s="11" t="str"/>
      <x:c r="X121" s="11" t="str"/>
      <x:c r="Y121" s="3" t="str">
        <x:v>Nguồn: backend/src/modules/consultations/consultations.routes.ts; admin/src/components/consultations/ConsultationManager.tsx. </x:v>
      </x:c>
    </x:row>
    <x:row r="122" ht="36" customHeight="1">
      <x:c r="A122" s="3" t="n">
        <x:v>121</x:v>
      </x:c>
      <x:c r="B122" s="3" t="str">
        <x:v>TC_CONSULT_020</x:v>
      </x:c>
      <x:c r="C122" s="3" t="str">
        <x:v>CONSULT</x:v>
      </x:c>
      <x:c r="D122" s="3" t="str">
        <x:v>Tư vấn và xử lý</x:v>
      </x:c>
      <x:c r="E122" s="3" t="str">
        <x:v>Tư vấn và xử lý</x:v>
      </x:c>
      <x:c r="F122" s="3" t="str">
        <x:v>Alternative — Polling lỗi giữ dữ liệu</x:v>
      </x:c>
      <x:c r="G122" s="3" t="str">
        <x:v>Polling lỗi giữ dữ liệu</x:v>
      </x:c>
      <x:c r="H122" s="3" t="str">
        <x:v>CON-003</x:v>
      </x:c>
      <x:c r="I122" s="3" t="str">
        <x:v>Khách truy cập</x:v>
      </x:c>
      <x:c r="J122" s="3" t="str">
        <x:v>Alternative</x:v>
      </x:c>
      <x:c r="K122" s="3" t="str">
        <x:v>High</x:v>
      </x:c>
      <x:c r="L122" s="3" t="str">
        <x:v>High</x:v>
      </x:c>
      <x:c r="M122" s="3" t="str">
        <x:v>Môi trường QA cô lập, DB/MinIO sẵn sàng; dữ liệu fixture đã tạo. Không đăng nhập.</x:v>
      </x:c>
      <x:c r="N122" s="3" t="str">
        <x:v>Dữ liệu QA tổng hợp; xem fixture trong README.</x:v>
      </x:c>
      <x:c r="O122" s="3" t="str">
        <x:v>1. Đã tải danh sách
2. Mock GET consultations lỗi trong 2 chu kỳ</x:v>
      </x:c>
      <x:c r="P122" s="3" t="str">
        <x:v>Giữ danh sách gần nhất; không xóa các dòng đã tải; khi API hồi phục cập nhật tiếp.</x:v>
      </x:c>
      <x:c r="Q122" s="11" t="str"/>
      <x:c r="R122" s="8" t="str">
        <x:v>NOT RUN</x:v>
      </x:c>
      <x:c r="S122" s="11" t="str">
        <x:v>QA/UAT — cần điền URL/build</x:v>
      </x:c>
      <x:c r="T122" s="11" t="str">
        <x:v>Cần điền phiên bản thực</x:v>
      </x:c>
      <x:c r="U122" s="11" t="str"/>
      <x:c r="V122" s="12" t="str"/>
      <x:c r="W122" s="11" t="str"/>
      <x:c r="X122" s="11" t="str"/>
      <x:c r="Y122" s="3" t="str">
        <x:v>Nguồn: backend/src/modules/consultations/consultations.routes.ts; admin/src/components/consultations/ConsultationManager.tsx. </x:v>
      </x:c>
    </x:row>
    <x:row r="123" ht="36" customHeight="1">
      <x:c r="A123" s="3" t="n">
        <x:v>122</x:v>
      </x:c>
      <x:c r="B123" s="3" t="str">
        <x:v>TC_CONSULT_021</x:v>
      </x:c>
      <x:c r="C123" s="3" t="str">
        <x:v>CONSULT</x:v>
      </x:c>
      <x:c r="D123" s="3" t="str">
        <x:v>Tư vấn và xử lý</x:v>
      </x:c>
      <x:c r="E123" s="3" t="str">
        <x:v>Tư vấn và xử lý</x:v>
      </x:c>
      <x:c r="F123" s="3" t="str">
        <x:v>Negative — Trạng thái sai enum</x:v>
      </x:c>
      <x:c r="G123" s="3" t="str">
        <x:v>Trạng thái sai enum</x:v>
      </x:c>
      <x:c r="H123" s="3" t="str">
        <x:v>CON-003</x:v>
      </x:c>
      <x:c r="I123" s="3" t="str">
        <x:v>Khách truy cập</x:v>
      </x:c>
      <x:c r="J123" s="3" t="str">
        <x:v>Negative</x:v>
      </x:c>
      <x:c r="K123" s="3" t="str">
        <x:v>High</x:v>
      </x:c>
      <x:c r="L123" s="3" t="str">
        <x:v>High</x:v>
      </x:c>
      <x:c r="M123" s="3" t="str">
        <x:v>Môi trường QA cô lập, DB/MinIO sẵn sàng; dữ liệu fixture đã tạo. Không đăng nhập.</x:v>
      </x:c>
      <x:c r="N123" s="3" t="str">
        <x:v>Dữ liệu QA tổng hợp; xem fixture trong README.</x:v>
      </x:c>
      <x:c r="O123" s="3" t="str">
        <x:v>1. PATCH status=BAD cho lead tồn tại</x:v>
      </x:c>
      <x:c r="P123" s="3" t="str">
        <x:v>Không đổi DB/history; lỗi validation (kỳ vọng 400, theo dõi nguy cơ 500 từ Zod.parse).</x:v>
      </x:c>
      <x:c r="Q123" s="11" t="str"/>
      <x:c r="R123" s="8" t="str">
        <x:v>NOT RUN</x:v>
      </x:c>
      <x:c r="S123" s="11" t="str">
        <x:v>QA/UAT — cần điền URL/build</x:v>
      </x:c>
      <x:c r="T123" s="11" t="str">
        <x:v>Cần điền phiên bản thực</x:v>
      </x:c>
      <x:c r="U123" s="11" t="str"/>
      <x:c r="V123" s="12" t="str"/>
      <x:c r="W123" s="11" t="str"/>
      <x:c r="X123" s="11" t="str"/>
      <x:c r="Y123" s="3" t="str">
        <x:v>Nguồn: backend/src/modules/consultations/consultations.routes.ts; admin/src/components/consultations/ConsultationManager.tsx. </x:v>
      </x:c>
    </x:row>
    <x:row r="124" ht="36" customHeight="1">
      <x:c r="A124" s="3" t="n">
        <x:v>123</x:v>
      </x:c>
      <x:c r="B124" s="3" t="str">
        <x:v>TC_CONSULT_022</x:v>
      </x:c>
      <x:c r="C124" s="3" t="str">
        <x:v>CONSULT</x:v>
      </x:c>
      <x:c r="D124" s="3" t="str">
        <x:v>Tư vấn và xử lý</x:v>
      </x:c>
      <x:c r="E124" s="3" t="str">
        <x:v>Tư vấn và xử lý</x:v>
      </x:c>
      <x:c r="F124" s="3" t="str">
        <x:v>Negative — ID lead không tồn tại</x:v>
      </x:c>
      <x:c r="G124" s="3" t="str">
        <x:v>ID lead không tồn tại</x:v>
      </x:c>
      <x:c r="H124" s="3" t="str">
        <x:v>CON-003</x:v>
      </x:c>
      <x:c r="I124" s="3" t="str">
        <x:v>Khách truy cập</x:v>
      </x:c>
      <x:c r="J124" s="3" t="str">
        <x:v>Negative</x:v>
      </x:c>
      <x:c r="K124" s="3" t="str">
        <x:v>High</x:v>
      </x:c>
      <x:c r="L124" s="3" t="str">
        <x:v>High</x:v>
      </x:c>
      <x:c r="M124" s="3" t="str">
        <x:v>Môi trường QA cô lập, DB/MinIO sẵn sàng; dữ liệu fixture đã tạo. Không đăng nhập.</x:v>
      </x:c>
      <x:c r="N124" s="3" t="str">
        <x:v>Dữ liệu QA tổng hợp; xem fixture trong README.</x:v>
      </x:c>
      <x:c r="O124" s="3" t="str">
        <x:v>1. PATCH /api/admin/consultations/qa-missing/status với NEW</x:v>
      </x:c>
      <x:c r="P124" s="3" t="str">
        <x:v>HTTP 404 CONSULTATION_NOT_FOUND; không tạo history.</x:v>
      </x:c>
      <x:c r="Q124" s="11" t="str"/>
      <x:c r="R124" s="8" t="str">
        <x:v>NOT RUN</x:v>
      </x:c>
      <x:c r="S124" s="11" t="str">
        <x:v>QA/UAT — cần điền URL/build</x:v>
      </x:c>
      <x:c r="T124" s="11" t="str">
        <x:v>Cần điền phiên bản thực</x:v>
      </x:c>
      <x:c r="U124" s="11" t="str"/>
      <x:c r="V124" s="12" t="str"/>
      <x:c r="W124" s="11" t="str"/>
      <x:c r="X124" s="11" t="str"/>
      <x:c r="Y124" s="3" t="str">
        <x:v>Nguồn: backend/src/modules/consultations/consultations.routes.ts; admin/src/components/consultations/ConsultationManager.tsx. </x:v>
      </x:c>
    </x:row>
    <x:row r="125" ht="49" customHeight="1">
      <x:c r="A125" s="3" t="n">
        <x:v>124</x:v>
      </x:c>
      <x:c r="B125" s="3" t="str">
        <x:v>TC_CONSULT_023</x:v>
      </x:c>
      <x:c r="C125" s="3" t="str">
        <x:v>CONSULT</x:v>
      </x:c>
      <x:c r="D125" s="3" t="str">
        <x:v>Chuyển trạng thái</x:v>
      </x:c>
      <x:c r="E125" s="3" t="str">
        <x:v>Chuyển trạng thái</x:v>
      </x:c>
      <x:c r="F125" s="3" t="str">
        <x:v>Positive — NEW → NEW</x:v>
      </x:c>
      <x:c r="G125" s="3" t="str">
        <x:v>NEW → NEW</x:v>
      </x:c>
      <x:c r="H125" s="3" t="str">
        <x:v>CON-003</x:v>
      </x:c>
      <x:c r="I125" s="3" t="str">
        <x:v>Khách truy cập</x:v>
      </x:c>
      <x:c r="J125" s="3" t="str">
        <x:v>Positive</x:v>
      </x:c>
      <x:c r="K125" s="3" t="str">
        <x:v>High</x:v>
      </x:c>
      <x:c r="L125" s="3" t="str">
        <x:v>High</x:v>
      </x:c>
      <x:c r="M125" s="3" t="str">
        <x:v>Môi trường QA cô lập, DB/MinIO sẵn sàng; dữ liệu fixture đã tạo. Không đăng nhập.</x:v>
      </x:c>
      <x:c r="N125" s="3" t="str">
        <x:v>Một lead fixture riêng; trường hợp cùng trạng thái gọi PATCH trực tiếp.</x:v>
      </x:c>
      <x:c r="O125" s="3" t="str">
        <x:v>1. Đặt lead QA ở NEW
2. Chọn NEW qua UI hoặc PATCH nếu cùng trạng thái
3. Refresh</x:v>
      </x:c>
      <x:c r="P125" s="3" t="str">
        <x:v>API 200; status=NEW; history oldStatus=NEW, newStatus=NEW, adminId=actor; audit CONSULTATION_UPDATED.</x:v>
      </x:c>
      <x:c r="Q125" s="11" t="str"/>
      <x:c r="R125" s="8" t="str">
        <x:v>NOT RUN</x:v>
      </x:c>
      <x:c r="S125" s="11" t="str">
        <x:v>QA/UAT — cần điền URL/build</x:v>
      </x:c>
      <x:c r="T125" s="11" t="str">
        <x:v>Cần điền phiên bản thực</x:v>
      </x:c>
      <x:c r="U125" s="11" t="str"/>
      <x:c r="V125" s="12" t="str"/>
      <x:c r="W125" s="11" t="str"/>
      <x:c r="X125" s="11" t="str"/>
      <x:c r="Y125" s="3" t="str">
        <x:v>Nguồn: backend/src/modules/consultations/consultations.routes.ts. </x:v>
      </x:c>
    </x:row>
    <x:row r="126" ht="49" customHeight="1">
      <x:c r="A126" s="3" t="n">
        <x:v>125</x:v>
      </x:c>
      <x:c r="B126" s="3" t="str">
        <x:v>TC_CONSULT_024</x:v>
      </x:c>
      <x:c r="C126" s="3" t="str">
        <x:v>CONSULT</x:v>
      </x:c>
      <x:c r="D126" s="3" t="str">
        <x:v>Chuyển trạng thái</x:v>
      </x:c>
      <x:c r="E126" s="3" t="str">
        <x:v>Chuyển trạng thái</x:v>
      </x:c>
      <x:c r="F126" s="3" t="str">
        <x:v>Positive — NEW → CONTACTING</x:v>
      </x:c>
      <x:c r="G126" s="3" t="str">
        <x:v>NEW → CONTACTING</x:v>
      </x:c>
      <x:c r="H126" s="3" t="str">
        <x:v>CON-003</x:v>
      </x:c>
      <x:c r="I126" s="3" t="str">
        <x:v>Khách truy cập</x:v>
      </x:c>
      <x:c r="J126" s="3" t="str">
        <x:v>Positive</x:v>
      </x:c>
      <x:c r="K126" s="3" t="str">
        <x:v>High</x:v>
      </x:c>
      <x:c r="L126" s="3" t="str">
        <x:v>High</x:v>
      </x:c>
      <x:c r="M126" s="3" t="str">
        <x:v>Môi trường QA cô lập, DB/MinIO sẵn sàng; dữ liệu fixture đã tạo. Không đăng nhập.</x:v>
      </x:c>
      <x:c r="N126" s="3" t="str">
        <x:v>Một lead fixture riêng; trường hợp cùng trạng thái gọi PATCH trực tiếp.</x:v>
      </x:c>
      <x:c r="O126" s="3" t="str">
        <x:v>1. Đặt lead QA ở NEW
2. Chọn CONTACTING qua UI hoặc PATCH nếu cùng trạng thái
3. Refresh</x:v>
      </x:c>
      <x:c r="P126" s="3" t="str">
        <x:v>API 200; status=CONTACTING; history oldStatus=NEW, newStatus=CONTACTING, adminId=actor; audit CONSULTATION_UPDATED.</x:v>
      </x:c>
      <x:c r="Q126" s="11" t="str"/>
      <x:c r="R126" s="8" t="str">
        <x:v>NOT RUN</x:v>
      </x:c>
      <x:c r="S126" s="11" t="str">
        <x:v>QA/UAT — cần điền URL/build</x:v>
      </x:c>
      <x:c r="T126" s="11" t="str">
        <x:v>Cần điền phiên bản thực</x:v>
      </x:c>
      <x:c r="U126" s="11" t="str"/>
      <x:c r="V126" s="12" t="str"/>
      <x:c r="W126" s="11" t="str"/>
      <x:c r="X126" s="11" t="str"/>
      <x:c r="Y126" s="3" t="str">
        <x:v>Nguồn: backend/src/modules/consultations/consultations.routes.ts. </x:v>
      </x:c>
    </x:row>
    <x:row r="127" ht="49" customHeight="1">
      <x:c r="A127" s="3" t="n">
        <x:v>126</x:v>
      </x:c>
      <x:c r="B127" s="3" t="str">
        <x:v>TC_CONSULT_025</x:v>
      </x:c>
      <x:c r="C127" s="3" t="str">
        <x:v>CONSULT</x:v>
      </x:c>
      <x:c r="D127" s="3" t="str">
        <x:v>Chuyển trạng thái</x:v>
      </x:c>
      <x:c r="E127" s="3" t="str">
        <x:v>Chuyển trạng thái</x:v>
      </x:c>
      <x:c r="F127" s="3" t="str">
        <x:v>Positive — NEW → COMPLETED</x:v>
      </x:c>
      <x:c r="G127" s="3" t="str">
        <x:v>NEW → COMPLETED</x:v>
      </x:c>
      <x:c r="H127" s="3" t="str">
        <x:v>CON-003</x:v>
      </x:c>
      <x:c r="I127" s="3" t="str">
        <x:v>Khách truy cập</x:v>
      </x:c>
      <x:c r="J127" s="3" t="str">
        <x:v>Positive</x:v>
      </x:c>
      <x:c r="K127" s="3" t="str">
        <x:v>High</x:v>
      </x:c>
      <x:c r="L127" s="3" t="str">
        <x:v>High</x:v>
      </x:c>
      <x:c r="M127" s="3" t="str">
        <x:v>Môi trường QA cô lập, DB/MinIO sẵn sàng; dữ liệu fixture đã tạo. Không đăng nhập.</x:v>
      </x:c>
      <x:c r="N127" s="3" t="str">
        <x:v>Một lead fixture riêng; trường hợp cùng trạng thái gọi PATCH trực tiếp.</x:v>
      </x:c>
      <x:c r="O127" s="3" t="str">
        <x:v>1. Đặt lead QA ở NEW
2. Chọn COMPLETED qua UI hoặc PATCH nếu cùng trạng thái
3. Refresh</x:v>
      </x:c>
      <x:c r="P127" s="3" t="str">
        <x:v>API 200; status=COMPLETED; history oldStatus=NEW, newStatus=COMPLETED, adminId=actor; audit CONSULTATION_UPDATED.</x:v>
      </x:c>
      <x:c r="Q127" s="11" t="str"/>
      <x:c r="R127" s="8" t="str">
        <x:v>NOT RUN</x:v>
      </x:c>
      <x:c r="S127" s="11" t="str">
        <x:v>QA/UAT — cần điền URL/build</x:v>
      </x:c>
      <x:c r="T127" s="11" t="str">
        <x:v>Cần điền phiên bản thực</x:v>
      </x:c>
      <x:c r="U127" s="11" t="str"/>
      <x:c r="V127" s="12" t="str"/>
      <x:c r="W127" s="11" t="str"/>
      <x:c r="X127" s="11" t="str"/>
      <x:c r="Y127" s="3" t="str">
        <x:v>Nguồn: backend/src/modules/consultations/consultations.routes.ts. </x:v>
      </x:c>
    </x:row>
    <x:row r="128" ht="49" customHeight="1">
      <x:c r="A128" s="3" t="n">
        <x:v>127</x:v>
      </x:c>
      <x:c r="B128" s="3" t="str">
        <x:v>TC_CONSULT_026</x:v>
      </x:c>
      <x:c r="C128" s="3" t="str">
        <x:v>CONSULT</x:v>
      </x:c>
      <x:c r="D128" s="3" t="str">
        <x:v>Chuyển trạng thái</x:v>
      </x:c>
      <x:c r="E128" s="3" t="str">
        <x:v>Chuyển trạng thái</x:v>
      </x:c>
      <x:c r="F128" s="3" t="str">
        <x:v>Positive — CONTACTING → NEW</x:v>
      </x:c>
      <x:c r="G128" s="3" t="str">
        <x:v>CONTACTING → NEW</x:v>
      </x:c>
      <x:c r="H128" s="3" t="str">
        <x:v>CON-003</x:v>
      </x:c>
      <x:c r="I128" s="3" t="str">
        <x:v>Khách truy cập</x:v>
      </x:c>
      <x:c r="J128" s="3" t="str">
        <x:v>Positive</x:v>
      </x:c>
      <x:c r="K128" s="3" t="str">
        <x:v>High</x:v>
      </x:c>
      <x:c r="L128" s="3" t="str">
        <x:v>High</x:v>
      </x:c>
      <x:c r="M128" s="3" t="str">
        <x:v>Môi trường QA cô lập, DB/MinIO sẵn sàng; dữ liệu fixture đã tạo. Không đăng nhập.</x:v>
      </x:c>
      <x:c r="N128" s="3" t="str">
        <x:v>Một lead fixture riêng; trường hợp cùng trạng thái gọi PATCH trực tiếp.</x:v>
      </x:c>
      <x:c r="O128" s="3" t="str">
        <x:v>1. Đặt lead QA ở CONTACTING
2. Chọn NEW qua UI hoặc PATCH nếu cùng trạng thái
3. Refresh</x:v>
      </x:c>
      <x:c r="P128" s="3" t="str">
        <x:v>API 200; status=NEW; history oldStatus=CONTACTING, newStatus=NEW, adminId=actor; audit CONSULTATION_UPDATED.</x:v>
      </x:c>
      <x:c r="Q128" s="11" t="str"/>
      <x:c r="R128" s="8" t="str">
        <x:v>NOT RUN</x:v>
      </x:c>
      <x:c r="S128" s="11" t="str">
        <x:v>QA/UAT — cần điền URL/build</x:v>
      </x:c>
      <x:c r="T128" s="11" t="str">
        <x:v>Cần điền phiên bản thực</x:v>
      </x:c>
      <x:c r="U128" s="11" t="str"/>
      <x:c r="V128" s="12" t="str"/>
      <x:c r="W128" s="11" t="str"/>
      <x:c r="X128" s="11" t="str"/>
      <x:c r="Y128" s="3" t="str">
        <x:v>Nguồn: backend/src/modules/consultations/consultations.routes.ts. </x:v>
      </x:c>
    </x:row>
    <x:row r="129" ht="49" customHeight="1">
      <x:c r="A129" s="3" t="n">
        <x:v>128</x:v>
      </x:c>
      <x:c r="B129" s="3" t="str">
        <x:v>TC_CONSULT_027</x:v>
      </x:c>
      <x:c r="C129" s="3" t="str">
        <x:v>CONSULT</x:v>
      </x:c>
      <x:c r="D129" s="3" t="str">
        <x:v>Chuyển trạng thái</x:v>
      </x:c>
      <x:c r="E129" s="3" t="str">
        <x:v>Chuyển trạng thái</x:v>
      </x:c>
      <x:c r="F129" s="3" t="str">
        <x:v>Positive — CONTACTING → CONTACTING</x:v>
      </x:c>
      <x:c r="G129" s="3" t="str">
        <x:v>CONTACTING → CONTACTING</x:v>
      </x:c>
      <x:c r="H129" s="3" t="str">
        <x:v>CON-003</x:v>
      </x:c>
      <x:c r="I129" s="3" t="str">
        <x:v>Khách truy cập</x:v>
      </x:c>
      <x:c r="J129" s="3" t="str">
        <x:v>Positive</x:v>
      </x:c>
      <x:c r="K129" s="3" t="str">
        <x:v>High</x:v>
      </x:c>
      <x:c r="L129" s="3" t="str">
        <x:v>High</x:v>
      </x:c>
      <x:c r="M129" s="3" t="str">
        <x:v>Môi trường QA cô lập, DB/MinIO sẵn sàng; dữ liệu fixture đã tạo. Không đăng nhập.</x:v>
      </x:c>
      <x:c r="N129" s="3" t="str">
        <x:v>Một lead fixture riêng; trường hợp cùng trạng thái gọi PATCH trực tiếp.</x:v>
      </x:c>
      <x:c r="O129" s="3" t="str">
        <x:v>1. Đặt lead QA ở CONTACTING
2. Chọn CONTACTING qua UI hoặc PATCH nếu cùng trạng thái
3. Refresh</x:v>
      </x:c>
      <x:c r="P129" s="3" t="str">
        <x:v>API 200; status=CONTACTING; history oldStatus=CONTACTING, newStatus=CONTACTING, adminId=actor; audit CONSULTATION_UPDATED.</x:v>
      </x:c>
      <x:c r="Q129" s="11" t="str"/>
      <x:c r="R129" s="8" t="str">
        <x:v>NOT RUN</x:v>
      </x:c>
      <x:c r="S129" s="11" t="str">
        <x:v>QA/UAT — cần điền URL/build</x:v>
      </x:c>
      <x:c r="T129" s="11" t="str">
        <x:v>Cần điền phiên bản thực</x:v>
      </x:c>
      <x:c r="U129" s="11" t="str"/>
      <x:c r="V129" s="12" t="str"/>
      <x:c r="W129" s="11" t="str"/>
      <x:c r="X129" s="11" t="str"/>
      <x:c r="Y129" s="3" t="str">
        <x:v>Nguồn: backend/src/modules/consultations/consultations.routes.ts. </x:v>
      </x:c>
    </x:row>
    <x:row r="130" ht="49" customHeight="1">
      <x:c r="A130" s="3" t="n">
        <x:v>129</x:v>
      </x:c>
      <x:c r="B130" s="3" t="str">
        <x:v>TC_CONSULT_028</x:v>
      </x:c>
      <x:c r="C130" s="3" t="str">
        <x:v>CONSULT</x:v>
      </x:c>
      <x:c r="D130" s="3" t="str">
        <x:v>Chuyển trạng thái</x:v>
      </x:c>
      <x:c r="E130" s="3" t="str">
        <x:v>Chuyển trạng thái</x:v>
      </x:c>
      <x:c r="F130" s="3" t="str">
        <x:v>Positive — CONTACTING → COMPLETED</x:v>
      </x:c>
      <x:c r="G130" s="3" t="str">
        <x:v>CONTACTING → COMPLETED</x:v>
      </x:c>
      <x:c r="H130" s="3" t="str">
        <x:v>CON-003</x:v>
      </x:c>
      <x:c r="I130" s="3" t="str">
        <x:v>Khách truy cập</x:v>
      </x:c>
      <x:c r="J130" s="3" t="str">
        <x:v>Positive</x:v>
      </x:c>
      <x:c r="K130" s="3" t="str">
        <x:v>High</x:v>
      </x:c>
      <x:c r="L130" s="3" t="str">
        <x:v>High</x:v>
      </x:c>
      <x:c r="M130" s="3" t="str">
        <x:v>Môi trường QA cô lập, DB/MinIO sẵn sàng; dữ liệu fixture đã tạo. Không đăng nhập.</x:v>
      </x:c>
      <x:c r="N130" s="3" t="str">
        <x:v>Một lead fixture riêng; trường hợp cùng trạng thái gọi PATCH trực tiếp.</x:v>
      </x:c>
      <x:c r="O130" s="3" t="str">
        <x:v>1. Đặt lead QA ở CONTACTING
2. Chọn COMPLETED qua UI hoặc PATCH nếu cùng trạng thái
3. Refresh</x:v>
      </x:c>
      <x:c r="P130" s="3" t="str">
        <x:v>API 200; status=COMPLETED; history oldStatus=CONTACTING, newStatus=COMPLETED, adminId=actor; audit CONSULTATION_UPDATED.</x:v>
      </x:c>
      <x:c r="Q130" s="11" t="str"/>
      <x:c r="R130" s="8" t="str">
        <x:v>NOT RUN</x:v>
      </x:c>
      <x:c r="S130" s="11" t="str">
        <x:v>QA/UAT — cần điền URL/build</x:v>
      </x:c>
      <x:c r="T130" s="11" t="str">
        <x:v>Cần điền phiên bản thực</x:v>
      </x:c>
      <x:c r="U130" s="11" t="str"/>
      <x:c r="V130" s="12" t="str"/>
      <x:c r="W130" s="11" t="str"/>
      <x:c r="X130" s="11" t="str"/>
      <x:c r="Y130" s="3" t="str">
        <x:v>Nguồn: backend/src/modules/consultations/consultations.routes.ts. </x:v>
      </x:c>
    </x:row>
    <x:row r="131" ht="49" customHeight="1">
      <x:c r="A131" s="3" t="n">
        <x:v>130</x:v>
      </x:c>
      <x:c r="B131" s="3" t="str">
        <x:v>TC_CONSULT_029</x:v>
      </x:c>
      <x:c r="C131" s="3" t="str">
        <x:v>CONSULT</x:v>
      </x:c>
      <x:c r="D131" s="3" t="str">
        <x:v>Chuyển trạng thái</x:v>
      </x:c>
      <x:c r="E131" s="3" t="str">
        <x:v>Chuyển trạng thái</x:v>
      </x:c>
      <x:c r="F131" s="3" t="str">
        <x:v>Positive — COMPLETED → NEW</x:v>
      </x:c>
      <x:c r="G131" s="3" t="str">
        <x:v>COMPLETED → NEW</x:v>
      </x:c>
      <x:c r="H131" s="3" t="str">
        <x:v>CON-003</x:v>
      </x:c>
      <x:c r="I131" s="3" t="str">
        <x:v>Khách truy cập</x:v>
      </x:c>
      <x:c r="J131" s="3" t="str">
        <x:v>Positive</x:v>
      </x:c>
      <x:c r="K131" s="3" t="str">
        <x:v>High</x:v>
      </x:c>
      <x:c r="L131" s="3" t="str">
        <x:v>High</x:v>
      </x:c>
      <x:c r="M131" s="3" t="str">
        <x:v>Môi trường QA cô lập, DB/MinIO sẵn sàng; dữ liệu fixture đã tạo. Không đăng nhập.</x:v>
      </x:c>
      <x:c r="N131" s="3" t="str">
        <x:v>Một lead fixture riêng; trường hợp cùng trạng thái gọi PATCH trực tiếp.</x:v>
      </x:c>
      <x:c r="O131" s="3" t="str">
        <x:v>1. Đặt lead QA ở COMPLETED
2. Chọn NEW qua UI hoặc PATCH nếu cùng trạng thái
3. Refresh</x:v>
      </x:c>
      <x:c r="P131" s="3" t="str">
        <x:v>API 200; status=NEW; history oldStatus=COMPLETED, newStatus=NEW, adminId=actor; audit CONSULTATION_UPDATED.</x:v>
      </x:c>
      <x:c r="Q131" s="11" t="str"/>
      <x:c r="R131" s="8" t="str">
        <x:v>NOT RUN</x:v>
      </x:c>
      <x:c r="S131" s="11" t="str">
        <x:v>QA/UAT — cần điền URL/build</x:v>
      </x:c>
      <x:c r="T131" s="11" t="str">
        <x:v>Cần điền phiên bản thực</x:v>
      </x:c>
      <x:c r="U131" s="11" t="str"/>
      <x:c r="V131" s="12" t="str"/>
      <x:c r="W131" s="11" t="str"/>
      <x:c r="X131" s="11" t="str"/>
      <x:c r="Y131" s="3" t="str">
        <x:v>Nguồn: backend/src/modules/consultations/consultations.routes.ts. </x:v>
      </x:c>
    </x:row>
    <x:row r="132" ht="49" customHeight="1">
      <x:c r="A132" s="3" t="n">
        <x:v>131</x:v>
      </x:c>
      <x:c r="B132" s="3" t="str">
        <x:v>TC_CONSULT_030</x:v>
      </x:c>
      <x:c r="C132" s="3" t="str">
        <x:v>CONSULT</x:v>
      </x:c>
      <x:c r="D132" s="3" t="str">
        <x:v>Chuyển trạng thái</x:v>
      </x:c>
      <x:c r="E132" s="3" t="str">
        <x:v>Chuyển trạng thái</x:v>
      </x:c>
      <x:c r="F132" s="3" t="str">
        <x:v>Positive — COMPLETED → CONTACTING</x:v>
      </x:c>
      <x:c r="G132" s="3" t="str">
        <x:v>COMPLETED → CONTACTING</x:v>
      </x:c>
      <x:c r="H132" s="3" t="str">
        <x:v>CON-003</x:v>
      </x:c>
      <x:c r="I132" s="3" t="str">
        <x:v>Khách truy cập</x:v>
      </x:c>
      <x:c r="J132" s="3" t="str">
        <x:v>Positive</x:v>
      </x:c>
      <x:c r="K132" s="3" t="str">
        <x:v>High</x:v>
      </x:c>
      <x:c r="L132" s="3" t="str">
        <x:v>High</x:v>
      </x:c>
      <x:c r="M132" s="3" t="str">
        <x:v>Môi trường QA cô lập, DB/MinIO sẵn sàng; dữ liệu fixture đã tạo. Không đăng nhập.</x:v>
      </x:c>
      <x:c r="N132" s="3" t="str">
        <x:v>Một lead fixture riêng; trường hợp cùng trạng thái gọi PATCH trực tiếp.</x:v>
      </x:c>
      <x:c r="O132" s="3" t="str">
        <x:v>1. Đặt lead QA ở COMPLETED
2. Chọn CONTACTING qua UI hoặc PATCH nếu cùng trạng thái
3. Refresh</x:v>
      </x:c>
      <x:c r="P132" s="3" t="str">
        <x:v>API 200; status=CONTACTING; history oldStatus=COMPLETED, newStatus=CONTACTING, adminId=actor; audit CONSULTATION_UPDATED.</x:v>
      </x:c>
      <x:c r="Q132" s="11" t="str"/>
      <x:c r="R132" s="8" t="str">
        <x:v>NOT RUN</x:v>
      </x:c>
      <x:c r="S132" s="11" t="str">
        <x:v>QA/UAT — cần điền URL/build</x:v>
      </x:c>
      <x:c r="T132" s="11" t="str">
        <x:v>Cần điền phiên bản thực</x:v>
      </x:c>
      <x:c r="U132" s="11" t="str"/>
      <x:c r="V132" s="12" t="str"/>
      <x:c r="W132" s="11" t="str"/>
      <x:c r="X132" s="11" t="str"/>
      <x:c r="Y132" s="3" t="str">
        <x:v>Nguồn: backend/src/modules/consultations/consultations.routes.ts. </x:v>
      </x:c>
    </x:row>
    <x:row r="133" ht="49" customHeight="1">
      <x:c r="A133" s="3" t="n">
        <x:v>132</x:v>
      </x:c>
      <x:c r="B133" s="3" t="str">
        <x:v>TC_CONSULT_031</x:v>
      </x:c>
      <x:c r="C133" s="3" t="str">
        <x:v>CONSULT</x:v>
      </x:c>
      <x:c r="D133" s="3" t="str">
        <x:v>Chuyển trạng thái</x:v>
      </x:c>
      <x:c r="E133" s="3" t="str">
        <x:v>Chuyển trạng thái</x:v>
      </x:c>
      <x:c r="F133" s="3" t="str">
        <x:v>Positive — COMPLETED → COMPLETED</x:v>
      </x:c>
      <x:c r="G133" s="3" t="str">
        <x:v>COMPLETED → COMPLETED</x:v>
      </x:c>
      <x:c r="H133" s="3" t="str">
        <x:v>CON-003</x:v>
      </x:c>
      <x:c r="I133" s="3" t="str">
        <x:v>Khách truy cập</x:v>
      </x:c>
      <x:c r="J133" s="3" t="str">
        <x:v>Positive</x:v>
      </x:c>
      <x:c r="K133" s="3" t="str">
        <x:v>High</x:v>
      </x:c>
      <x:c r="L133" s="3" t="str">
        <x:v>High</x:v>
      </x:c>
      <x:c r="M133" s="3" t="str">
        <x:v>Môi trường QA cô lập, DB/MinIO sẵn sàng; dữ liệu fixture đã tạo. Không đăng nhập.</x:v>
      </x:c>
      <x:c r="N133" s="3" t="str">
        <x:v>Một lead fixture riêng; trường hợp cùng trạng thái gọi PATCH trực tiếp.</x:v>
      </x:c>
      <x:c r="O133" s="3" t="str">
        <x:v>1. Đặt lead QA ở COMPLETED
2. Chọn COMPLETED qua UI hoặc PATCH nếu cùng trạng thái
3. Refresh</x:v>
      </x:c>
      <x:c r="P133" s="3" t="str">
        <x:v>API 200; status=COMPLETED; history oldStatus=COMPLETED, newStatus=COMPLETED, adminId=actor; audit CONSULTATION_UPDATED.</x:v>
      </x:c>
      <x:c r="Q133" s="11" t="str"/>
      <x:c r="R133" s="8" t="str">
        <x:v>NOT RUN</x:v>
      </x:c>
      <x:c r="S133" s="11" t="str">
        <x:v>QA/UAT — cần điền URL/build</x:v>
      </x:c>
      <x:c r="T133" s="11" t="str">
        <x:v>Cần điền phiên bản thực</x:v>
      </x:c>
      <x:c r="U133" s="11" t="str"/>
      <x:c r="V133" s="12" t="str"/>
      <x:c r="W133" s="11" t="str"/>
      <x:c r="X133" s="11" t="str"/>
      <x:c r="Y133" s="3" t="str">
        <x:v>Nguồn: backend/src/modules/consultations/consultations.routes.ts. </x:v>
      </x:c>
    </x:row>
    <x:row r="134" ht="36" customHeight="1">
      <x:c r="A134" s="3" t="n">
        <x:v>133</x:v>
      </x:c>
      <x:c r="B134" s="3" t="str">
        <x:v>TC_CONSULT_032</x:v>
      </x:c>
      <x:c r="C134" s="3" t="str">
        <x:v>CONSULT</x:v>
      </x:c>
      <x:c r="D134" s="3" t="str">
        <x:v>Dữ liệu trạng thái cũ</x:v>
      </x:c>
      <x:c r="E134" s="3" t="str">
        <x:v>Dữ liệu trạng thái cũ</x:v>
      </x:c>
      <x:c r="F134" s="3" t="str">
        <x:v>Positive — RECEIVED trên UI</x:v>
      </x:c>
      <x:c r="G134" s="3" t="str">
        <x:v>RECEIVED trên UI</x:v>
      </x:c>
      <x:c r="H134" s="3" t="str">
        <x:v>CON-003</x:v>
      </x:c>
      <x:c r="I134" s="3" t="str">
        <x:v>Khách truy cập</x:v>
      </x:c>
      <x:c r="J134" s="3" t="str">
        <x:v>Positive</x:v>
      </x:c>
      <x:c r="K134" s="3" t="str">
        <x:v>Medium</x:v>
      </x:c>
      <x:c r="L134" s="3" t="str">
        <x:v>Medium</x:v>
      </x:c>
      <x:c r="M134" s="3" t="str">
        <x:v>Môi trường QA cô lập, DB/MinIO sẵn sàng; dữ liệu fixture đã tạo. Không đăng nhập.</x:v>
      </x:c>
      <x:c r="N134" s="3" t="str">
        <x:v>Dữ liệu QA tổng hợp; xem fixture trong README.</x:v>
      </x:c>
      <x:c r="O134" s="3" t="str">
        <x:v>1. Seed lead status=RECEIVED
2. Mở consultations</x:v>
      </x:c>
      <x:c r="P134" s="3" t="str">
        <x:v>Code normalizeStatus hiển thị CONTACTING; cần xác nhận ý nghĩa nghiệp vụ trước nghiệm thu.</x:v>
      </x:c>
      <x:c r="Q134" s="11" t="str"/>
      <x:c r="R134" s="9" t="str">
        <x:v>NEED CONFIRMATION</x:v>
      </x:c>
      <x:c r="S134" s="11" t="str">
        <x:v>QA/UAT — cần điền URL/build</x:v>
      </x:c>
      <x:c r="T134" s="11" t="str">
        <x:v>Cần điền phiên bản thực</x:v>
      </x:c>
      <x:c r="U134" s="11" t="str"/>
      <x:c r="V134" s="12" t="str"/>
      <x:c r="W134" s="11" t="str"/>
      <x:c r="X134" s="11" t="str"/>
      <x:c r="Y134" s="3" t="str">
        <x:v>Nguồn: admin/src/components/consultations/ConsultationManager.tsx. Need Confirmation: Có chấp nhận ánh xạ RECEIVED thành CONTACTING không?</x:v>
      </x:c>
    </x:row>
    <x:row r="135" ht="36" customHeight="1">
      <x:c r="A135" s="3" t="n">
        <x:v>134</x:v>
      </x:c>
      <x:c r="B135" s="3" t="str">
        <x:v>TC_CONSULT_033</x:v>
      </x:c>
      <x:c r="C135" s="3" t="str">
        <x:v>CONSULT</x:v>
      </x:c>
      <x:c r="D135" s="3" t="str">
        <x:v>Dữ liệu trạng thái cũ</x:v>
      </x:c>
      <x:c r="E135" s="3" t="str">
        <x:v>Dữ liệu trạng thái cũ</x:v>
      </x:c>
      <x:c r="F135" s="3" t="str">
        <x:v>Positive — CONSULTED trên UI</x:v>
      </x:c>
      <x:c r="G135" s="3" t="str">
        <x:v>CONSULTED trên UI</x:v>
      </x:c>
      <x:c r="H135" s="3" t="str">
        <x:v>CON-003</x:v>
      </x:c>
      <x:c r="I135" s="3" t="str">
        <x:v>Khách truy cập</x:v>
      </x:c>
      <x:c r="J135" s="3" t="str">
        <x:v>Positive</x:v>
      </x:c>
      <x:c r="K135" s="3" t="str">
        <x:v>Medium</x:v>
      </x:c>
      <x:c r="L135" s="3" t="str">
        <x:v>Medium</x:v>
      </x:c>
      <x:c r="M135" s="3" t="str">
        <x:v>Môi trường QA cô lập, DB/MinIO sẵn sàng; dữ liệu fixture đã tạo. Không đăng nhập.</x:v>
      </x:c>
      <x:c r="N135" s="3" t="str">
        <x:v>Dữ liệu QA tổng hợp; xem fixture trong README.</x:v>
      </x:c>
      <x:c r="O135" s="3" t="str">
        <x:v>1. Seed lead status=CONSULTED
2. Mở consultations</x:v>
      </x:c>
      <x:c r="P135" s="3" t="str">
        <x:v>Code normalizeStatus hiển thị COMPLETED; cần xác nhận ý nghĩa nghiệp vụ trước nghiệm thu.</x:v>
      </x:c>
      <x:c r="Q135" s="11" t="str"/>
      <x:c r="R135" s="9" t="str">
        <x:v>NEED CONFIRMATION</x:v>
      </x:c>
      <x:c r="S135" s="11" t="str">
        <x:v>QA/UAT — cần điền URL/build</x:v>
      </x:c>
      <x:c r="T135" s="11" t="str">
        <x:v>Cần điền phiên bản thực</x:v>
      </x:c>
      <x:c r="U135" s="11" t="str"/>
      <x:c r="V135" s="12" t="str"/>
      <x:c r="W135" s="11" t="str"/>
      <x:c r="X135" s="11" t="str"/>
      <x:c r="Y135" s="3" t="str">
        <x:v>Nguồn: admin/src/components/consultations/ConsultationManager.tsx. Need Confirmation: Có chấp nhận ánh xạ CONSULTED thành COMPLETED không?</x:v>
      </x:c>
    </x:row>
    <x:row r="136" ht="36" customHeight="1">
      <x:c r="A136" s="3" t="n">
        <x:v>135</x:v>
      </x:c>
      <x:c r="B136" s="3" t="str">
        <x:v>TC_CONSULT_034</x:v>
      </x:c>
      <x:c r="C136" s="3" t="str">
        <x:v>CONSULT</x:v>
      </x:c>
      <x:c r="D136" s="3" t="str">
        <x:v>Dữ liệu trạng thái cũ</x:v>
      </x:c>
      <x:c r="E136" s="3" t="str">
        <x:v>Dữ liệu trạng thái cũ</x:v>
      </x:c>
      <x:c r="F136" s="3" t="str">
        <x:v>Positive — UNREACHABLE trên UI</x:v>
      </x:c>
      <x:c r="G136" s="3" t="str">
        <x:v>UNREACHABLE trên UI</x:v>
      </x:c>
      <x:c r="H136" s="3" t="str">
        <x:v>CON-003</x:v>
      </x:c>
      <x:c r="I136" s="3" t="str">
        <x:v>Khách truy cập</x:v>
      </x:c>
      <x:c r="J136" s="3" t="str">
        <x:v>Positive</x:v>
      </x:c>
      <x:c r="K136" s="3" t="str">
        <x:v>Medium</x:v>
      </x:c>
      <x:c r="L136" s="3" t="str">
        <x:v>Medium</x:v>
      </x:c>
      <x:c r="M136" s="3" t="str">
        <x:v>Môi trường QA cô lập, DB/MinIO sẵn sàng; dữ liệu fixture đã tạo. Không đăng nhập.</x:v>
      </x:c>
      <x:c r="N136" s="3" t="str">
        <x:v>Dữ liệu QA tổng hợp; xem fixture trong README.</x:v>
      </x:c>
      <x:c r="O136" s="3" t="str">
        <x:v>1. Seed lead status=UNREACHABLE
2. Mở consultations</x:v>
      </x:c>
      <x:c r="P136" s="3" t="str">
        <x:v>Code normalizeStatus hiển thị NEW; cần xác nhận ý nghĩa nghiệp vụ trước nghiệm thu.</x:v>
      </x:c>
      <x:c r="Q136" s="11" t="str"/>
      <x:c r="R136" s="9" t="str">
        <x:v>NEED CONFIRMATION</x:v>
      </x:c>
      <x:c r="S136" s="11" t="str">
        <x:v>QA/UAT — cần điền URL/build</x:v>
      </x:c>
      <x:c r="T136" s="11" t="str">
        <x:v>Cần điền phiên bản thực</x:v>
      </x:c>
      <x:c r="U136" s="11" t="str"/>
      <x:c r="V136" s="12" t="str"/>
      <x:c r="W136" s="11" t="str"/>
      <x:c r="X136" s="11" t="str"/>
      <x:c r="Y136" s="3" t="str">
        <x:v>Nguồn: admin/src/components/consultations/ConsultationManager.tsx. Need Confirmation: Có chấp nhận ánh xạ UNREACHABLE thành NEW không?</x:v>
      </x:c>
    </x:row>
    <x:row r="137" ht="36" customHeight="1">
      <x:c r="A137" s="3" t="n">
        <x:v>136</x:v>
      </x:c>
      <x:c r="B137" s="3" t="str">
        <x:v>TC_CONSULT_035</x:v>
      </x:c>
      <x:c r="C137" s="3" t="str">
        <x:v>CONSULT</x:v>
      </x:c>
      <x:c r="D137" s="3" t="str">
        <x:v>Dữ liệu trạng thái cũ</x:v>
      </x:c>
      <x:c r="E137" s="3" t="str">
        <x:v>Dữ liệu trạng thái cũ</x:v>
      </x:c>
      <x:c r="F137" s="3" t="str">
        <x:v>Positive — CANCELLED trên UI</x:v>
      </x:c>
      <x:c r="G137" s="3" t="str">
        <x:v>CANCELLED trên UI</x:v>
      </x:c>
      <x:c r="H137" s="3" t="str">
        <x:v>CON-003</x:v>
      </x:c>
      <x:c r="I137" s="3" t="str">
        <x:v>Khách truy cập</x:v>
      </x:c>
      <x:c r="J137" s="3" t="str">
        <x:v>Positive</x:v>
      </x:c>
      <x:c r="K137" s="3" t="str">
        <x:v>Medium</x:v>
      </x:c>
      <x:c r="L137" s="3" t="str">
        <x:v>Medium</x:v>
      </x:c>
      <x:c r="M137" s="3" t="str">
        <x:v>Môi trường QA cô lập, DB/MinIO sẵn sàng; dữ liệu fixture đã tạo. Không đăng nhập.</x:v>
      </x:c>
      <x:c r="N137" s="3" t="str">
        <x:v>Dữ liệu QA tổng hợp; xem fixture trong README.</x:v>
      </x:c>
      <x:c r="O137" s="3" t="str">
        <x:v>1. Seed lead status=CANCELLED
2. Mở consultations</x:v>
      </x:c>
      <x:c r="P137" s="3" t="str">
        <x:v>Code normalizeStatus hiển thị NEW; cần xác nhận ý nghĩa nghiệp vụ trước nghiệm thu.</x:v>
      </x:c>
      <x:c r="Q137" s="11" t="str"/>
      <x:c r="R137" s="9" t="str">
        <x:v>NEED CONFIRMATION</x:v>
      </x:c>
      <x:c r="S137" s="11" t="str">
        <x:v>QA/UAT — cần điền URL/build</x:v>
      </x:c>
      <x:c r="T137" s="11" t="str">
        <x:v>Cần điền phiên bản thực</x:v>
      </x:c>
      <x:c r="U137" s="11" t="str"/>
      <x:c r="V137" s="12" t="str"/>
      <x:c r="W137" s="11" t="str"/>
      <x:c r="X137" s="11" t="str"/>
      <x:c r="Y137" s="3" t="str">
        <x:v>Nguồn: admin/src/components/consultations/ConsultationManager.tsx. Need Confirmation: Có chấp nhận ánh xạ CANCELLED thành NEW không?</x:v>
      </x:c>
    </x:row>
    <x:row r="138" ht="49" customHeight="1">
      <x:c r="A138" s="3" t="n">
        <x:v>137</x:v>
      </x:c>
      <x:c r="B138" s="3" t="str">
        <x:v>TC_PUBLIC_001</x:v>
      </x:c>
      <x:c r="C138" s="3" t="str">
        <x:v>PUBLIC</x:v>
      </x:c>
      <x:c r="D138" s="3" t="str">
        <x:v>Route discover</x:v>
      </x:c>
      <x:c r="E138" s="3" t="str">
        <x:v>Route discover</x:v>
      </x:c>
      <x:c r="F138" s="3" t="str">
        <x:v>Positive — Mở /discover/gioi-thieu</x:v>
      </x:c>
      <x:c r="G138" s="3" t="str">
        <x:v>Mở /discover/gioi-thieu</x:v>
      </x:c>
      <x:c r="H138" s="3" t="str">
        <x:v>PUB-001</x:v>
      </x:c>
      <x:c r="I138" s="3" t="str">
        <x:v>Khách truy cập</x:v>
      </x:c>
      <x:c r="J138" s="3" t="str">
        <x:v>Positive</x:v>
      </x:c>
      <x:c r="K138" s="3" t="str">
        <x:v>Medium</x:v>
      </x:c>
      <x:c r="L138" s="3" t="str">
        <x:v>Medium</x:v>
      </x:c>
      <x:c r="M138" s="3" t="str">
        <x:v>Môi trường QA cô lập, DB/MinIO sẵn sàng; dữ liệu fixture đã tạo. Không đăng nhập.</x:v>
      </x:c>
      <x:c r="N138" s="3" t="str">
        <x:v>Locale vi; route /discover/gioi-thieu</x:v>
      </x:c>
      <x:c r="O138" s="3" t="str">
        <x:v>1. Mở trực tiếp /vi/discover/gioi-thieu
2. Theo dõi redirect và H1
3. Nhấn Back và mở lại bằng liên kết cùng nhóm</x:v>
      </x:c>
      <x:c r="P138" s="3" t="str">
        <x:v>Redirect /discover rồi về /vi/discover theo proxy.</x:v>
      </x:c>
      <x:c r="Q138" s="11" t="str"/>
      <x:c r="R138" s="8" t="str">
        <x:v>NOT RUN</x:v>
      </x:c>
      <x:c r="S138" s="11" t="str">
        <x:v>QA/UAT — cần điền URL/build</x:v>
      </x:c>
      <x:c r="T138" s="11" t="str">
        <x:v>Cần điền phiên bản thực</x:v>
      </x:c>
      <x:c r="U138" s="11" t="str"/>
      <x:c r="V138" s="12" t="str"/>
      <x:c r="W138" s="11" t="str"/>
      <x:c r="X138" s="11" t="str"/>
      <x:c r="Y138" s="3" t="str">
        <x:v>Nguồn: frontend/src/app/(public)/discover/[slug]/page.tsx. </x:v>
      </x:c>
    </x:row>
    <x:row r="139" ht="49" customHeight="1">
      <x:c r="A139" s="3" t="n">
        <x:v>138</x:v>
      </x:c>
      <x:c r="B139" s="3" t="str">
        <x:v>TC_PUBLIC_002</x:v>
      </x:c>
      <x:c r="C139" s="3" t="str">
        <x:v>PUBLIC</x:v>
      </x:c>
      <x:c r="D139" s="3" t="str">
        <x:v>Route discover</x:v>
      </x:c>
      <x:c r="E139" s="3" t="str">
        <x:v>Route discover</x:v>
      </x:c>
      <x:c r="F139" s="3" t="str">
        <x:v>Positive — Mở /discover/tam-nhin-su-menh</x:v>
      </x:c>
      <x:c r="G139" s="3" t="str">
        <x:v>Mở /discover/tam-nhin-su-menh</x:v>
      </x:c>
      <x:c r="H139" s="3" t="str">
        <x:v>PUB-001</x:v>
      </x:c>
      <x:c r="I139" s="3" t="str">
        <x:v>Khách truy cập</x:v>
      </x:c>
      <x:c r="J139" s="3" t="str">
        <x:v>Positive</x:v>
      </x:c>
      <x:c r="K139" s="3" t="str">
        <x:v>Medium</x:v>
      </x:c>
      <x:c r="L139" s="3" t="str">
        <x:v>Medium</x:v>
      </x:c>
      <x:c r="M139" s="3" t="str">
        <x:v>Môi trường QA cô lập, DB/MinIO sẵn sàng; dữ liệu fixture đã tạo. Không đăng nhập.</x:v>
      </x:c>
      <x:c r="N139" s="3" t="str">
        <x:v>Locale vi; route /discover/tam-nhin-su-menh</x:v>
      </x:c>
      <x:c r="O139" s="3" t="str">
        <x:v>1. Mở trực tiếp /vi/discover/tam-nhin-su-menh
2. Theo dõi redirect và H1
3. Nhấn Back và mở lại bằng liên kết cùng nhóm</x:v>
      </x:c>
      <x:c r="P139" s="3" t="str">
        <x:v>Hiển thị VisionMissionPage với tầm nhìn/sứ mệnh; không 404.</x:v>
      </x:c>
      <x:c r="Q139" s="11" t="str"/>
      <x:c r="R139" s="8" t="str">
        <x:v>NOT RUN</x:v>
      </x:c>
      <x:c r="S139" s="11" t="str">
        <x:v>QA/UAT — cần điền URL/build</x:v>
      </x:c>
      <x:c r="T139" s="11" t="str">
        <x:v>Cần điền phiên bản thực</x:v>
      </x:c>
      <x:c r="U139" s="11" t="str"/>
      <x:c r="V139" s="12" t="str"/>
      <x:c r="W139" s="11" t="str"/>
      <x:c r="X139" s="11" t="str"/>
      <x:c r="Y139" s="3" t="str">
        <x:v>Nguồn: frontend/src/app/(public)/discover/[slug]/page.tsx. </x:v>
      </x:c>
    </x:row>
    <x:row r="140" ht="49" customHeight="1">
      <x:c r="A140" s="3" t="n">
        <x:v>139</x:v>
      </x:c>
      <x:c r="B140" s="3" t="str">
        <x:v>TC_PUBLIC_003</x:v>
      </x:c>
      <x:c r="C140" s="3" t="str">
        <x:v>PUBLIC</x:v>
      </x:c>
      <x:c r="D140" s="3" t="str">
        <x:v>Route discover</x:v>
      </x:c>
      <x:c r="E140" s="3" t="str">
        <x:v>Route discover</x:v>
      </x:c>
      <x:c r="F140" s="3" t="str">
        <x:v>Positive — Mở /discover/lanh-dao</x:v>
      </x:c>
      <x:c r="G140" s="3" t="str">
        <x:v>Mở /discover/lanh-dao</x:v>
      </x:c>
      <x:c r="H140" s="3" t="str">
        <x:v>PUB-001</x:v>
      </x:c>
      <x:c r="I140" s="3" t="str">
        <x:v>Khách truy cập</x:v>
      </x:c>
      <x:c r="J140" s="3" t="str">
        <x:v>Positive</x:v>
      </x:c>
      <x:c r="K140" s="3" t="str">
        <x:v>Medium</x:v>
      </x:c>
      <x:c r="L140" s="3" t="str">
        <x:v>Medium</x:v>
      </x:c>
      <x:c r="M140" s="3" t="str">
        <x:v>Môi trường QA cô lập, DB/MinIO sẵn sàng; dữ liệu fixture đã tạo. Không đăng nhập.</x:v>
      </x:c>
      <x:c r="N140" s="3" t="str">
        <x:v>Locale vi; route /discover/lanh-dao</x:v>
      </x:c>
      <x:c r="O140" s="3" t="str">
        <x:v>1. Mở trực tiếp /vi/discover/lanh-dao
2. Theo dõi redirect và H1
3. Nhấn Back và mở lại bằng liên kết cùng nhóm</x:v>
      </x:c>
      <x:c r="P140" s="3" t="str">
        <x:v>Hiển thị LeadershipPage với tên/chức vụ lãnh đạo; không 404.</x:v>
      </x:c>
      <x:c r="Q140" s="11" t="str"/>
      <x:c r="R140" s="8" t="str">
        <x:v>NOT RUN</x:v>
      </x:c>
      <x:c r="S140" s="11" t="str">
        <x:v>QA/UAT — cần điền URL/build</x:v>
      </x:c>
      <x:c r="T140" s="11" t="str">
        <x:v>Cần điền phiên bản thực</x:v>
      </x:c>
      <x:c r="U140" s="11" t="str"/>
      <x:c r="V140" s="12" t="str"/>
      <x:c r="W140" s="11" t="str"/>
      <x:c r="X140" s="11" t="str"/>
      <x:c r="Y140" s="3" t="str">
        <x:v>Nguồn: frontend/src/app/(public)/discover/[slug]/page.tsx. </x:v>
      </x:c>
    </x:row>
    <x:row r="141" ht="49" customHeight="1">
      <x:c r="A141" s="3" t="n">
        <x:v>140</x:v>
      </x:c>
      <x:c r="B141" s="3" t="str">
        <x:v>TC_PUBLIC_004</x:v>
      </x:c>
      <x:c r="C141" s="3" t="str">
        <x:v>PUBLIC</x:v>
      </x:c>
      <x:c r="D141" s="3" t="str">
        <x:v>Route discover</x:v>
      </x:c>
      <x:c r="E141" s="3" t="str">
        <x:v>Route discover</x:v>
      </x:c>
      <x:c r="F141" s="3" t="str">
        <x:v>Positive — Mở /discover/xep-hang-thanh-tuu</x:v>
      </x:c>
      <x:c r="G141" s="3" t="str">
        <x:v>Mở /discover/xep-hang-thanh-tuu</x:v>
      </x:c>
      <x:c r="H141" s="3" t="str">
        <x:v>PUB-001</x:v>
      </x:c>
      <x:c r="I141" s="3" t="str">
        <x:v>Khách truy cập</x:v>
      </x:c>
      <x:c r="J141" s="3" t="str">
        <x:v>Positive</x:v>
      </x:c>
      <x:c r="K141" s="3" t="str">
        <x:v>Medium</x:v>
      </x:c>
      <x:c r="L141" s="3" t="str">
        <x:v>Medium</x:v>
      </x:c>
      <x:c r="M141" s="3" t="str">
        <x:v>Môi trường QA cô lập, DB/MinIO sẵn sàng; dữ liệu fixture đã tạo. Không đăng nhập.</x:v>
      </x:c>
      <x:c r="N141" s="3" t="str">
        <x:v>Locale vi; route /discover/xep-hang-thanh-tuu</x:v>
      </x:c>
      <x:c r="O141" s="3" t="str">
        <x:v>1. Mở trực tiếp /vi/discover/xep-hang-thanh-tuu
2. Theo dõi redirect và H1
3. Nhấn Back và mở lại bằng liên kết cùng nhóm</x:v>
      </x:c>
      <x:c r="P141" s="3" t="str">
        <x:v>Hiển thị DiscoverSubpageVM với nội dung xếp hạng; không 404.</x:v>
      </x:c>
      <x:c r="Q141" s="11" t="str"/>
      <x:c r="R141" s="8" t="str">
        <x:v>NOT RUN</x:v>
      </x:c>
      <x:c r="S141" s="11" t="str">
        <x:v>QA/UAT — cần điền URL/build</x:v>
      </x:c>
      <x:c r="T141" s="11" t="str">
        <x:v>Cần điền phiên bản thực</x:v>
      </x:c>
      <x:c r="U141" s="11" t="str"/>
      <x:c r="V141" s="12" t="str"/>
      <x:c r="W141" s="11" t="str"/>
      <x:c r="X141" s="11" t="str"/>
      <x:c r="Y141" s="3" t="str">
        <x:v>Nguồn: frontend/src/app/(public)/discover/[slug]/page.tsx. </x:v>
      </x:c>
    </x:row>
    <x:row r="142" ht="49" customHeight="1">
      <x:c r="A142" s="3" t="n">
        <x:v>141</x:v>
      </x:c>
      <x:c r="B142" s="3" t="str">
        <x:v>TC_PUBLIC_005</x:v>
      </x:c>
      <x:c r="C142" s="3" t="str">
        <x:v>PUBLIC</x:v>
      </x:c>
      <x:c r="D142" s="3" t="str">
        <x:v>Route discover</x:v>
      </x:c>
      <x:c r="E142" s="3" t="str">
        <x:v>Route discover</x:v>
      </x:c>
      <x:c r="F142" s="3" t="str">
        <x:v>Positive — Mở /discover/lien-he</x:v>
      </x:c>
      <x:c r="G142" s="3" t="str">
        <x:v>Mở /discover/lien-he</x:v>
      </x:c>
      <x:c r="H142" s="3" t="str">
        <x:v>PUB-001</x:v>
      </x:c>
      <x:c r="I142" s="3" t="str">
        <x:v>Khách truy cập</x:v>
      </x:c>
      <x:c r="J142" s="3" t="str">
        <x:v>Positive</x:v>
      </x:c>
      <x:c r="K142" s="3" t="str">
        <x:v>Medium</x:v>
      </x:c>
      <x:c r="L142" s="3" t="str">
        <x:v>Medium</x:v>
      </x:c>
      <x:c r="M142" s="3" t="str">
        <x:v>Môi trường QA cô lập, DB/MinIO sẵn sàng; dữ liệu fixture đã tạo. Không đăng nhập.</x:v>
      </x:c>
      <x:c r="N142" s="3" t="str">
        <x:v>Locale vi; route /discover/lien-he</x:v>
      </x:c>
      <x:c r="O142" s="3" t="str">
        <x:v>1. Mở trực tiếp /vi/discover/lien-he
2. Theo dõi redirect và H1
3. Nhấn Back và mở lại bằng liên kết cùng nhóm</x:v>
      </x:c>
      <x:c r="P142" s="3" t="str">
        <x:v>Hiển thị ContactPage với email/điện thoại/địa chỉ; không 404.</x:v>
      </x:c>
      <x:c r="Q142" s="11" t="str"/>
      <x:c r="R142" s="8" t="str">
        <x:v>NOT RUN</x:v>
      </x:c>
      <x:c r="S142" s="11" t="str">
        <x:v>QA/UAT — cần điền URL/build</x:v>
      </x:c>
      <x:c r="T142" s="11" t="str">
        <x:v>Cần điền phiên bản thực</x:v>
      </x:c>
      <x:c r="U142" s="11" t="str"/>
      <x:c r="V142" s="12" t="str"/>
      <x:c r="W142" s="11" t="str"/>
      <x:c r="X142" s="11" t="str"/>
      <x:c r="Y142" s="3" t="str">
        <x:v>Nguồn: frontend/src/app/(public)/discover/[slug]/page.tsx. </x:v>
      </x:c>
    </x:row>
    <x:row r="143" ht="49" customHeight="1">
      <x:c r="A143" s="3" t="n">
        <x:v>142</x:v>
      </x:c>
      <x:c r="B143" s="3" t="str">
        <x:v>TC_PUBLIC_006</x:v>
      </x:c>
      <x:c r="C143" s="3" t="str">
        <x:v>PUBLIC</x:v>
      </x:c>
      <x:c r="D143" s="3" t="str">
        <x:v>Route programmes</x:v>
      </x:c>
      <x:c r="E143" s="3" t="str">
        <x:v>Route programmes</x:v>
      </x:c>
      <x:c r="F143" s="3" t="str">
        <x:v>Positive — Mở /programmes/flagship</x:v>
      </x:c>
      <x:c r="G143" s="3" t="str">
        <x:v>Mở /programmes/flagship</x:v>
      </x:c>
      <x:c r="H143" s="3" t="str">
        <x:v>PUB-001</x:v>
      </x:c>
      <x:c r="I143" s="3" t="str">
        <x:v>Khách truy cập</x:v>
      </x:c>
      <x:c r="J143" s="3" t="str">
        <x:v>Positive</x:v>
      </x:c>
      <x:c r="K143" s="3" t="str">
        <x:v>Medium</x:v>
      </x:c>
      <x:c r="L143" s="3" t="str">
        <x:v>Medium</x:v>
      </x:c>
      <x:c r="M143" s="3" t="str">
        <x:v>Môi trường QA cô lập, DB/MinIO sẵn sàng; dữ liệu fixture đã tạo. Không đăng nhập.</x:v>
      </x:c>
      <x:c r="N143" s="3" t="str">
        <x:v>Locale vi; route /programmes/flagship</x:v>
      </x:c>
      <x:c r="O143" s="3" t="str">
        <x:v>1. Mở trực tiếp /vi/programmes/flagship
2. Theo dõi redirect và H1
3. Nhấn Back và mở lại bằng liên kết cùng nhóm</x:v>
      </x:c>
      <x:c r="P143" s="3" t="str">
        <x:v>Redirect tới /vi/programmes#flagship; không tạo vòng lặp.</x:v>
      </x:c>
      <x:c r="Q143" s="11" t="str"/>
      <x:c r="R143" s="8" t="str">
        <x:v>NOT RUN</x:v>
      </x:c>
      <x:c r="S143" s="11" t="str">
        <x:v>QA/UAT — cần điền URL/build</x:v>
      </x:c>
      <x:c r="T143" s="11" t="str">
        <x:v>Cần điền phiên bản thực</x:v>
      </x:c>
      <x:c r="U143" s="11" t="str"/>
      <x:c r="V143" s="12" t="str"/>
      <x:c r="W143" s="11" t="str"/>
      <x:c r="X143" s="11" t="str"/>
      <x:c r="Y143" s="3" t="str">
        <x:v>Nguồn: frontend/src/app/(public)/programmes/[slug]/page.tsx. </x:v>
      </x:c>
    </x:row>
    <x:row r="144" ht="49" customHeight="1">
      <x:c r="A144" s="3" t="n">
        <x:v>143</x:v>
      </x:c>
      <x:c r="B144" s="3" t="str">
        <x:v>TC_PUBLIC_007</x:v>
      </x:c>
      <x:c r="C144" s="3" t="str">
        <x:v>PUBLIC</x:v>
      </x:c>
      <x:c r="D144" s="3" t="str">
        <x:v>Route programmes</x:v>
      </x:c>
      <x:c r="E144" s="3" t="str">
        <x:v>Route programmes</x:v>
      </x:c>
      <x:c r="F144" s="3" t="str">
        <x:v>Positive — Mở /programmes/thac-si</x:v>
      </x:c>
      <x:c r="G144" s="3" t="str">
        <x:v>Mở /programmes/thac-si</x:v>
      </x:c>
      <x:c r="H144" s="3" t="str">
        <x:v>PUB-001</x:v>
      </x:c>
      <x:c r="I144" s="3" t="str">
        <x:v>Khách truy cập</x:v>
      </x:c>
      <x:c r="J144" s="3" t="str">
        <x:v>Positive</x:v>
      </x:c>
      <x:c r="K144" s="3" t="str">
        <x:v>Medium</x:v>
      </x:c>
      <x:c r="L144" s="3" t="str">
        <x:v>Medium</x:v>
      </x:c>
      <x:c r="M144" s="3" t="str">
        <x:v>Môi trường QA cô lập, DB/MinIO sẵn sàng; dữ liệu fixture đã tạo. Không đăng nhập.</x:v>
      </x:c>
      <x:c r="N144" s="3" t="str">
        <x:v>Locale vi; route /programmes/thac-si</x:v>
      </x:c>
      <x:c r="O144" s="3" t="str">
        <x:v>1. Mở trực tiếp /vi/programmes/thac-si
2. Theo dõi redirect và H1
3. Nhấn Back và mở lại bằng liên kết cùng nhóm</x:v>
      </x:c>
      <x:c r="P144" s="3" t="str">
        <x:v>Redirect tới /vi/programmes#thac-si; không tạo vòng lặp.</x:v>
      </x:c>
      <x:c r="Q144" s="11" t="str"/>
      <x:c r="R144" s="8" t="str">
        <x:v>NOT RUN</x:v>
      </x:c>
      <x:c r="S144" s="11" t="str">
        <x:v>QA/UAT — cần điền URL/build</x:v>
      </x:c>
      <x:c r="T144" s="11" t="str">
        <x:v>Cần điền phiên bản thực</x:v>
      </x:c>
      <x:c r="U144" s="11" t="str"/>
      <x:c r="V144" s="12" t="str"/>
      <x:c r="W144" s="11" t="str"/>
      <x:c r="X144" s="11" t="str"/>
      <x:c r="Y144" s="3" t="str">
        <x:v>Nguồn: frontend/src/app/(public)/programmes/[slug]/page.tsx. </x:v>
      </x:c>
    </x:row>
    <x:row r="145" ht="49" customHeight="1">
      <x:c r="A145" s="3" t="n">
        <x:v>144</x:v>
      </x:c>
      <x:c r="B145" s="3" t="str">
        <x:v>TC_PUBLIC_008</x:v>
      </x:c>
      <x:c r="C145" s="3" t="str">
        <x:v>PUBLIC</x:v>
      </x:c>
      <x:c r="D145" s="3" t="str">
        <x:v>Route programmes</x:v>
      </x:c>
      <x:c r="E145" s="3" t="str">
        <x:v>Route programmes</x:v>
      </x:c>
      <x:c r="F145" s="3" t="str">
        <x:v>Positive — Mở /programmes/tien-si</x:v>
      </x:c>
      <x:c r="G145" s="3" t="str">
        <x:v>Mở /programmes/tien-si</x:v>
      </x:c>
      <x:c r="H145" s="3" t="str">
        <x:v>PUB-001</x:v>
      </x:c>
      <x:c r="I145" s="3" t="str">
        <x:v>Khách truy cập</x:v>
      </x:c>
      <x:c r="J145" s="3" t="str">
        <x:v>Positive</x:v>
      </x:c>
      <x:c r="K145" s="3" t="str">
        <x:v>Medium</x:v>
      </x:c>
      <x:c r="L145" s="3" t="str">
        <x:v>Medium</x:v>
      </x:c>
      <x:c r="M145" s="3" t="str">
        <x:v>Môi trường QA cô lập, DB/MinIO sẵn sàng; dữ liệu fixture đã tạo. Không đăng nhập.</x:v>
      </x:c>
      <x:c r="N145" s="3" t="str">
        <x:v>Locale vi; route /programmes/tien-si</x:v>
      </x:c>
      <x:c r="O145" s="3" t="str">
        <x:v>1. Mở trực tiếp /vi/programmes/tien-si
2. Theo dõi redirect và H1
3. Nhấn Back và mở lại bằng liên kết cùng nhóm</x:v>
      </x:c>
      <x:c r="P145" s="3" t="str">
        <x:v>Redirect tới /vi/programmes#tien-si; không tạo vòng lặp.</x:v>
      </x:c>
      <x:c r="Q145" s="11" t="str"/>
      <x:c r="R145" s="8" t="str">
        <x:v>NOT RUN</x:v>
      </x:c>
      <x:c r="S145" s="11" t="str">
        <x:v>QA/UAT — cần điền URL/build</x:v>
      </x:c>
      <x:c r="T145" s="11" t="str">
        <x:v>Cần điền phiên bản thực</x:v>
      </x:c>
      <x:c r="U145" s="11" t="str"/>
      <x:c r="V145" s="12" t="str"/>
      <x:c r="W145" s="11" t="str"/>
      <x:c r="X145" s="11" t="str"/>
      <x:c r="Y145" s="3" t="str">
        <x:v>Nguồn: frontend/src/app/(public)/programmes/[slug]/page.tsx. </x:v>
      </x:c>
    </x:row>
    <x:row r="146" ht="49" customHeight="1">
      <x:c r="A146" s="3" t="n">
        <x:v>145</x:v>
      </x:c>
      <x:c r="B146" s="3" t="str">
        <x:v>TC_PUBLIC_009</x:v>
      </x:c>
      <x:c r="C146" s="3" t="str">
        <x:v>PUBLIC</x:v>
      </x:c>
      <x:c r="D146" s="3" t="str">
        <x:v>Route programmes</x:v>
      </x:c>
      <x:c r="E146" s="3" t="str">
        <x:v>Route programmes</x:v>
      </x:c>
      <x:c r="F146" s="3" t="str">
        <x:v>Positive — Mở /programmes/executive-education</x:v>
      </x:c>
      <x:c r="G146" s="3" t="str">
        <x:v>Mở /programmes/executive-education</x:v>
      </x:c>
      <x:c r="H146" s="3" t="str">
        <x:v>PUB-001</x:v>
      </x:c>
      <x:c r="I146" s="3" t="str">
        <x:v>Khách truy cập</x:v>
      </x:c>
      <x:c r="J146" s="3" t="str">
        <x:v>Positive</x:v>
      </x:c>
      <x:c r="K146" s="3" t="str">
        <x:v>Medium</x:v>
      </x:c>
      <x:c r="L146" s="3" t="str">
        <x:v>Medium</x:v>
      </x:c>
      <x:c r="M146" s="3" t="str">
        <x:v>Môi trường QA cô lập, DB/MinIO sẵn sàng; dữ liệu fixture đã tạo. Không đăng nhập.</x:v>
      </x:c>
      <x:c r="N146" s="3" t="str">
        <x:v>Locale vi; route /programmes/executive-education</x:v>
      </x:c>
      <x:c r="O146" s="3" t="str">
        <x:v>1. Mở trực tiếp /vi/programmes/executive-education
2. Theo dõi redirect và H1
3. Nhấn Back và mở lại bằng liên kết cùng nhóm</x:v>
      </x:c>
      <x:c r="P146" s="3" t="str">
        <x:v>Redirect tới /vi/programmes#executive-education; không tạo vòng lặp.</x:v>
      </x:c>
      <x:c r="Q146" s="11" t="str"/>
      <x:c r="R146" s="8" t="str">
        <x:v>NOT RUN</x:v>
      </x:c>
      <x:c r="S146" s="11" t="str">
        <x:v>QA/UAT — cần điền URL/build</x:v>
      </x:c>
      <x:c r="T146" s="11" t="str">
        <x:v>Cần điền phiên bản thực</x:v>
      </x:c>
      <x:c r="U146" s="11" t="str"/>
      <x:c r="V146" s="12" t="str"/>
      <x:c r="W146" s="11" t="str"/>
      <x:c r="X146" s="11" t="str"/>
      <x:c r="Y146" s="3" t="str">
        <x:v>Nguồn: frontend/src/app/(public)/programmes/[slug]/page.tsx. </x:v>
      </x:c>
    </x:row>
    <x:row r="147" ht="49" customHeight="1">
      <x:c r="A147" s="3" t="n">
        <x:v>146</x:v>
      </x:c>
      <x:c r="B147" s="3" t="str">
        <x:v>TC_PUBLIC_010</x:v>
      </x:c>
      <x:c r="C147" s="3" t="str">
        <x:v>PUBLIC</x:v>
      </x:c>
      <x:c r="D147" s="3" t="str">
        <x:v>Route programmes</x:v>
      </x:c>
      <x:c r="E147" s="3" t="str">
        <x:v>Route programmes</x:v>
      </x:c>
      <x:c r="F147" s="3" t="str">
        <x:v>Positive — Mở /programmes/quoc-te</x:v>
      </x:c>
      <x:c r="G147" s="3" t="str">
        <x:v>Mở /programmes/quoc-te</x:v>
      </x:c>
      <x:c r="H147" s="3" t="str">
        <x:v>PUB-001</x:v>
      </x:c>
      <x:c r="I147" s="3" t="str">
        <x:v>Khách truy cập</x:v>
      </x:c>
      <x:c r="J147" s="3" t="str">
        <x:v>Positive</x:v>
      </x:c>
      <x:c r="K147" s="3" t="str">
        <x:v>Medium</x:v>
      </x:c>
      <x:c r="L147" s="3" t="str">
        <x:v>Medium</x:v>
      </x:c>
      <x:c r="M147" s="3" t="str">
        <x:v>Môi trường QA cô lập, DB/MinIO sẵn sàng; dữ liệu fixture đã tạo. Không đăng nhập.</x:v>
      </x:c>
      <x:c r="N147" s="3" t="str">
        <x:v>Locale vi; route /programmes/quoc-te</x:v>
      </x:c>
      <x:c r="O147" s="3" t="str">
        <x:v>1. Mở trực tiếp /vi/programmes/quoc-te
2. Theo dõi redirect và H1
3. Nhấn Back và mở lại bằng liên kết cùng nhóm</x:v>
      </x:c>
      <x:c r="P147" s="3" t="str">
        <x:v>Redirect tới /vi/programmes#quoc-te; không tạo vòng lặp.</x:v>
      </x:c>
      <x:c r="Q147" s="11" t="str"/>
      <x:c r="R147" s="8" t="str">
        <x:v>NOT RUN</x:v>
      </x:c>
      <x:c r="S147" s="11" t="str">
        <x:v>QA/UAT — cần điền URL/build</x:v>
      </x:c>
      <x:c r="T147" s="11" t="str">
        <x:v>Cần điền phiên bản thực</x:v>
      </x:c>
      <x:c r="U147" s="11" t="str"/>
      <x:c r="V147" s="12" t="str"/>
      <x:c r="W147" s="11" t="str"/>
      <x:c r="X147" s="11" t="str"/>
      <x:c r="Y147" s="3" t="str">
        <x:v>Nguồn: frontend/src/app/(public)/programmes/[slug]/page.tsx. </x:v>
      </x:c>
    </x:row>
    <x:row r="148" ht="49" customHeight="1">
      <x:c r="A148" s="3" t="n">
        <x:v>147</x:v>
      </x:c>
      <x:c r="B148" s="3" t="str">
        <x:v>TC_PUBLIC_011</x:v>
      </x:c>
      <x:c r="C148" s="3" t="str">
        <x:v>PUBLIC</x:v>
      </x:c>
      <x:c r="D148" s="3" t="str">
        <x:v>Route admissions</x:v>
      </x:c>
      <x:c r="E148" s="3" t="str">
        <x:v>Route admissions</x:v>
      </x:c>
      <x:c r="F148" s="3" t="str">
        <x:v>Positive — Mở /admissions/yeu-cau</x:v>
      </x:c>
      <x:c r="G148" s="3" t="str">
        <x:v>Mở /admissions/yeu-cau</x:v>
      </x:c>
      <x:c r="H148" s="3" t="str">
        <x:v>PUB-001</x:v>
      </x:c>
      <x:c r="I148" s="3" t="str">
        <x:v>Khách truy cập</x:v>
      </x:c>
      <x:c r="J148" s="3" t="str">
        <x:v>Positive</x:v>
      </x:c>
      <x:c r="K148" s="3" t="str">
        <x:v>Medium</x:v>
      </x:c>
      <x:c r="L148" s="3" t="str">
        <x:v>Medium</x:v>
      </x:c>
      <x:c r="M148" s="3" t="str">
        <x:v>Môi trường QA cô lập, DB/MinIO sẵn sàng; dữ liệu fixture đã tạo. Không đăng nhập.</x:v>
      </x:c>
      <x:c r="N148" s="3" t="str">
        <x:v>Locale vi; route /admissions/yeu-cau</x:v>
      </x:c>
      <x:c r="O148" s="3" t="str">
        <x:v>1. Mở trực tiếp /vi/admissions/yeu-cau
2. Theo dõi redirect và H1
3. Nhấn Back và mở lại bằng liên kết cùng nhóm</x:v>
      </x:c>
      <x:c r="P148" s="3" t="str">
        <x:v>Redirect tới /vi/admissions#yeu-cau; không tạo vòng lặp.</x:v>
      </x:c>
      <x:c r="Q148" s="11" t="str"/>
      <x:c r="R148" s="8" t="str">
        <x:v>NOT RUN</x:v>
      </x:c>
      <x:c r="S148" s="11" t="str">
        <x:v>QA/UAT — cần điền URL/build</x:v>
      </x:c>
      <x:c r="T148" s="11" t="str">
        <x:v>Cần điền phiên bản thực</x:v>
      </x:c>
      <x:c r="U148" s="11" t="str"/>
      <x:c r="V148" s="12" t="str"/>
      <x:c r="W148" s="11" t="str"/>
      <x:c r="X148" s="11" t="str"/>
      <x:c r="Y148" s="3" t="str">
        <x:v>Nguồn: frontend/src/app/(public)/admissions/[slug]/page.tsx. </x:v>
      </x:c>
    </x:row>
    <x:row r="149" ht="49" customHeight="1">
      <x:c r="A149" s="3" t="n">
        <x:v>148</x:v>
      </x:c>
      <x:c r="B149" s="3" t="str">
        <x:v>TC_PUBLIC_012</x:v>
      </x:c>
      <x:c r="C149" s="3" t="str">
        <x:v>PUBLIC</x:v>
      </x:c>
      <x:c r="D149" s="3" t="str">
        <x:v>Route admissions</x:v>
      </x:c>
      <x:c r="E149" s="3" t="str">
        <x:v>Route admissions</x:v>
      </x:c>
      <x:c r="F149" s="3" t="str">
        <x:v>Positive — Mở /admissions/hoc-phi</x:v>
      </x:c>
      <x:c r="G149" s="3" t="str">
        <x:v>Mở /admissions/hoc-phi</x:v>
      </x:c>
      <x:c r="H149" s="3" t="str">
        <x:v>PUB-001</x:v>
      </x:c>
      <x:c r="I149" s="3" t="str">
        <x:v>Khách truy cập</x:v>
      </x:c>
      <x:c r="J149" s="3" t="str">
        <x:v>Positive</x:v>
      </x:c>
      <x:c r="K149" s="3" t="str">
        <x:v>Medium</x:v>
      </x:c>
      <x:c r="L149" s="3" t="str">
        <x:v>Medium</x:v>
      </x:c>
      <x:c r="M149" s="3" t="str">
        <x:v>Môi trường QA cô lập, DB/MinIO sẵn sàng; dữ liệu fixture đã tạo. Không đăng nhập.</x:v>
      </x:c>
      <x:c r="N149" s="3" t="str">
        <x:v>Locale vi; route /admissions/hoc-phi</x:v>
      </x:c>
      <x:c r="O149" s="3" t="str">
        <x:v>1. Mở trực tiếp /vi/admissions/hoc-phi
2. Theo dõi redirect và H1
3. Nhấn Back và mở lại bằng liên kết cùng nhóm</x:v>
      </x:c>
      <x:c r="P149" s="3" t="str">
        <x:v>Redirect tới /vi/admissions#hoc-phi; không tạo vòng lặp.</x:v>
      </x:c>
      <x:c r="Q149" s="11" t="str"/>
      <x:c r="R149" s="8" t="str">
        <x:v>NOT RUN</x:v>
      </x:c>
      <x:c r="S149" s="11" t="str">
        <x:v>QA/UAT — cần điền URL/build</x:v>
      </x:c>
      <x:c r="T149" s="11" t="str">
        <x:v>Cần điền phiên bản thực</x:v>
      </x:c>
      <x:c r="U149" s="11" t="str"/>
      <x:c r="V149" s="12" t="str"/>
      <x:c r="W149" s="11" t="str"/>
      <x:c r="X149" s="11" t="str"/>
      <x:c r="Y149" s="3" t="str">
        <x:v>Nguồn: frontend/src/app/(public)/admissions/[slug]/page.tsx. </x:v>
      </x:c>
    </x:row>
    <x:row r="150" ht="49" customHeight="1">
      <x:c r="A150" s="3" t="n">
        <x:v>149</x:v>
      </x:c>
      <x:c r="B150" s="3" t="str">
        <x:v>TC_PUBLIC_013</x:v>
      </x:c>
      <x:c r="C150" s="3" t="str">
        <x:v>PUBLIC</x:v>
      </x:c>
      <x:c r="D150" s="3" t="str">
        <x:v>Route admissions</x:v>
      </x:c>
      <x:c r="E150" s="3" t="str">
        <x:v>Route admissions</x:v>
      </x:c>
      <x:c r="F150" s="3" t="str">
        <x:v>Positive — Mở /admissions/hoc-bong</x:v>
      </x:c>
      <x:c r="G150" s="3" t="str">
        <x:v>Mở /admissions/hoc-bong</x:v>
      </x:c>
      <x:c r="H150" s="3" t="str">
        <x:v>PUB-001</x:v>
      </x:c>
      <x:c r="I150" s="3" t="str">
        <x:v>Khách truy cập</x:v>
      </x:c>
      <x:c r="J150" s="3" t="str">
        <x:v>Positive</x:v>
      </x:c>
      <x:c r="K150" s="3" t="str">
        <x:v>Medium</x:v>
      </x:c>
      <x:c r="L150" s="3" t="str">
        <x:v>Medium</x:v>
      </x:c>
      <x:c r="M150" s="3" t="str">
        <x:v>Môi trường QA cô lập, DB/MinIO sẵn sàng; dữ liệu fixture đã tạo. Không đăng nhập.</x:v>
      </x:c>
      <x:c r="N150" s="3" t="str">
        <x:v>Locale vi; route /admissions/hoc-bong</x:v>
      </x:c>
      <x:c r="O150" s="3" t="str">
        <x:v>1. Mở trực tiếp /vi/admissions/hoc-bong
2. Theo dõi redirect và H1
3. Nhấn Back và mở lại bằng liên kết cùng nhóm</x:v>
      </x:c>
      <x:c r="P150" s="3" t="str">
        <x:v>Redirect tới /vi/admissions#hoc-bong; không tạo vòng lặp.</x:v>
      </x:c>
      <x:c r="Q150" s="11" t="str"/>
      <x:c r="R150" s="8" t="str">
        <x:v>NOT RUN</x:v>
      </x:c>
      <x:c r="S150" s="11" t="str">
        <x:v>QA/UAT — cần điền URL/build</x:v>
      </x:c>
      <x:c r="T150" s="11" t="str">
        <x:v>Cần điền phiên bản thực</x:v>
      </x:c>
      <x:c r="U150" s="11" t="str"/>
      <x:c r="V150" s="12" t="str"/>
      <x:c r="W150" s="11" t="str"/>
      <x:c r="X150" s="11" t="str"/>
      <x:c r="Y150" s="3" t="str">
        <x:v>Nguồn: frontend/src/app/(public)/admissions/[slug]/page.tsx. </x:v>
      </x:c>
    </x:row>
    <x:row r="151" ht="49" customHeight="1">
      <x:c r="A151" s="3" t="n">
        <x:v>150</x:v>
      </x:c>
      <x:c r="B151" s="3" t="str">
        <x:v>TC_PUBLIC_014</x:v>
      </x:c>
      <x:c r="C151" s="3" t="str">
        <x:v>PUBLIC</x:v>
      </x:c>
      <x:c r="D151" s="3" t="str">
        <x:v>Route admissions</x:v>
      </x:c>
      <x:c r="E151" s="3" t="str">
        <x:v>Route admissions</x:v>
      </x:c>
      <x:c r="F151" s="3" t="str">
        <x:v>Positive — Mở /admissions/nop-ho-so</x:v>
      </x:c>
      <x:c r="G151" s="3" t="str">
        <x:v>Mở /admissions/nop-ho-so</x:v>
      </x:c>
      <x:c r="H151" s="3" t="str">
        <x:v>PUB-001</x:v>
      </x:c>
      <x:c r="I151" s="3" t="str">
        <x:v>Khách truy cập</x:v>
      </x:c>
      <x:c r="J151" s="3" t="str">
        <x:v>Positive</x:v>
      </x:c>
      <x:c r="K151" s="3" t="str">
        <x:v>Medium</x:v>
      </x:c>
      <x:c r="L151" s="3" t="str">
        <x:v>Medium</x:v>
      </x:c>
      <x:c r="M151" s="3" t="str">
        <x:v>Môi trường QA cô lập, DB/MinIO sẵn sàng; dữ liệu fixture đã tạo. Không đăng nhập.</x:v>
      </x:c>
      <x:c r="N151" s="3" t="str">
        <x:v>Locale vi; route /admissions/nop-ho-so</x:v>
      </x:c>
      <x:c r="O151" s="3" t="str">
        <x:v>1. Mở trực tiếp /vi/admissions/nop-ho-so
2. Theo dõi redirect và H1
3. Nhấn Back và mở lại bằng liên kết cùng nhóm</x:v>
      </x:c>
      <x:c r="P151" s="3" t="str">
        <x:v>Redirect tới /vi/admissions#nop-ho-so; không tạo vòng lặp.</x:v>
      </x:c>
      <x:c r="Q151" s="11" t="str"/>
      <x:c r="R151" s="8" t="str">
        <x:v>NOT RUN</x:v>
      </x:c>
      <x:c r="S151" s="11" t="str">
        <x:v>QA/UAT — cần điền URL/build</x:v>
      </x:c>
      <x:c r="T151" s="11" t="str">
        <x:v>Cần điền phiên bản thực</x:v>
      </x:c>
      <x:c r="U151" s="11" t="str"/>
      <x:c r="V151" s="12" t="str"/>
      <x:c r="W151" s="11" t="str"/>
      <x:c r="X151" s="11" t="str"/>
      <x:c r="Y151" s="3" t="str">
        <x:v>Nguồn: frontend/src/app/(public)/admissions/[slug]/page.tsx. </x:v>
      </x:c>
    </x:row>
    <x:row r="152" ht="49" customHeight="1">
      <x:c r="A152" s="3" t="n">
        <x:v>151</x:v>
      </x:c>
      <x:c r="B152" s="3" t="str">
        <x:v>TC_PUBLIC_015</x:v>
      </x:c>
      <x:c r="C152" s="3" t="str">
        <x:v>PUBLIC</x:v>
      </x:c>
      <x:c r="D152" s="3" t="str">
        <x:v>Route admissions</x:v>
      </x:c>
      <x:c r="E152" s="3" t="str">
        <x:v>Route admissions</x:v>
      </x:c>
      <x:c r="F152" s="3" t="str">
        <x:v>Positive — Mở /admissions/moc-thoi-gian</x:v>
      </x:c>
      <x:c r="G152" s="3" t="str">
        <x:v>Mở /admissions/moc-thoi-gian</x:v>
      </x:c>
      <x:c r="H152" s="3" t="str">
        <x:v>PUB-001</x:v>
      </x:c>
      <x:c r="I152" s="3" t="str">
        <x:v>Khách truy cập</x:v>
      </x:c>
      <x:c r="J152" s="3" t="str">
        <x:v>Positive</x:v>
      </x:c>
      <x:c r="K152" s="3" t="str">
        <x:v>Medium</x:v>
      </x:c>
      <x:c r="L152" s="3" t="str">
        <x:v>Medium</x:v>
      </x:c>
      <x:c r="M152" s="3" t="str">
        <x:v>Môi trường QA cô lập, DB/MinIO sẵn sàng; dữ liệu fixture đã tạo. Không đăng nhập.</x:v>
      </x:c>
      <x:c r="N152" s="3" t="str">
        <x:v>Locale vi; route /admissions/moc-thoi-gian</x:v>
      </x:c>
      <x:c r="O152" s="3" t="str">
        <x:v>1. Mở trực tiếp /vi/admissions/moc-thoi-gian
2. Theo dõi redirect và H1
3. Nhấn Back và mở lại bằng liên kết cùng nhóm</x:v>
      </x:c>
      <x:c r="P152" s="3" t="str">
        <x:v>Redirect tới /vi/admissions#moc-thoi-gian; không tạo vòng lặp.</x:v>
      </x:c>
      <x:c r="Q152" s="11" t="str"/>
      <x:c r="R152" s="8" t="str">
        <x:v>NOT RUN</x:v>
      </x:c>
      <x:c r="S152" s="11" t="str">
        <x:v>QA/UAT — cần điền URL/build</x:v>
      </x:c>
      <x:c r="T152" s="11" t="str">
        <x:v>Cần điền phiên bản thực</x:v>
      </x:c>
      <x:c r="U152" s="11" t="str"/>
      <x:c r="V152" s="12" t="str"/>
      <x:c r="W152" s="11" t="str"/>
      <x:c r="X152" s="11" t="str"/>
      <x:c r="Y152" s="3" t="str">
        <x:v>Nguồn: frontend/src/app/(public)/admissions/[slug]/page.tsx. </x:v>
      </x:c>
    </x:row>
    <x:row r="153" ht="49" customHeight="1">
      <x:c r="A153" s="3" t="n">
        <x:v>152</x:v>
      </x:c>
      <x:c r="B153" s="3" t="str">
        <x:v>TC_PUBLIC_016</x:v>
      </x:c>
      <x:c r="C153" s="3" t="str">
        <x:v>PUBLIC</x:v>
      </x:c>
      <x:c r="D153" s="3" t="str">
        <x:v>Route research</x:v>
      </x:c>
      <x:c r="E153" s="3" t="str">
        <x:v>Route research</x:v>
      </x:c>
      <x:c r="F153" s="3" t="str">
        <x:v>Positive — Mở /research/cum-nghien-cuu</x:v>
      </x:c>
      <x:c r="G153" s="3" t="str">
        <x:v>Mở /research/cum-nghien-cuu</x:v>
      </x:c>
      <x:c r="H153" s="3" t="str">
        <x:v>PUB-001</x:v>
      </x:c>
      <x:c r="I153" s="3" t="str">
        <x:v>Khách truy cập</x:v>
      </x:c>
      <x:c r="J153" s="3" t="str">
        <x:v>Positive</x:v>
      </x:c>
      <x:c r="K153" s="3" t="str">
        <x:v>Medium</x:v>
      </x:c>
      <x:c r="L153" s="3" t="str">
        <x:v>Medium</x:v>
      </x:c>
      <x:c r="M153" s="3" t="str">
        <x:v>Môi trường QA cô lập, DB/MinIO sẵn sàng; dữ liệu fixture đã tạo. Không đăng nhập.</x:v>
      </x:c>
      <x:c r="N153" s="3" t="str">
        <x:v>Locale vi; route /research/cum-nghien-cuu</x:v>
      </x:c>
      <x:c r="O153" s="3" t="str">
        <x:v>1. Mở trực tiếp /vi/research/cum-nghien-cuu
2. Theo dõi redirect và H1
3. Nhấn Back và mở lại bằng liên kết cùng nhóm</x:v>
      </x:c>
      <x:c r="P153" s="3" t="str">
        <x:v>Redirect tới /vi/research#cum-nghien-cuu; không tạo vòng lặp.</x:v>
      </x:c>
      <x:c r="Q153" s="11" t="str"/>
      <x:c r="R153" s="8" t="str">
        <x:v>NOT RUN</x:v>
      </x:c>
      <x:c r="S153" s="11" t="str">
        <x:v>QA/UAT — cần điền URL/build</x:v>
      </x:c>
      <x:c r="T153" s="11" t="str">
        <x:v>Cần điền phiên bản thực</x:v>
      </x:c>
      <x:c r="U153" s="11" t="str"/>
      <x:c r="V153" s="12" t="str"/>
      <x:c r="W153" s="11" t="str"/>
      <x:c r="X153" s="11" t="str"/>
      <x:c r="Y153" s="3" t="str">
        <x:v>Nguồn: frontend/src/app/(public)/research/[slug]/page.tsx. </x:v>
      </x:c>
    </x:row>
    <x:row r="154" ht="49" customHeight="1">
      <x:c r="A154" s="3" t="n">
        <x:v>153</x:v>
      </x:c>
      <x:c r="B154" s="3" t="str">
        <x:v>TC_PUBLIC_017</x:v>
      </x:c>
      <x:c r="C154" s="3" t="str">
        <x:v>PUBLIC</x:v>
      </x:c>
      <x:c r="D154" s="3" t="str">
        <x:v>Route research</x:v>
      </x:c>
      <x:c r="E154" s="3" t="str">
        <x:v>Route research</x:v>
      </x:c>
      <x:c r="F154" s="3" t="str">
        <x:v>Positive — Mở /research/du-an</x:v>
      </x:c>
      <x:c r="G154" s="3" t="str">
        <x:v>Mở /research/du-an</x:v>
      </x:c>
      <x:c r="H154" s="3" t="str">
        <x:v>PUB-001</x:v>
      </x:c>
      <x:c r="I154" s="3" t="str">
        <x:v>Khách truy cập</x:v>
      </x:c>
      <x:c r="J154" s="3" t="str">
        <x:v>Positive</x:v>
      </x:c>
      <x:c r="K154" s="3" t="str">
        <x:v>Medium</x:v>
      </x:c>
      <x:c r="L154" s="3" t="str">
        <x:v>Medium</x:v>
      </x:c>
      <x:c r="M154" s="3" t="str">
        <x:v>Môi trường QA cô lập, DB/MinIO sẵn sàng; dữ liệu fixture đã tạo. Không đăng nhập.</x:v>
      </x:c>
      <x:c r="N154" s="3" t="str">
        <x:v>Locale vi; route /research/du-an</x:v>
      </x:c>
      <x:c r="O154" s="3" t="str">
        <x:v>1. Mở trực tiếp /vi/research/du-an
2. Theo dõi redirect và H1
3. Nhấn Back và mở lại bằng liên kết cùng nhóm</x:v>
      </x:c>
      <x:c r="P154" s="3" t="str">
        <x:v>Redirect tới /vi/research#du-an; không tạo vòng lặp.</x:v>
      </x:c>
      <x:c r="Q154" s="11" t="str"/>
      <x:c r="R154" s="8" t="str">
        <x:v>NOT RUN</x:v>
      </x:c>
      <x:c r="S154" s="11" t="str">
        <x:v>QA/UAT — cần điền URL/build</x:v>
      </x:c>
      <x:c r="T154" s="11" t="str">
        <x:v>Cần điền phiên bản thực</x:v>
      </x:c>
      <x:c r="U154" s="11" t="str"/>
      <x:c r="V154" s="12" t="str"/>
      <x:c r="W154" s="11" t="str"/>
      <x:c r="X154" s="11" t="str"/>
      <x:c r="Y154" s="3" t="str">
        <x:v>Nguồn: frontend/src/app/(public)/research/[slug]/page.tsx. </x:v>
      </x:c>
    </x:row>
    <x:row r="155" ht="49" customHeight="1">
      <x:c r="A155" s="3" t="n">
        <x:v>154</x:v>
      </x:c>
      <x:c r="B155" s="3" t="str">
        <x:v>TC_PUBLIC_018</x:v>
      </x:c>
      <x:c r="C155" s="3" t="str">
        <x:v>PUBLIC</x:v>
      </x:c>
      <x:c r="D155" s="3" t="str">
        <x:v>Route research</x:v>
      </x:c>
      <x:c r="E155" s="3" t="str">
        <x:v>Route research</x:v>
      </x:c>
      <x:c r="F155" s="3" t="str">
        <x:v>Positive — Mở /research/cong-bo</x:v>
      </x:c>
      <x:c r="G155" s="3" t="str">
        <x:v>Mở /research/cong-bo</x:v>
      </x:c>
      <x:c r="H155" s="3" t="str">
        <x:v>PUB-001</x:v>
      </x:c>
      <x:c r="I155" s="3" t="str">
        <x:v>Khách truy cập</x:v>
      </x:c>
      <x:c r="J155" s="3" t="str">
        <x:v>Positive</x:v>
      </x:c>
      <x:c r="K155" s="3" t="str">
        <x:v>Medium</x:v>
      </x:c>
      <x:c r="L155" s="3" t="str">
        <x:v>Medium</x:v>
      </x:c>
      <x:c r="M155" s="3" t="str">
        <x:v>Môi trường QA cô lập, DB/MinIO sẵn sàng; dữ liệu fixture đã tạo. Không đăng nhập.</x:v>
      </x:c>
      <x:c r="N155" s="3" t="str">
        <x:v>Locale vi; route /research/cong-bo</x:v>
      </x:c>
      <x:c r="O155" s="3" t="str">
        <x:v>1. Mở trực tiếp /vi/research/cong-bo
2. Theo dõi redirect và H1
3. Nhấn Back và mở lại bằng liên kết cùng nhóm</x:v>
      </x:c>
      <x:c r="P155" s="3" t="str">
        <x:v>Redirect tới /vi/research#cong-bo; không tạo vòng lặp.</x:v>
      </x:c>
      <x:c r="Q155" s="11" t="str"/>
      <x:c r="R155" s="8" t="str">
        <x:v>NOT RUN</x:v>
      </x:c>
      <x:c r="S155" s="11" t="str">
        <x:v>QA/UAT — cần điền URL/build</x:v>
      </x:c>
      <x:c r="T155" s="11" t="str">
        <x:v>Cần điền phiên bản thực</x:v>
      </x:c>
      <x:c r="U155" s="11" t="str"/>
      <x:c r="V155" s="12" t="str"/>
      <x:c r="W155" s="11" t="str"/>
      <x:c r="X155" s="11" t="str"/>
      <x:c r="Y155" s="3" t="str">
        <x:v>Nguồn: frontend/src/app/(public)/research/[slug]/page.tsx. </x:v>
      </x:c>
    </x:row>
    <x:row r="156" ht="49" customHeight="1">
      <x:c r="A156" s="3" t="n">
        <x:v>155</x:v>
      </x:c>
      <x:c r="B156" s="3" t="str">
        <x:v>TC_PUBLIC_019</x:v>
      </x:c>
      <x:c r="C156" s="3" t="str">
        <x:v>PUBLIC</x:v>
      </x:c>
      <x:c r="D156" s="3" t="str">
        <x:v>Route research</x:v>
      </x:c>
      <x:c r="E156" s="3" t="str">
        <x:v>Route research</x:v>
      </x:c>
      <x:c r="F156" s="3" t="str">
        <x:v>Positive — Mở /research/hoi-thao</x:v>
      </x:c>
      <x:c r="G156" s="3" t="str">
        <x:v>Mở /research/hoi-thao</x:v>
      </x:c>
      <x:c r="H156" s="3" t="str">
        <x:v>PUB-001</x:v>
      </x:c>
      <x:c r="I156" s="3" t="str">
        <x:v>Khách truy cập</x:v>
      </x:c>
      <x:c r="J156" s="3" t="str">
        <x:v>Positive</x:v>
      </x:c>
      <x:c r="K156" s="3" t="str">
        <x:v>Medium</x:v>
      </x:c>
      <x:c r="L156" s="3" t="str">
        <x:v>Medium</x:v>
      </x:c>
      <x:c r="M156" s="3" t="str">
        <x:v>Môi trường QA cô lập, DB/MinIO sẵn sàng; dữ liệu fixture đã tạo. Không đăng nhập.</x:v>
      </x:c>
      <x:c r="N156" s="3" t="str">
        <x:v>Locale vi; route /research/hoi-thao</x:v>
      </x:c>
      <x:c r="O156" s="3" t="str">
        <x:v>1. Mở trực tiếp /vi/research/hoi-thao
2. Theo dõi redirect và H1
3. Nhấn Back và mở lại bằng liên kết cùng nhóm</x:v>
      </x:c>
      <x:c r="P156" s="3" t="str">
        <x:v>Redirect tới /vi/research#hoi-thao; không tạo vòng lặp.</x:v>
      </x:c>
      <x:c r="Q156" s="11" t="str"/>
      <x:c r="R156" s="8" t="str">
        <x:v>NOT RUN</x:v>
      </x:c>
      <x:c r="S156" s="11" t="str">
        <x:v>QA/UAT — cần điền URL/build</x:v>
      </x:c>
      <x:c r="T156" s="11" t="str">
        <x:v>Cần điền phiên bản thực</x:v>
      </x:c>
      <x:c r="U156" s="11" t="str"/>
      <x:c r="V156" s="12" t="str"/>
      <x:c r="W156" s="11" t="str"/>
      <x:c r="X156" s="11" t="str"/>
      <x:c r="Y156" s="3" t="str">
        <x:v>Nguồn: frontend/src/app/(public)/research/[slug]/page.tsx. </x:v>
      </x:c>
    </x:row>
    <x:row r="157" ht="49" customHeight="1">
      <x:c r="A157" s="3" t="n">
        <x:v>156</x:v>
      </x:c>
      <x:c r="B157" s="3" t="str">
        <x:v>TC_PUBLIC_020</x:v>
      </x:c>
      <x:c r="C157" s="3" t="str">
        <x:v>PUBLIC</x:v>
      </x:c>
      <x:c r="D157" s="3" t="str">
        <x:v>Route research</x:v>
      </x:c>
      <x:c r="E157" s="3" t="str">
        <x:v>Route research</x:v>
      </x:c>
      <x:c r="F157" s="3" t="str">
        <x:v>Positive — Mở /research/doi-moi-sang-tao</x:v>
      </x:c>
      <x:c r="G157" s="3" t="str">
        <x:v>Mở /research/doi-moi-sang-tao</x:v>
      </x:c>
      <x:c r="H157" s="3" t="str">
        <x:v>PUB-001</x:v>
      </x:c>
      <x:c r="I157" s="3" t="str">
        <x:v>Khách truy cập</x:v>
      </x:c>
      <x:c r="J157" s="3" t="str">
        <x:v>Positive</x:v>
      </x:c>
      <x:c r="K157" s="3" t="str">
        <x:v>Medium</x:v>
      </x:c>
      <x:c r="L157" s="3" t="str">
        <x:v>Medium</x:v>
      </x:c>
      <x:c r="M157" s="3" t="str">
        <x:v>Môi trường QA cô lập, DB/MinIO sẵn sàng; dữ liệu fixture đã tạo. Không đăng nhập.</x:v>
      </x:c>
      <x:c r="N157" s="3" t="str">
        <x:v>Locale vi; route /research/doi-moi-sang-tao</x:v>
      </x:c>
      <x:c r="O157" s="3" t="str">
        <x:v>1. Mở trực tiếp /vi/research/doi-moi-sang-tao
2. Theo dõi redirect và H1
3. Nhấn Back và mở lại bằng liên kết cùng nhóm</x:v>
      </x:c>
      <x:c r="P157" s="3" t="str">
        <x:v>Redirect tới /vi/research#doi-moi-sang-tao; không tạo vòng lặp.</x:v>
      </x:c>
      <x:c r="Q157" s="11" t="str"/>
      <x:c r="R157" s="8" t="str">
        <x:v>NOT RUN</x:v>
      </x:c>
      <x:c r="S157" s="11" t="str">
        <x:v>QA/UAT — cần điền URL/build</x:v>
      </x:c>
      <x:c r="T157" s="11" t="str">
        <x:v>Cần điền phiên bản thực</x:v>
      </x:c>
      <x:c r="U157" s="11" t="str"/>
      <x:c r="V157" s="12" t="str"/>
      <x:c r="W157" s="11" t="str"/>
      <x:c r="X157" s="11" t="str"/>
      <x:c r="Y157" s="3" t="str">
        <x:v>Nguồn: frontend/src/app/(public)/research/[slug]/page.tsx. </x:v>
      </x:c>
    </x:row>
    <x:row r="158" ht="49" customHeight="1">
      <x:c r="A158" s="3" t="n">
        <x:v>157</x:v>
      </x:c>
      <x:c r="B158" s="3" t="str">
        <x:v>TC_PUBLIC_021</x:v>
      </x:c>
      <x:c r="C158" s="3" t="str">
        <x:v>PUBLIC</x:v>
      </x:c>
      <x:c r="D158" s="3" t="str">
        <x:v>Route research</x:v>
      </x:c>
      <x:c r="E158" s="3" t="str">
        <x:v>Route research</x:v>
      </x:c>
      <x:c r="F158" s="3" t="str">
        <x:v>Positive — Mở /research/hop-tac-doanh-nghiep</x:v>
      </x:c>
      <x:c r="G158" s="3" t="str">
        <x:v>Mở /research/hop-tac-doanh-nghiep</x:v>
      </x:c>
      <x:c r="H158" s="3" t="str">
        <x:v>PUB-001</x:v>
      </x:c>
      <x:c r="I158" s="3" t="str">
        <x:v>Khách truy cập</x:v>
      </x:c>
      <x:c r="J158" s="3" t="str">
        <x:v>Positive</x:v>
      </x:c>
      <x:c r="K158" s="3" t="str">
        <x:v>Medium</x:v>
      </x:c>
      <x:c r="L158" s="3" t="str">
        <x:v>Medium</x:v>
      </x:c>
      <x:c r="M158" s="3" t="str">
        <x:v>Môi trường QA cô lập, DB/MinIO sẵn sàng; dữ liệu fixture đã tạo. Không đăng nhập.</x:v>
      </x:c>
      <x:c r="N158" s="3" t="str">
        <x:v>Locale vi; route /research/hop-tac-doanh-nghiep</x:v>
      </x:c>
      <x:c r="O158" s="3" t="str">
        <x:v>1. Mở trực tiếp /vi/research/hop-tac-doanh-nghiep
2. Theo dõi redirect và H1
3. Nhấn Back và mở lại bằng liên kết cùng nhóm</x:v>
      </x:c>
      <x:c r="P158" s="3" t="str">
        <x:v>Redirect tới /vi/research#hop-tac-doanh-nghiep; không tạo vòng lặp.</x:v>
      </x:c>
      <x:c r="Q158" s="11" t="str"/>
      <x:c r="R158" s="8" t="str">
        <x:v>NOT RUN</x:v>
      </x:c>
      <x:c r="S158" s="11" t="str">
        <x:v>QA/UAT — cần điền URL/build</x:v>
      </x:c>
      <x:c r="T158" s="11" t="str">
        <x:v>Cần điền phiên bản thực</x:v>
      </x:c>
      <x:c r="U158" s="11" t="str"/>
      <x:c r="V158" s="12" t="str"/>
      <x:c r="W158" s="11" t="str"/>
      <x:c r="X158" s="11" t="str"/>
      <x:c r="Y158" s="3" t="str">
        <x:v>Nguồn: frontend/src/app/(public)/research/[slug]/page.tsx. </x:v>
      </x:c>
    </x:row>
    <x:row r="159" ht="49" customHeight="1">
      <x:c r="A159" s="3" t="n">
        <x:v>158</x:v>
      </x:c>
      <x:c r="B159" s="3" t="str">
        <x:v>TC_PUBLIC_022</x:v>
      </x:c>
      <x:c r="C159" s="3" t="str">
        <x:v>PUBLIC</x:v>
      </x:c>
      <x:c r="D159" s="3" t="str">
        <x:v>Route research</x:v>
      </x:c>
      <x:c r="E159" s="3" t="str">
        <x:v>Route research</x:v>
      </x:c>
      <x:c r="F159" s="3" t="str">
        <x:v>Positive — Mở /research/trao-doi</x:v>
      </x:c>
      <x:c r="G159" s="3" t="str">
        <x:v>Mở /research/trao-doi</x:v>
      </x:c>
      <x:c r="H159" s="3" t="str">
        <x:v>PUB-001</x:v>
      </x:c>
      <x:c r="I159" s="3" t="str">
        <x:v>Khách truy cập</x:v>
      </x:c>
      <x:c r="J159" s="3" t="str">
        <x:v>Positive</x:v>
      </x:c>
      <x:c r="K159" s="3" t="str">
        <x:v>Medium</x:v>
      </x:c>
      <x:c r="L159" s="3" t="str">
        <x:v>Medium</x:v>
      </x:c>
      <x:c r="M159" s="3" t="str">
        <x:v>Môi trường QA cô lập, DB/MinIO sẵn sàng; dữ liệu fixture đã tạo. Không đăng nhập.</x:v>
      </x:c>
      <x:c r="N159" s="3" t="str">
        <x:v>Locale vi; route /research/trao-doi</x:v>
      </x:c>
      <x:c r="O159" s="3" t="str">
        <x:v>1. Mở trực tiếp /vi/research/trao-doi
2. Theo dõi redirect và H1
3. Nhấn Back và mở lại bằng liên kết cùng nhóm</x:v>
      </x:c>
      <x:c r="P159" s="3" t="str">
        <x:v>Redirect tới /vi/research#trao-doi; không tạo vòng lặp.</x:v>
      </x:c>
      <x:c r="Q159" s="11" t="str"/>
      <x:c r="R159" s="8" t="str">
        <x:v>NOT RUN</x:v>
      </x:c>
      <x:c r="S159" s="11" t="str">
        <x:v>QA/UAT — cần điền URL/build</x:v>
      </x:c>
      <x:c r="T159" s="11" t="str">
        <x:v>Cần điền phiên bản thực</x:v>
      </x:c>
      <x:c r="U159" s="11" t="str"/>
      <x:c r="V159" s="12" t="str"/>
      <x:c r="W159" s="11" t="str"/>
      <x:c r="X159" s="11" t="str"/>
      <x:c r="Y159" s="3" t="str">
        <x:v>Nguồn: frontend/src/app/(public)/research/[slug]/page.tsx. </x:v>
      </x:c>
    </x:row>
    <x:row r="160" ht="49" customHeight="1">
      <x:c r="A160" s="3" t="n">
        <x:v>159</x:v>
      </x:c>
      <x:c r="B160" s="3" t="str">
        <x:v>TC_PUBLIC_023</x:v>
      </x:c>
      <x:c r="C160" s="3" t="str">
        <x:v>PUBLIC</x:v>
      </x:c>
      <x:c r="D160" s="3" t="str">
        <x:v>Route research</x:v>
      </x:c>
      <x:c r="E160" s="3" t="str">
        <x:v>Route research</x:v>
      </x:c>
      <x:c r="F160" s="3" t="str">
        <x:v>Positive — Mở /research/dual-degree</x:v>
      </x:c>
      <x:c r="G160" s="3" t="str">
        <x:v>Mở /research/dual-degree</x:v>
      </x:c>
      <x:c r="H160" s="3" t="str">
        <x:v>PUB-001</x:v>
      </x:c>
      <x:c r="I160" s="3" t="str">
        <x:v>Khách truy cập</x:v>
      </x:c>
      <x:c r="J160" s="3" t="str">
        <x:v>Positive</x:v>
      </x:c>
      <x:c r="K160" s="3" t="str">
        <x:v>Medium</x:v>
      </x:c>
      <x:c r="L160" s="3" t="str">
        <x:v>Medium</x:v>
      </x:c>
      <x:c r="M160" s="3" t="str">
        <x:v>Môi trường QA cô lập, DB/MinIO sẵn sàng; dữ liệu fixture đã tạo. Không đăng nhập.</x:v>
      </x:c>
      <x:c r="N160" s="3" t="str">
        <x:v>Locale vi; route /research/dual-degree</x:v>
      </x:c>
      <x:c r="O160" s="3" t="str">
        <x:v>1. Mở trực tiếp /vi/research/dual-degree
2. Theo dõi redirect và H1
3. Nhấn Back và mở lại bằng liên kết cùng nhóm</x:v>
      </x:c>
      <x:c r="P160" s="3" t="str">
        <x:v>Redirect tới /vi/research#dual-degree; không tạo vòng lặp.</x:v>
      </x:c>
      <x:c r="Q160" s="11" t="str"/>
      <x:c r="R160" s="8" t="str">
        <x:v>NOT RUN</x:v>
      </x:c>
      <x:c r="S160" s="11" t="str">
        <x:v>QA/UAT — cần điền URL/build</x:v>
      </x:c>
      <x:c r="T160" s="11" t="str">
        <x:v>Cần điền phiên bản thực</x:v>
      </x:c>
      <x:c r="U160" s="11" t="str"/>
      <x:c r="V160" s="12" t="str"/>
      <x:c r="W160" s="11" t="str"/>
      <x:c r="X160" s="11" t="str"/>
      <x:c r="Y160" s="3" t="str">
        <x:v>Nguồn: frontend/src/app/(public)/research/[slug]/page.tsx. </x:v>
      </x:c>
    </x:row>
    <x:row r="161" ht="49" customHeight="1">
      <x:c r="A161" s="3" t="n">
        <x:v>160</x:v>
      </x:c>
      <x:c r="B161" s="3" t="str">
        <x:v>TC_PUBLIC_024</x:v>
      </x:c>
      <x:c r="C161" s="3" t="str">
        <x:v>PUBLIC</x:v>
      </x:c>
      <x:c r="D161" s="3" t="str">
        <x:v>Route research</x:v>
      </x:c>
      <x:c r="E161" s="3" t="str">
        <x:v>Route research</x:v>
      </x:c>
      <x:c r="F161" s="3" t="str">
        <x:v>Positive — Mở /research/thuc-tap</x:v>
      </x:c>
      <x:c r="G161" s="3" t="str">
        <x:v>Mở /research/thuc-tap</x:v>
      </x:c>
      <x:c r="H161" s="3" t="str">
        <x:v>PUB-001</x:v>
      </x:c>
      <x:c r="I161" s="3" t="str">
        <x:v>Khách truy cập</x:v>
      </x:c>
      <x:c r="J161" s="3" t="str">
        <x:v>Positive</x:v>
      </x:c>
      <x:c r="K161" s="3" t="str">
        <x:v>Medium</x:v>
      </x:c>
      <x:c r="L161" s="3" t="str">
        <x:v>Medium</x:v>
      </x:c>
      <x:c r="M161" s="3" t="str">
        <x:v>Môi trường QA cô lập, DB/MinIO sẵn sàng; dữ liệu fixture đã tạo. Không đăng nhập.</x:v>
      </x:c>
      <x:c r="N161" s="3" t="str">
        <x:v>Locale vi; route /research/thuc-tap</x:v>
      </x:c>
      <x:c r="O161" s="3" t="str">
        <x:v>1. Mở trực tiếp /vi/research/thuc-tap
2. Theo dõi redirect và H1
3. Nhấn Back và mở lại bằng liên kết cùng nhóm</x:v>
      </x:c>
      <x:c r="P161" s="3" t="str">
        <x:v>Redirect tới /vi/research#thuc-tap; không tạo vòng lặp.</x:v>
      </x:c>
      <x:c r="Q161" s="11" t="str"/>
      <x:c r="R161" s="8" t="str">
        <x:v>NOT RUN</x:v>
      </x:c>
      <x:c r="S161" s="11" t="str">
        <x:v>QA/UAT — cần điền URL/build</x:v>
      </x:c>
      <x:c r="T161" s="11" t="str">
        <x:v>Cần điền phiên bản thực</x:v>
      </x:c>
      <x:c r="U161" s="11" t="str"/>
      <x:c r="V161" s="12" t="str"/>
      <x:c r="W161" s="11" t="str"/>
      <x:c r="X161" s="11" t="str"/>
      <x:c r="Y161" s="3" t="str">
        <x:v>Nguồn: frontend/src/app/(public)/research/[slug]/page.tsx. </x:v>
      </x:c>
    </x:row>
    <x:row r="162" ht="49" customHeight="1">
      <x:c r="A162" s="3" t="n">
        <x:v>161</x:v>
      </x:c>
      <x:c r="B162" s="3" t="str">
        <x:v>TC_PUBLIC_025</x:v>
      </x:c>
      <x:c r="C162" s="3" t="str">
        <x:v>PUBLIC</x:v>
      </x:c>
      <x:c r="D162" s="3" t="str">
        <x:v>Route research</x:v>
      </x:c>
      <x:c r="E162" s="3" t="str">
        <x:v>Route research</x:v>
      </x:c>
      <x:c r="F162" s="3" t="str">
        <x:v>Positive — Mở /research/study-tour</x:v>
      </x:c>
      <x:c r="G162" s="3" t="str">
        <x:v>Mở /research/study-tour</x:v>
      </x:c>
      <x:c r="H162" s="3" t="str">
        <x:v>PUB-001</x:v>
      </x:c>
      <x:c r="I162" s="3" t="str">
        <x:v>Khách truy cập</x:v>
      </x:c>
      <x:c r="J162" s="3" t="str">
        <x:v>Positive</x:v>
      </x:c>
      <x:c r="K162" s="3" t="str">
        <x:v>Medium</x:v>
      </x:c>
      <x:c r="L162" s="3" t="str">
        <x:v>Medium</x:v>
      </x:c>
      <x:c r="M162" s="3" t="str">
        <x:v>Môi trường QA cô lập, DB/MinIO sẵn sàng; dữ liệu fixture đã tạo. Không đăng nhập.</x:v>
      </x:c>
      <x:c r="N162" s="3" t="str">
        <x:v>Locale vi; route /research/study-tour</x:v>
      </x:c>
      <x:c r="O162" s="3" t="str">
        <x:v>1. Mở trực tiếp /vi/research/study-tour
2. Theo dõi redirect và H1
3. Nhấn Back và mở lại bằng liên kết cùng nhóm</x:v>
      </x:c>
      <x:c r="P162" s="3" t="str">
        <x:v>Redirect tới /vi/research#study-tour; không tạo vòng lặp.</x:v>
      </x:c>
      <x:c r="Q162" s="11" t="str"/>
      <x:c r="R162" s="8" t="str">
        <x:v>NOT RUN</x:v>
      </x:c>
      <x:c r="S162" s="11" t="str">
        <x:v>QA/UAT — cần điền URL/build</x:v>
      </x:c>
      <x:c r="T162" s="11" t="str">
        <x:v>Cần điền phiên bản thực</x:v>
      </x:c>
      <x:c r="U162" s="11" t="str"/>
      <x:c r="V162" s="12" t="str"/>
      <x:c r="W162" s="11" t="str"/>
      <x:c r="X162" s="11" t="str"/>
      <x:c r="Y162" s="3" t="str">
        <x:v>Nguồn: frontend/src/app/(public)/research/[slug]/page.tsx. </x:v>
      </x:c>
    </x:row>
    <x:row r="163" ht="49" customHeight="1">
      <x:c r="A163" s="3" t="n">
        <x:v>162</x:v>
      </x:c>
      <x:c r="B163" s="3" t="str">
        <x:v>TC_PUBLIC_026</x:v>
      </x:c>
      <x:c r="C163" s="3" t="str">
        <x:v>PUBLIC</x:v>
      </x:c>
      <x:c r="D163" s="3" t="str">
        <x:v>Route research</x:v>
      </x:c>
      <x:c r="E163" s="3" t="str">
        <x:v>Route research</x:v>
      </x:c>
      <x:c r="F163" s="3" t="str">
        <x:v>Positive — Mở /research/overseas-immersion</x:v>
      </x:c>
      <x:c r="G163" s="3" t="str">
        <x:v>Mở /research/overseas-immersion</x:v>
      </x:c>
      <x:c r="H163" s="3" t="str">
        <x:v>PUB-001</x:v>
      </x:c>
      <x:c r="I163" s="3" t="str">
        <x:v>Khách truy cập</x:v>
      </x:c>
      <x:c r="J163" s="3" t="str">
        <x:v>Positive</x:v>
      </x:c>
      <x:c r="K163" s="3" t="str">
        <x:v>Medium</x:v>
      </x:c>
      <x:c r="L163" s="3" t="str">
        <x:v>Medium</x:v>
      </x:c>
      <x:c r="M163" s="3" t="str">
        <x:v>Môi trường QA cô lập, DB/MinIO sẵn sàng; dữ liệu fixture đã tạo. Không đăng nhập.</x:v>
      </x:c>
      <x:c r="N163" s="3" t="str">
        <x:v>Locale vi; route /research/overseas-immersion</x:v>
      </x:c>
      <x:c r="O163" s="3" t="str">
        <x:v>1. Mở trực tiếp /vi/research/overseas-immersion
2. Theo dõi redirect và H1
3. Nhấn Back và mở lại bằng liên kết cùng nhóm</x:v>
      </x:c>
      <x:c r="P163" s="3" t="str">
        <x:v>Redirect tới /vi/research#overseas-immersion; không tạo vòng lặp.</x:v>
      </x:c>
      <x:c r="Q163" s="11" t="str"/>
      <x:c r="R163" s="8" t="str">
        <x:v>NOT RUN</x:v>
      </x:c>
      <x:c r="S163" s="11" t="str">
        <x:v>QA/UAT — cần điền URL/build</x:v>
      </x:c>
      <x:c r="T163" s="11" t="str">
        <x:v>Cần điền phiên bản thực</x:v>
      </x:c>
      <x:c r="U163" s="11" t="str"/>
      <x:c r="V163" s="12" t="str"/>
      <x:c r="W163" s="11" t="str"/>
      <x:c r="X163" s="11" t="str"/>
      <x:c r="Y163" s="3" t="str">
        <x:v>Nguồn: frontend/src/app/(public)/research/[slug]/page.tsx. </x:v>
      </x:c>
    </x:row>
    <x:row r="164" ht="49" customHeight="1">
      <x:c r="A164" s="3" t="n">
        <x:v>163</x:v>
      </x:c>
      <x:c r="B164" s="3" t="str">
        <x:v>TC_PUBLIC_027</x:v>
      </x:c>
      <x:c r="C164" s="3" t="str">
        <x:v>PUBLIC</x:v>
      </x:c>
      <x:c r="D164" s="3" t="str">
        <x:v>Route research</x:v>
      </x:c>
      <x:c r="E164" s="3" t="str">
        <x:v>Route research</x:v>
      </x:c>
      <x:c r="F164" s="3" t="str">
        <x:v>Positive — Mở /research/doi-tac</x:v>
      </x:c>
      <x:c r="G164" s="3" t="str">
        <x:v>Mở /research/doi-tac</x:v>
      </x:c>
      <x:c r="H164" s="3" t="str">
        <x:v>PUB-001</x:v>
      </x:c>
      <x:c r="I164" s="3" t="str">
        <x:v>Khách truy cập</x:v>
      </x:c>
      <x:c r="J164" s="3" t="str">
        <x:v>Positive</x:v>
      </x:c>
      <x:c r="K164" s="3" t="str">
        <x:v>Medium</x:v>
      </x:c>
      <x:c r="L164" s="3" t="str">
        <x:v>Medium</x:v>
      </x:c>
      <x:c r="M164" s="3" t="str">
        <x:v>Môi trường QA cô lập, DB/MinIO sẵn sàng; dữ liệu fixture đã tạo. Không đăng nhập.</x:v>
      </x:c>
      <x:c r="N164" s="3" t="str">
        <x:v>Locale vi; route /research/doi-tac</x:v>
      </x:c>
      <x:c r="O164" s="3" t="str">
        <x:v>1. Mở trực tiếp /vi/research/doi-tac
2. Theo dõi redirect và H1
3. Nhấn Back và mở lại bằng liên kết cùng nhóm</x:v>
      </x:c>
      <x:c r="P164" s="3" t="str">
        <x:v>Redirect tới /vi/research#doi-tac; không tạo vòng lặp.</x:v>
      </x:c>
      <x:c r="Q164" s="11" t="str"/>
      <x:c r="R164" s="8" t="str">
        <x:v>NOT RUN</x:v>
      </x:c>
      <x:c r="S164" s="11" t="str">
        <x:v>QA/UAT — cần điền URL/build</x:v>
      </x:c>
      <x:c r="T164" s="11" t="str">
        <x:v>Cần điền phiên bản thực</x:v>
      </x:c>
      <x:c r="U164" s="11" t="str"/>
      <x:c r="V164" s="12" t="str"/>
      <x:c r="W164" s="11" t="str"/>
      <x:c r="X164" s="11" t="str"/>
      <x:c r="Y164" s="3" t="str">
        <x:v>Nguồn: frontend/src/app/(public)/research/[slug]/page.tsx. </x:v>
      </x:c>
    </x:row>
    <x:row r="165" ht="49" customHeight="1">
      <x:c r="A165" s="3" t="n">
        <x:v>164</x:v>
      </x:c>
      <x:c r="B165" s="3" t="str">
        <x:v>TC_PUBLIC_028</x:v>
      </x:c>
      <x:c r="C165" s="3" t="str">
        <x:v>PUBLIC</x:v>
      </x:c>
      <x:c r="D165" s="3" t="str">
        <x:v>Route global</x:v>
      </x:c>
      <x:c r="E165" s="3" t="str">
        <x:v>Route global</x:v>
      </x:c>
      <x:c r="F165" s="3" t="str">
        <x:v>Positive — Mở /global/trao-doi</x:v>
      </x:c>
      <x:c r="G165" s="3" t="str">
        <x:v>Mở /global/trao-doi</x:v>
      </x:c>
      <x:c r="H165" s="3" t="str">
        <x:v>PUB-001</x:v>
      </x:c>
      <x:c r="I165" s="3" t="str">
        <x:v>Khách truy cập</x:v>
      </x:c>
      <x:c r="J165" s="3" t="str">
        <x:v>Positive</x:v>
      </x:c>
      <x:c r="K165" s="3" t="str">
        <x:v>Medium</x:v>
      </x:c>
      <x:c r="L165" s="3" t="str">
        <x:v>Medium</x:v>
      </x:c>
      <x:c r="M165" s="3" t="str">
        <x:v>Môi trường QA cô lập, DB/MinIO sẵn sàng; dữ liệu fixture đã tạo. Không đăng nhập.</x:v>
      </x:c>
      <x:c r="N165" s="3" t="str">
        <x:v>Locale vi; route /global/trao-doi</x:v>
      </x:c>
      <x:c r="O165" s="3" t="str">
        <x:v>1. Mở trực tiếp /vi/global/trao-doi
2. Theo dõi redirect và H1
3. Nhấn Back và mở lại bằng liên kết cùng nhóm</x:v>
      </x:c>
      <x:c r="P165" s="3" t="str">
        <x:v>Chuyển tới /vi/research#trao-doi; locale được giữ.</x:v>
      </x:c>
      <x:c r="Q165" s="11" t="str"/>
      <x:c r="R165" s="8" t="str">
        <x:v>NOT RUN</x:v>
      </x:c>
      <x:c r="S165" s="11" t="str">
        <x:v>QA/UAT — cần điền URL/build</x:v>
      </x:c>
      <x:c r="T165" s="11" t="str">
        <x:v>Cần điền phiên bản thực</x:v>
      </x:c>
      <x:c r="U165" s="11" t="str"/>
      <x:c r="V165" s="12" t="str"/>
      <x:c r="W165" s="11" t="str"/>
      <x:c r="X165" s="11" t="str"/>
      <x:c r="Y165" s="3" t="str">
        <x:v>Nguồn: frontend/src/app/(public)/global/[slug]/page.tsx. </x:v>
      </x:c>
    </x:row>
    <x:row r="166" ht="49" customHeight="1">
      <x:c r="A166" s="3" t="n">
        <x:v>165</x:v>
      </x:c>
      <x:c r="B166" s="3" t="str">
        <x:v>TC_PUBLIC_029</x:v>
      </x:c>
      <x:c r="C166" s="3" t="str">
        <x:v>PUBLIC</x:v>
      </x:c>
      <x:c r="D166" s="3" t="str">
        <x:v>Route global</x:v>
      </x:c>
      <x:c r="E166" s="3" t="str">
        <x:v>Route global</x:v>
      </x:c>
      <x:c r="F166" s="3" t="str">
        <x:v>Positive — Mở /global/dual-degree</x:v>
      </x:c>
      <x:c r="G166" s="3" t="str">
        <x:v>Mở /global/dual-degree</x:v>
      </x:c>
      <x:c r="H166" s="3" t="str">
        <x:v>PUB-001</x:v>
      </x:c>
      <x:c r="I166" s="3" t="str">
        <x:v>Khách truy cập</x:v>
      </x:c>
      <x:c r="J166" s="3" t="str">
        <x:v>Positive</x:v>
      </x:c>
      <x:c r="K166" s="3" t="str">
        <x:v>Medium</x:v>
      </x:c>
      <x:c r="L166" s="3" t="str">
        <x:v>Medium</x:v>
      </x:c>
      <x:c r="M166" s="3" t="str">
        <x:v>Môi trường QA cô lập, DB/MinIO sẵn sàng; dữ liệu fixture đã tạo. Không đăng nhập.</x:v>
      </x:c>
      <x:c r="N166" s="3" t="str">
        <x:v>Locale vi; route /global/dual-degree</x:v>
      </x:c>
      <x:c r="O166" s="3" t="str">
        <x:v>1. Mở trực tiếp /vi/global/dual-degree
2. Theo dõi redirect và H1
3. Nhấn Back và mở lại bằng liên kết cùng nhóm</x:v>
      </x:c>
      <x:c r="P166" s="3" t="str">
        <x:v>Chuyển tới /vi/research#dual-degree; locale được giữ.</x:v>
      </x:c>
      <x:c r="Q166" s="11" t="str"/>
      <x:c r="R166" s="8" t="str">
        <x:v>NOT RUN</x:v>
      </x:c>
      <x:c r="S166" s="11" t="str">
        <x:v>QA/UAT — cần điền URL/build</x:v>
      </x:c>
      <x:c r="T166" s="11" t="str">
        <x:v>Cần điền phiên bản thực</x:v>
      </x:c>
      <x:c r="U166" s="11" t="str"/>
      <x:c r="V166" s="12" t="str"/>
      <x:c r="W166" s="11" t="str"/>
      <x:c r="X166" s="11" t="str"/>
      <x:c r="Y166" s="3" t="str">
        <x:v>Nguồn: frontend/src/app/(public)/global/[slug]/page.tsx. </x:v>
      </x:c>
    </x:row>
    <x:row r="167" ht="49" customHeight="1">
      <x:c r="A167" s="3" t="n">
        <x:v>166</x:v>
      </x:c>
      <x:c r="B167" s="3" t="str">
        <x:v>TC_PUBLIC_030</x:v>
      </x:c>
      <x:c r="C167" s="3" t="str">
        <x:v>PUBLIC</x:v>
      </x:c>
      <x:c r="D167" s="3" t="str">
        <x:v>Route global</x:v>
      </x:c>
      <x:c r="E167" s="3" t="str">
        <x:v>Route global</x:v>
      </x:c>
      <x:c r="F167" s="3" t="str">
        <x:v>Positive — Mở /global/thuc-tap</x:v>
      </x:c>
      <x:c r="G167" s="3" t="str">
        <x:v>Mở /global/thuc-tap</x:v>
      </x:c>
      <x:c r="H167" s="3" t="str">
        <x:v>PUB-001</x:v>
      </x:c>
      <x:c r="I167" s="3" t="str">
        <x:v>Khách truy cập</x:v>
      </x:c>
      <x:c r="J167" s="3" t="str">
        <x:v>Positive</x:v>
      </x:c>
      <x:c r="K167" s="3" t="str">
        <x:v>Medium</x:v>
      </x:c>
      <x:c r="L167" s="3" t="str">
        <x:v>Medium</x:v>
      </x:c>
      <x:c r="M167" s="3" t="str">
        <x:v>Môi trường QA cô lập, DB/MinIO sẵn sàng; dữ liệu fixture đã tạo. Không đăng nhập.</x:v>
      </x:c>
      <x:c r="N167" s="3" t="str">
        <x:v>Locale vi; route /global/thuc-tap</x:v>
      </x:c>
      <x:c r="O167" s="3" t="str">
        <x:v>1. Mở trực tiếp /vi/global/thuc-tap
2. Theo dõi redirect và H1
3. Nhấn Back và mở lại bằng liên kết cùng nhóm</x:v>
      </x:c>
      <x:c r="P167" s="3" t="str">
        <x:v>Chuyển tới /vi/research#thuc-tap; locale được giữ.</x:v>
      </x:c>
      <x:c r="Q167" s="11" t="str"/>
      <x:c r="R167" s="8" t="str">
        <x:v>NOT RUN</x:v>
      </x:c>
      <x:c r="S167" s="11" t="str">
        <x:v>QA/UAT — cần điền URL/build</x:v>
      </x:c>
      <x:c r="T167" s="11" t="str">
        <x:v>Cần điền phiên bản thực</x:v>
      </x:c>
      <x:c r="U167" s="11" t="str"/>
      <x:c r="V167" s="12" t="str"/>
      <x:c r="W167" s="11" t="str"/>
      <x:c r="X167" s="11" t="str"/>
      <x:c r="Y167" s="3" t="str">
        <x:v>Nguồn: frontend/src/app/(public)/global/[slug]/page.tsx. </x:v>
      </x:c>
    </x:row>
    <x:row r="168" ht="49" customHeight="1">
      <x:c r="A168" s="3" t="n">
        <x:v>167</x:v>
      </x:c>
      <x:c r="B168" s="3" t="str">
        <x:v>TC_PUBLIC_031</x:v>
      </x:c>
      <x:c r="C168" s="3" t="str">
        <x:v>PUBLIC</x:v>
      </x:c>
      <x:c r="D168" s="3" t="str">
        <x:v>Route global</x:v>
      </x:c>
      <x:c r="E168" s="3" t="str">
        <x:v>Route global</x:v>
      </x:c>
      <x:c r="F168" s="3" t="str">
        <x:v>Positive — Mở /global/study-tour</x:v>
      </x:c>
      <x:c r="G168" s="3" t="str">
        <x:v>Mở /global/study-tour</x:v>
      </x:c>
      <x:c r="H168" s="3" t="str">
        <x:v>PUB-001</x:v>
      </x:c>
      <x:c r="I168" s="3" t="str">
        <x:v>Khách truy cập</x:v>
      </x:c>
      <x:c r="J168" s="3" t="str">
        <x:v>Positive</x:v>
      </x:c>
      <x:c r="K168" s="3" t="str">
        <x:v>Medium</x:v>
      </x:c>
      <x:c r="L168" s="3" t="str">
        <x:v>Medium</x:v>
      </x:c>
      <x:c r="M168" s="3" t="str">
        <x:v>Môi trường QA cô lập, DB/MinIO sẵn sàng; dữ liệu fixture đã tạo. Không đăng nhập.</x:v>
      </x:c>
      <x:c r="N168" s="3" t="str">
        <x:v>Locale vi; route /global/study-tour</x:v>
      </x:c>
      <x:c r="O168" s="3" t="str">
        <x:v>1. Mở trực tiếp /vi/global/study-tour
2. Theo dõi redirect và H1
3. Nhấn Back và mở lại bằng liên kết cùng nhóm</x:v>
      </x:c>
      <x:c r="P168" s="3" t="str">
        <x:v>Chuyển tới /vi/research#study-tour; locale được giữ.</x:v>
      </x:c>
      <x:c r="Q168" s="11" t="str"/>
      <x:c r="R168" s="8" t="str">
        <x:v>NOT RUN</x:v>
      </x:c>
      <x:c r="S168" s="11" t="str">
        <x:v>QA/UAT — cần điền URL/build</x:v>
      </x:c>
      <x:c r="T168" s="11" t="str">
        <x:v>Cần điền phiên bản thực</x:v>
      </x:c>
      <x:c r="U168" s="11" t="str"/>
      <x:c r="V168" s="12" t="str"/>
      <x:c r="W168" s="11" t="str"/>
      <x:c r="X168" s="11" t="str"/>
      <x:c r="Y168" s="3" t="str">
        <x:v>Nguồn: frontend/src/app/(public)/global/[slug]/page.tsx. </x:v>
      </x:c>
    </x:row>
    <x:row r="169" ht="49" customHeight="1">
      <x:c r="A169" s="3" t="n">
        <x:v>168</x:v>
      </x:c>
      <x:c r="B169" s="3" t="str">
        <x:v>TC_PUBLIC_032</x:v>
      </x:c>
      <x:c r="C169" s="3" t="str">
        <x:v>PUBLIC</x:v>
      </x:c>
      <x:c r="D169" s="3" t="str">
        <x:v>Route global</x:v>
      </x:c>
      <x:c r="E169" s="3" t="str">
        <x:v>Route global</x:v>
      </x:c>
      <x:c r="F169" s="3" t="str">
        <x:v>Positive — Mở /global/overseas-immersion</x:v>
      </x:c>
      <x:c r="G169" s="3" t="str">
        <x:v>Mở /global/overseas-immersion</x:v>
      </x:c>
      <x:c r="H169" s="3" t="str">
        <x:v>PUB-001</x:v>
      </x:c>
      <x:c r="I169" s="3" t="str">
        <x:v>Khách truy cập</x:v>
      </x:c>
      <x:c r="J169" s="3" t="str">
        <x:v>Positive</x:v>
      </x:c>
      <x:c r="K169" s="3" t="str">
        <x:v>Medium</x:v>
      </x:c>
      <x:c r="L169" s="3" t="str">
        <x:v>Medium</x:v>
      </x:c>
      <x:c r="M169" s="3" t="str">
        <x:v>Môi trường QA cô lập, DB/MinIO sẵn sàng; dữ liệu fixture đã tạo. Không đăng nhập.</x:v>
      </x:c>
      <x:c r="N169" s="3" t="str">
        <x:v>Locale vi; route /global/overseas-immersion</x:v>
      </x:c>
      <x:c r="O169" s="3" t="str">
        <x:v>1. Mở trực tiếp /vi/global/overseas-immersion
2. Theo dõi redirect và H1
3. Nhấn Back và mở lại bằng liên kết cùng nhóm</x:v>
      </x:c>
      <x:c r="P169" s="3" t="str">
        <x:v>Chuyển tới /vi/research#overseas-immersion; locale được giữ.</x:v>
      </x:c>
      <x:c r="Q169" s="11" t="str"/>
      <x:c r="R169" s="8" t="str">
        <x:v>NOT RUN</x:v>
      </x:c>
      <x:c r="S169" s="11" t="str">
        <x:v>QA/UAT — cần điền URL/build</x:v>
      </x:c>
      <x:c r="T169" s="11" t="str">
        <x:v>Cần điền phiên bản thực</x:v>
      </x:c>
      <x:c r="U169" s="11" t="str"/>
      <x:c r="V169" s="12" t="str"/>
      <x:c r="W169" s="11" t="str"/>
      <x:c r="X169" s="11" t="str"/>
      <x:c r="Y169" s="3" t="str">
        <x:v>Nguồn: frontend/src/app/(public)/global/[slug]/page.tsx. </x:v>
      </x:c>
    </x:row>
    <x:row r="170" ht="49" customHeight="1">
      <x:c r="A170" s="3" t="n">
        <x:v>169</x:v>
      </x:c>
      <x:c r="B170" s="3" t="str">
        <x:v>TC_PUBLIC_033</x:v>
      </x:c>
      <x:c r="C170" s="3" t="str">
        <x:v>PUBLIC</x:v>
      </x:c>
      <x:c r="D170" s="3" t="str">
        <x:v>Route global</x:v>
      </x:c>
      <x:c r="E170" s="3" t="str">
        <x:v>Route global</x:v>
      </x:c>
      <x:c r="F170" s="3" t="str">
        <x:v>Positive — Mở /global/doi-tac</x:v>
      </x:c>
      <x:c r="G170" s="3" t="str">
        <x:v>Mở /global/doi-tac</x:v>
      </x:c>
      <x:c r="H170" s="3" t="str">
        <x:v>PUB-001</x:v>
      </x:c>
      <x:c r="I170" s="3" t="str">
        <x:v>Khách truy cập</x:v>
      </x:c>
      <x:c r="J170" s="3" t="str">
        <x:v>Positive</x:v>
      </x:c>
      <x:c r="K170" s="3" t="str">
        <x:v>Medium</x:v>
      </x:c>
      <x:c r="L170" s="3" t="str">
        <x:v>Medium</x:v>
      </x:c>
      <x:c r="M170" s="3" t="str">
        <x:v>Môi trường QA cô lập, DB/MinIO sẵn sàng; dữ liệu fixture đã tạo. Không đăng nhập.</x:v>
      </x:c>
      <x:c r="N170" s="3" t="str">
        <x:v>Locale vi; route /global/doi-tac</x:v>
      </x:c>
      <x:c r="O170" s="3" t="str">
        <x:v>1. Mở trực tiếp /vi/global/doi-tac
2. Theo dõi redirect và H1
3. Nhấn Back và mở lại bằng liên kết cùng nhóm</x:v>
      </x:c>
      <x:c r="P170" s="3" t="str">
        <x:v>Chuyển tới /vi/research#doi-tac; locale được giữ.</x:v>
      </x:c>
      <x:c r="Q170" s="11" t="str"/>
      <x:c r="R170" s="8" t="str">
        <x:v>NOT RUN</x:v>
      </x:c>
      <x:c r="S170" s="11" t="str">
        <x:v>QA/UAT — cần điền URL/build</x:v>
      </x:c>
      <x:c r="T170" s="11" t="str">
        <x:v>Cần điền phiên bản thực</x:v>
      </x:c>
      <x:c r="U170" s="11" t="str"/>
      <x:c r="V170" s="12" t="str"/>
      <x:c r="W170" s="11" t="str"/>
      <x:c r="X170" s="11" t="str"/>
      <x:c r="Y170" s="3" t="str">
        <x:v>Nguồn: frontend/src/app/(public)/global/[slug]/page.tsx. </x:v>
      </x:c>
    </x:row>
    <x:row r="171" ht="49" customHeight="1">
      <x:c r="A171" s="3" t="n">
        <x:v>170</x:v>
      </x:c>
      <x:c r="B171" s="3" t="str">
        <x:v>TC_PUBLIC_034</x:v>
      </x:c>
      <x:c r="C171" s="3" t="str">
        <x:v>PUBLIC</x:v>
      </x:c>
      <x:c r="D171" s="3" t="str">
        <x:v>Route student-success</x:v>
      </x:c>
      <x:c r="E171" s="3" t="str">
        <x:v>Route student-success</x:v>
      </x:c>
      <x:c r="F171" s="3" t="str">
        <x:v>Positive — Mở /student-success/ho-tro-hoc-vien</x:v>
      </x:c>
      <x:c r="G171" s="3" t="str">
        <x:v>Mở /student-success/ho-tro-hoc-vien</x:v>
      </x:c>
      <x:c r="H171" s="3" t="str">
        <x:v>PUB-001</x:v>
      </x:c>
      <x:c r="I171" s="3" t="str">
        <x:v>Khách truy cập</x:v>
      </x:c>
      <x:c r="J171" s="3" t="str">
        <x:v>Positive</x:v>
      </x:c>
      <x:c r="K171" s="3" t="str">
        <x:v>Medium</x:v>
      </x:c>
      <x:c r="L171" s="3" t="str">
        <x:v>Medium</x:v>
      </x:c>
      <x:c r="M171" s="3" t="str">
        <x:v>Môi trường QA cô lập, DB/MinIO sẵn sàng; dữ liệu fixture đã tạo. Không đăng nhập.</x:v>
      </x:c>
      <x:c r="N171" s="3" t="str">
        <x:v>Locale vi; route /student-success/ho-tro-hoc-vien</x:v>
      </x:c>
      <x:c r="O171" s="3" t="str">
        <x:v>1. Mở trực tiếp /vi/student-success/ho-tro-hoc-vien
2. Theo dõi redirect và H1
3. Nhấn Back và mở lại bằng liên kết cùng nhóm</x:v>
      </x:c>
      <x:c r="P171" s="3" t="str">
        <x:v>Redirect tới /vi/student-success#ho-tro-hoc-vien; không tạo vòng lặp.</x:v>
      </x:c>
      <x:c r="Q171" s="11" t="str"/>
      <x:c r="R171" s="8" t="str">
        <x:v>NOT RUN</x:v>
      </x:c>
      <x:c r="S171" s="11" t="str">
        <x:v>QA/UAT — cần điền URL/build</x:v>
      </x:c>
      <x:c r="T171" s="11" t="str">
        <x:v>Cần điền phiên bản thực</x:v>
      </x:c>
      <x:c r="U171" s="11" t="str"/>
      <x:c r="V171" s="12" t="str"/>
      <x:c r="W171" s="11" t="str"/>
      <x:c r="X171" s="11" t="str"/>
      <x:c r="Y171" s="3" t="str">
        <x:v>Nguồn: frontend/src/app/(public)/student-success/[slug]/page.tsx. </x:v>
      </x:c>
    </x:row>
    <x:row r="172" ht="49" customHeight="1">
      <x:c r="A172" s="3" t="n">
        <x:v>171</x:v>
      </x:c>
      <x:c r="B172" s="3" t="str">
        <x:v>TC_PUBLIC_035</x:v>
      </x:c>
      <x:c r="C172" s="3" t="str">
        <x:v>PUBLIC</x:v>
      </x:c>
      <x:c r="D172" s="3" t="str">
        <x:v>Route student-success</x:v>
      </x:c>
      <x:c r="E172" s="3" t="str">
        <x:v>Route student-success</x:v>
      </x:c>
      <x:c r="F172" s="3" t="str">
        <x:v>Positive — Mở /student-success/phat-trien-su-nghiep</x:v>
      </x:c>
      <x:c r="G172" s="3" t="str">
        <x:v>Mở /student-success/phat-trien-su-nghiep</x:v>
      </x:c>
      <x:c r="H172" s="3" t="str">
        <x:v>PUB-001</x:v>
      </x:c>
      <x:c r="I172" s="3" t="str">
        <x:v>Khách truy cập</x:v>
      </x:c>
      <x:c r="J172" s="3" t="str">
        <x:v>Positive</x:v>
      </x:c>
      <x:c r="K172" s="3" t="str">
        <x:v>Medium</x:v>
      </x:c>
      <x:c r="L172" s="3" t="str">
        <x:v>Medium</x:v>
      </x:c>
      <x:c r="M172" s="3" t="str">
        <x:v>Môi trường QA cô lập, DB/MinIO sẵn sàng; dữ liệu fixture đã tạo. Không đăng nhập.</x:v>
      </x:c>
      <x:c r="N172" s="3" t="str">
        <x:v>Locale vi; route /student-success/phat-trien-su-nghiep</x:v>
      </x:c>
      <x:c r="O172" s="3" t="str">
        <x:v>1. Mở trực tiếp /vi/student-success/phat-trien-su-nghiep
2. Theo dõi redirect và H1
3. Nhấn Back và mở lại bằng liên kết cùng nhóm</x:v>
      </x:c>
      <x:c r="P172" s="3" t="str">
        <x:v>Redirect tới /vi/student-success#phat-trien-su-nghiep; không tạo vòng lặp.</x:v>
      </x:c>
      <x:c r="Q172" s="11" t="str"/>
      <x:c r="R172" s="8" t="str">
        <x:v>NOT RUN</x:v>
      </x:c>
      <x:c r="S172" s="11" t="str">
        <x:v>QA/UAT — cần điền URL/build</x:v>
      </x:c>
      <x:c r="T172" s="11" t="str">
        <x:v>Cần điền phiên bản thực</x:v>
      </x:c>
      <x:c r="U172" s="11" t="str"/>
      <x:c r="V172" s="12" t="str"/>
      <x:c r="W172" s="11" t="str"/>
      <x:c r="X172" s="11" t="str"/>
      <x:c r="Y172" s="3" t="str">
        <x:v>Nguồn: frontend/src/app/(public)/student-success/[slug]/page.tsx. </x:v>
      </x:c>
    </x:row>
    <x:row r="173" ht="49" customHeight="1">
      <x:c r="A173" s="3" t="n">
        <x:v>172</x:v>
      </x:c>
      <x:c r="B173" s="3" t="str">
        <x:v>TC_PUBLIC_036</x:v>
      </x:c>
      <x:c r="C173" s="3" t="str">
        <x:v>PUBLIC</x:v>
      </x:c>
      <x:c r="D173" s="3" t="str">
        <x:v>Route student-success</x:v>
      </x:c>
      <x:c r="E173" s="3" t="str">
        <x:v>Route student-success</x:v>
      </x:c>
      <x:c r="F173" s="3" t="str">
        <x:v>Positive — Mở /student-success/tai-nguyen-hoc-tap</x:v>
      </x:c>
      <x:c r="G173" s="3" t="str">
        <x:v>Mở /student-success/tai-nguyen-hoc-tap</x:v>
      </x:c>
      <x:c r="H173" s="3" t="str">
        <x:v>PUB-001</x:v>
      </x:c>
      <x:c r="I173" s="3" t="str">
        <x:v>Khách truy cập</x:v>
      </x:c>
      <x:c r="J173" s="3" t="str">
        <x:v>Positive</x:v>
      </x:c>
      <x:c r="K173" s="3" t="str">
        <x:v>Medium</x:v>
      </x:c>
      <x:c r="L173" s="3" t="str">
        <x:v>Medium</x:v>
      </x:c>
      <x:c r="M173" s="3" t="str">
        <x:v>Môi trường QA cô lập, DB/MinIO sẵn sàng; dữ liệu fixture đã tạo. Không đăng nhập.</x:v>
      </x:c>
      <x:c r="N173" s="3" t="str">
        <x:v>Locale vi; route /student-success/tai-nguyen-hoc-tap</x:v>
      </x:c>
      <x:c r="O173" s="3" t="str">
        <x:v>1. Mở trực tiếp /vi/student-success/tai-nguyen-hoc-tap
2. Theo dõi redirect và H1
3. Nhấn Back và mở lại bằng liên kết cùng nhóm</x:v>
      </x:c>
      <x:c r="P173" s="3" t="str">
        <x:v>Redirect tới /vi/student-success#tai-nguyen-hoc-tap; không tạo vòng lặp.</x:v>
      </x:c>
      <x:c r="Q173" s="11" t="str"/>
      <x:c r="R173" s="8" t="str">
        <x:v>NOT RUN</x:v>
      </x:c>
      <x:c r="S173" s="11" t="str">
        <x:v>QA/UAT — cần điền URL/build</x:v>
      </x:c>
      <x:c r="T173" s="11" t="str">
        <x:v>Cần điền phiên bản thực</x:v>
      </x:c>
      <x:c r="U173" s="11" t="str"/>
      <x:c r="V173" s="12" t="str"/>
      <x:c r="W173" s="11" t="str"/>
      <x:c r="X173" s="11" t="str"/>
      <x:c r="Y173" s="3" t="str">
        <x:v>Nguồn: frontend/src/app/(public)/student-success/[slug]/page.tsx. </x:v>
      </x:c>
    </x:row>
    <x:row r="174" ht="49" customHeight="1">
      <x:c r="A174" s="3" t="n">
        <x:v>173</x:v>
      </x:c>
      <x:c r="B174" s="3" t="str">
        <x:v>TC_PUBLIC_037</x:v>
      </x:c>
      <x:c r="C174" s="3" t="str">
        <x:v>PUBLIC</x:v>
      </x:c>
      <x:c r="D174" s="3" t="str">
        <x:v>Route student-success</x:v>
      </x:c>
      <x:c r="E174" s="3" t="str">
        <x:v>Route student-success</x:v>
      </x:c>
      <x:c r="F174" s="3" t="str">
        <x:v>Positive — Mở /student-success/cuu-hoc-vien</x:v>
      </x:c>
      <x:c r="G174" s="3" t="str">
        <x:v>Mở /student-success/cuu-hoc-vien</x:v>
      </x:c>
      <x:c r="H174" s="3" t="str">
        <x:v>PUB-001</x:v>
      </x:c>
      <x:c r="I174" s="3" t="str">
        <x:v>Khách truy cập</x:v>
      </x:c>
      <x:c r="J174" s="3" t="str">
        <x:v>Positive</x:v>
      </x:c>
      <x:c r="K174" s="3" t="str">
        <x:v>Medium</x:v>
      </x:c>
      <x:c r="L174" s="3" t="str">
        <x:v>Medium</x:v>
      </x:c>
      <x:c r="M174" s="3" t="str">
        <x:v>Môi trường QA cô lập, DB/MinIO sẵn sàng; dữ liệu fixture đã tạo. Không đăng nhập.</x:v>
      </x:c>
      <x:c r="N174" s="3" t="str">
        <x:v>Locale vi; route /student-success/cuu-hoc-vien</x:v>
      </x:c>
      <x:c r="O174" s="3" t="str">
        <x:v>1. Mở trực tiếp /vi/student-success/cuu-hoc-vien
2. Theo dõi redirect và H1
3. Nhấn Back và mở lại bằng liên kết cùng nhóm</x:v>
      </x:c>
      <x:c r="P174" s="3" t="str">
        <x:v>Redirect tới /vi/student-success#cuu-hoc-vien; không tạo vòng lặp.</x:v>
      </x:c>
      <x:c r="Q174" s="11" t="str"/>
      <x:c r="R174" s="8" t="str">
        <x:v>NOT RUN</x:v>
      </x:c>
      <x:c r="S174" s="11" t="str">
        <x:v>QA/UAT — cần điền URL/build</x:v>
      </x:c>
      <x:c r="T174" s="11" t="str">
        <x:v>Cần điền phiên bản thực</x:v>
      </x:c>
      <x:c r="U174" s="11" t="str"/>
      <x:c r="V174" s="12" t="str"/>
      <x:c r="W174" s="11" t="str"/>
      <x:c r="X174" s="11" t="str"/>
      <x:c r="Y174" s="3" t="str">
        <x:v>Nguồn: frontend/src/app/(public)/student-success/[slug]/page.tsx. </x:v>
      </x:c>
    </x:row>
    <x:row r="175" ht="49" customHeight="1">
      <x:c r="A175" s="3" t="n">
        <x:v>174</x:v>
      </x:c>
      <x:c r="B175" s="3" t="str">
        <x:v>TC_PUBLIC_038</x:v>
      </x:c>
      <x:c r="C175" s="3" t="str">
        <x:v>PUBLIC</x:v>
      </x:c>
      <x:c r="D175" s="3" t="str">
        <x:v>Route student-success</x:v>
      </x:c>
      <x:c r="E175" s="3" t="str">
        <x:v>Route student-success</x:v>
      </x:c>
      <x:c r="F175" s="3" t="str">
        <x:v>Positive — Mở /student-success/cau-chuyen-thanh-cong</x:v>
      </x:c>
      <x:c r="G175" s="3" t="str">
        <x:v>Mở /student-success/cau-chuyen-thanh-cong</x:v>
      </x:c>
      <x:c r="H175" s="3" t="str">
        <x:v>PUB-001</x:v>
      </x:c>
      <x:c r="I175" s="3" t="str">
        <x:v>Khách truy cập</x:v>
      </x:c>
      <x:c r="J175" s="3" t="str">
        <x:v>Positive</x:v>
      </x:c>
      <x:c r="K175" s="3" t="str">
        <x:v>Medium</x:v>
      </x:c>
      <x:c r="L175" s="3" t="str">
        <x:v>Medium</x:v>
      </x:c>
      <x:c r="M175" s="3" t="str">
        <x:v>Môi trường QA cô lập, DB/MinIO sẵn sàng; dữ liệu fixture đã tạo. Không đăng nhập.</x:v>
      </x:c>
      <x:c r="N175" s="3" t="str">
        <x:v>Locale vi; route /student-success/cau-chuyen-thanh-cong</x:v>
      </x:c>
      <x:c r="O175" s="3" t="str">
        <x:v>1. Mở trực tiếp /vi/student-success/cau-chuyen-thanh-cong
2. Theo dõi redirect và H1
3. Nhấn Back và mở lại bằng liên kết cùng nhóm</x:v>
      </x:c>
      <x:c r="P175" s="3" t="str">
        <x:v>Redirect tới /vi/student-success#cau-chuyen-thanh-cong; không tạo vòng lặp.</x:v>
      </x:c>
      <x:c r="Q175" s="11" t="str"/>
      <x:c r="R175" s="8" t="str">
        <x:v>NOT RUN</x:v>
      </x:c>
      <x:c r="S175" s="11" t="str">
        <x:v>QA/UAT — cần điền URL/build</x:v>
      </x:c>
      <x:c r="T175" s="11" t="str">
        <x:v>Cần điền phiên bản thực</x:v>
      </x:c>
      <x:c r="U175" s="11" t="str"/>
      <x:c r="V175" s="12" t="str"/>
      <x:c r="W175" s="11" t="str"/>
      <x:c r="X175" s="11" t="str"/>
      <x:c r="Y175" s="3" t="str">
        <x:v>Nguồn: frontend/src/app/(public)/student-success/[slug]/page.tsx. </x:v>
      </x:c>
    </x:row>
    <x:row r="176" ht="49" customHeight="1">
      <x:c r="A176" s="3" t="n">
        <x:v>175</x:v>
      </x:c>
      <x:c r="B176" s="3" t="str">
        <x:v>TC_PUBLIC_039</x:v>
      </x:c>
      <x:c r="C176" s="3" t="str">
        <x:v>PUBLIC</x:v>
      </x:c>
      <x:c r="D176" s="3" t="str">
        <x:v>Route resources</x:v>
      </x:c>
      <x:c r="E176" s="3" t="str">
        <x:v>Route resources</x:v>
      </x:c>
      <x:c r="F176" s="3" t="str">
        <x:v>Positive — Mở /resources/bieu-mau</x:v>
      </x:c>
      <x:c r="G176" s="3" t="str">
        <x:v>Mở /resources/bieu-mau</x:v>
      </x:c>
      <x:c r="H176" s="3" t="str">
        <x:v>PUB-001</x:v>
      </x:c>
      <x:c r="I176" s="3" t="str">
        <x:v>Khách truy cập</x:v>
      </x:c>
      <x:c r="J176" s="3" t="str">
        <x:v>Positive</x:v>
      </x:c>
      <x:c r="K176" s="3" t="str">
        <x:v>Medium</x:v>
      </x:c>
      <x:c r="L176" s="3" t="str">
        <x:v>Medium</x:v>
      </x:c>
      <x:c r="M176" s="3" t="str">
        <x:v>Môi trường QA cô lập, DB/MinIO sẵn sàng; dữ liệu fixture đã tạo. Không đăng nhập.</x:v>
      </x:c>
      <x:c r="N176" s="3" t="str">
        <x:v>Locale vi; route /resources/bieu-mau</x:v>
      </x:c>
      <x:c r="O176" s="3" t="str">
        <x:v>1. Mở trực tiếp /vi/resources/bieu-mau
2. Theo dõi redirect và H1
3. Nhấn Back và mở lại bằng liên kết cùng nhóm</x:v>
      </x:c>
      <x:c r="P176" s="3" t="str">
        <x:v>Chuyển tới /vi/resources#bieu-mau; locale được giữ.</x:v>
      </x:c>
      <x:c r="Q176" s="11" t="str"/>
      <x:c r="R176" s="8" t="str">
        <x:v>NOT RUN</x:v>
      </x:c>
      <x:c r="S176" s="11" t="str">
        <x:v>QA/UAT — cần điền URL/build</x:v>
      </x:c>
      <x:c r="T176" s="11" t="str">
        <x:v>Cần điền phiên bản thực</x:v>
      </x:c>
      <x:c r="U176" s="11" t="str"/>
      <x:c r="V176" s="12" t="str"/>
      <x:c r="W176" s="11" t="str"/>
      <x:c r="X176" s="11" t="str"/>
      <x:c r="Y176" s="3" t="str">
        <x:v>Nguồn: frontend/src/app/(public)/resources/[slug]/page.tsx. </x:v>
      </x:c>
    </x:row>
    <x:row r="177" ht="49" customHeight="1">
      <x:c r="A177" s="3" t="n">
        <x:v>176</x:v>
      </x:c>
      <x:c r="B177" s="3" t="str">
        <x:v>TC_PUBLIC_040</x:v>
      </x:c>
      <x:c r="C177" s="3" t="str">
        <x:v>PUBLIC</x:v>
      </x:c>
      <x:c r="D177" s="3" t="str">
        <x:v>Route resources</x:v>
      </x:c>
      <x:c r="E177" s="3" t="str">
        <x:v>Route resources</x:v>
      </x:c>
      <x:c r="F177" s="3" t="str">
        <x:v>Positive — Mở /resources/chinh-sach-quy-dinh</x:v>
      </x:c>
      <x:c r="G177" s="3" t="str">
        <x:v>Mở /resources/chinh-sach-quy-dinh</x:v>
      </x:c>
      <x:c r="H177" s="3" t="str">
        <x:v>PUB-001</x:v>
      </x:c>
      <x:c r="I177" s="3" t="str">
        <x:v>Khách truy cập</x:v>
      </x:c>
      <x:c r="J177" s="3" t="str">
        <x:v>Positive</x:v>
      </x:c>
      <x:c r="K177" s="3" t="str">
        <x:v>Medium</x:v>
      </x:c>
      <x:c r="L177" s="3" t="str">
        <x:v>Medium</x:v>
      </x:c>
      <x:c r="M177" s="3" t="str">
        <x:v>Môi trường QA cô lập, DB/MinIO sẵn sàng; dữ liệu fixture đã tạo. Không đăng nhập.</x:v>
      </x:c>
      <x:c r="N177" s="3" t="str">
        <x:v>Locale vi; route /resources/chinh-sach-quy-dinh</x:v>
      </x:c>
      <x:c r="O177" s="3" t="str">
        <x:v>1. Mở trực tiếp /vi/resources/chinh-sach-quy-dinh
2. Theo dõi redirect và H1
3. Nhấn Back và mở lại bằng liên kết cùng nhóm</x:v>
      </x:c>
      <x:c r="P177" s="3" t="str">
        <x:v>Chuyển tới /vi/resources#chinh-sach-quy-dinh; locale được giữ.</x:v>
      </x:c>
      <x:c r="Q177" s="11" t="str"/>
      <x:c r="R177" s="8" t="str">
        <x:v>NOT RUN</x:v>
      </x:c>
      <x:c r="S177" s="11" t="str">
        <x:v>QA/UAT — cần điền URL/build</x:v>
      </x:c>
      <x:c r="T177" s="11" t="str">
        <x:v>Cần điền phiên bản thực</x:v>
      </x:c>
      <x:c r="U177" s="11" t="str"/>
      <x:c r="V177" s="12" t="str"/>
      <x:c r="W177" s="11" t="str"/>
      <x:c r="X177" s="11" t="str"/>
      <x:c r="Y177" s="3" t="str">
        <x:v>Nguồn: frontend/src/app/(public)/resources/[slug]/page.tsx. </x:v>
      </x:c>
    </x:row>
    <x:row r="178" ht="49" customHeight="1">
      <x:c r="A178" s="3" t="n">
        <x:v>177</x:v>
      </x:c>
      <x:c r="B178" s="3" t="str">
        <x:v>TC_PUBLIC_041</x:v>
      </x:c>
      <x:c r="C178" s="3" t="str">
        <x:v>PUBLIC</x:v>
      </x:c>
      <x:c r="D178" s="3" t="str">
        <x:v>Route resources</x:v>
      </x:c>
      <x:c r="E178" s="3" t="str">
        <x:v>Route resources</x:v>
      </x:c>
      <x:c r="F178" s="3" t="str">
        <x:v>Positive — Mở /resources/tai-lieu</x:v>
      </x:c>
      <x:c r="G178" s="3" t="str">
        <x:v>Mở /resources/tai-lieu</x:v>
      </x:c>
      <x:c r="H178" s="3" t="str">
        <x:v>PUB-001</x:v>
      </x:c>
      <x:c r="I178" s="3" t="str">
        <x:v>Khách truy cập</x:v>
      </x:c>
      <x:c r="J178" s="3" t="str">
        <x:v>Positive</x:v>
      </x:c>
      <x:c r="K178" s="3" t="str">
        <x:v>Medium</x:v>
      </x:c>
      <x:c r="L178" s="3" t="str">
        <x:v>Medium</x:v>
      </x:c>
      <x:c r="M178" s="3" t="str">
        <x:v>Môi trường QA cô lập, DB/MinIO sẵn sàng; dữ liệu fixture đã tạo. Không đăng nhập.</x:v>
      </x:c>
      <x:c r="N178" s="3" t="str">
        <x:v>Locale vi; route /resources/tai-lieu</x:v>
      </x:c>
      <x:c r="O178" s="3" t="str">
        <x:v>1. Mở trực tiếp /vi/resources/tai-lieu
2. Theo dõi redirect và H1
3. Nhấn Back và mở lại bằng liên kết cùng nhóm</x:v>
      </x:c>
      <x:c r="P178" s="3" t="str">
        <x:v>Chuyển tới /vi/resources#tai-lieu; locale được giữ.</x:v>
      </x:c>
      <x:c r="Q178" s="11" t="str"/>
      <x:c r="R178" s="8" t="str">
        <x:v>NOT RUN</x:v>
      </x:c>
      <x:c r="S178" s="11" t="str">
        <x:v>QA/UAT — cần điền URL/build</x:v>
      </x:c>
      <x:c r="T178" s="11" t="str">
        <x:v>Cần điền phiên bản thực</x:v>
      </x:c>
      <x:c r="U178" s="11" t="str"/>
      <x:c r="V178" s="12" t="str"/>
      <x:c r="W178" s="11" t="str"/>
      <x:c r="X178" s="11" t="str"/>
      <x:c r="Y178" s="3" t="str">
        <x:v>Nguồn: frontend/src/app/(public)/resources/[slug]/page.tsx. </x:v>
      </x:c>
    </x:row>
    <x:row r="179" ht="49" customHeight="1">
      <x:c r="A179" s="3" t="n">
        <x:v>178</x:v>
      </x:c>
      <x:c r="B179" s="3" t="str">
        <x:v>TC_PUBLIC_042</x:v>
      </x:c>
      <x:c r="C179" s="3" t="str">
        <x:v>PUBLIC</x:v>
      </x:c>
      <x:c r="D179" s="3" t="str">
        <x:v>Route resources</x:v>
      </x:c>
      <x:c r="E179" s="3" t="str">
        <x:v>Route resources</x:v>
      </x:c>
      <x:c r="F179" s="3" t="str">
        <x:v>Positive — Mở /resources/lich-hoc-thuat</x:v>
      </x:c>
      <x:c r="G179" s="3" t="str">
        <x:v>Mở /resources/lich-hoc-thuat</x:v>
      </x:c>
      <x:c r="H179" s="3" t="str">
        <x:v>PUB-001</x:v>
      </x:c>
      <x:c r="I179" s="3" t="str">
        <x:v>Khách truy cập</x:v>
      </x:c>
      <x:c r="J179" s="3" t="str">
        <x:v>Positive</x:v>
      </x:c>
      <x:c r="K179" s="3" t="str">
        <x:v>Medium</x:v>
      </x:c>
      <x:c r="L179" s="3" t="str">
        <x:v>Medium</x:v>
      </x:c>
      <x:c r="M179" s="3" t="str">
        <x:v>Môi trường QA cô lập, DB/MinIO sẵn sàng; dữ liệu fixture đã tạo. Không đăng nhập.</x:v>
      </x:c>
      <x:c r="N179" s="3" t="str">
        <x:v>Locale vi; route /resources/lich-hoc-thuat</x:v>
      </x:c>
      <x:c r="O179" s="3" t="str">
        <x:v>1. Mở trực tiếp /vi/resources/lich-hoc-thuat
2. Theo dõi redirect và H1
3. Nhấn Back và mở lại bằng liên kết cùng nhóm</x:v>
      </x:c>
      <x:c r="P179" s="3" t="str">
        <x:v>Chuyển tới /vi/resources#lich-hoc-thuat; locale được giữ.</x:v>
      </x:c>
      <x:c r="Q179" s="11" t="str"/>
      <x:c r="R179" s="8" t="str">
        <x:v>NOT RUN</x:v>
      </x:c>
      <x:c r="S179" s="11" t="str">
        <x:v>QA/UAT — cần điền URL/build</x:v>
      </x:c>
      <x:c r="T179" s="11" t="str">
        <x:v>Cần điền phiên bản thực</x:v>
      </x:c>
      <x:c r="U179" s="11" t="str"/>
      <x:c r="V179" s="12" t="str"/>
      <x:c r="W179" s="11" t="str"/>
      <x:c r="X179" s="11" t="str"/>
      <x:c r="Y179" s="3" t="str">
        <x:v>Nguồn: frontend/src/app/(public)/resources/[slug]/page.tsx. </x:v>
      </x:c>
    </x:row>
    <x:row r="180" ht="49" customHeight="1">
      <x:c r="A180" s="3" t="n">
        <x:v>179</x:v>
      </x:c>
      <x:c r="B180" s="3" t="str">
        <x:v>TC_PUBLIC_043</x:v>
      </x:c>
      <x:c r="C180" s="3" t="str">
        <x:v>PUBLIC</x:v>
      </x:c>
      <x:c r="D180" s="3" t="str">
        <x:v>Route resources</x:v>
      </x:c>
      <x:c r="E180" s="3" t="str">
        <x:v>Route resources</x:v>
      </x:c>
      <x:c r="F180" s="3" t="str">
        <x:v>Positive — Mở /resources/faq</x:v>
      </x:c>
      <x:c r="G180" s="3" t="str">
        <x:v>Mở /resources/faq</x:v>
      </x:c>
      <x:c r="H180" s="3" t="str">
        <x:v>PUB-001</x:v>
      </x:c>
      <x:c r="I180" s="3" t="str">
        <x:v>Khách truy cập</x:v>
      </x:c>
      <x:c r="J180" s="3" t="str">
        <x:v>Positive</x:v>
      </x:c>
      <x:c r="K180" s="3" t="str">
        <x:v>Medium</x:v>
      </x:c>
      <x:c r="L180" s="3" t="str">
        <x:v>Medium</x:v>
      </x:c>
      <x:c r="M180" s="3" t="str">
        <x:v>Môi trường QA cô lập, DB/MinIO sẵn sàng; dữ liệu fixture đã tạo. Không đăng nhập.</x:v>
      </x:c>
      <x:c r="N180" s="3" t="str">
        <x:v>Locale vi; route /resources/faq</x:v>
      </x:c>
      <x:c r="O180" s="3" t="str">
        <x:v>1. Mở trực tiếp /vi/resources/faq
2. Theo dõi redirect và H1
3. Nhấn Back và mở lại bằng liên kết cùng nhóm</x:v>
      </x:c>
      <x:c r="P180" s="3" t="str">
        <x:v>Chuyển tới /vi/resources#faq; locale được giữ.</x:v>
      </x:c>
      <x:c r="Q180" s="11" t="str"/>
      <x:c r="R180" s="8" t="str">
        <x:v>NOT RUN</x:v>
      </x:c>
      <x:c r="S180" s="11" t="str">
        <x:v>QA/UAT — cần điền URL/build</x:v>
      </x:c>
      <x:c r="T180" s="11" t="str">
        <x:v>Cần điền phiên bản thực</x:v>
      </x:c>
      <x:c r="U180" s="11" t="str"/>
      <x:c r="V180" s="12" t="str"/>
      <x:c r="W180" s="11" t="str"/>
      <x:c r="X180" s="11" t="str"/>
      <x:c r="Y180" s="3" t="str">
        <x:v>Nguồn: frontend/src/app/(public)/resources/[slug]/page.tsx. </x:v>
      </x:c>
    </x:row>
    <x:row r="181" ht="49" customHeight="1">
      <x:c r="A181" s="3" t="n">
        <x:v>180</x:v>
      </x:c>
      <x:c r="B181" s="3" t="str">
        <x:v>TC_PUBLIC_044</x:v>
      </x:c>
      <x:c r="C181" s="3" t="str">
        <x:v>PUBLIC</x:v>
      </x:c>
      <x:c r="D181" s="3" t="str">
        <x:v>Landing page</x:v>
      </x:c>
      <x:c r="E181" s="3" t="str">
        <x:v>Landing page</x:v>
      </x:c>
      <x:c r="F181" s="3" t="str">
        <x:v>Positive — Landing /</x:v>
      </x:c>
      <x:c r="G181" s="3" t="str">
        <x:v>Landing /</x:v>
      </x:c>
      <x:c r="H181" s="3" t="str">
        <x:v>PUB-001</x:v>
      </x:c>
      <x:c r="I181" s="3" t="str">
        <x:v>Khách truy cập</x:v>
      </x:c>
      <x:c r="J181" s="3" t="str">
        <x:v>Positive</x:v>
      </x:c>
      <x:c r="K181" s="3" t="str">
        <x:v>Medium</x:v>
      </x:c>
      <x:c r="L181" s="3" t="str">
        <x:v>Medium</x:v>
      </x:c>
      <x:c r="M181" s="3" t="str">
        <x:v>Môi trường QA cô lập, DB/MinIO sẵn sàng; dữ liệu fixture đã tạo. Không đăng nhập.</x:v>
      </x:c>
      <x:c r="N181" s="3" t="str">
        <x:v>Dữ liệu QA tổng hợp; xem fixture trong README.</x:v>
      </x:c>
      <x:c r="O181" s="3" t="str">
        <x:v>1. Mở /vi
2. Cuộn từ hero đến footer
3. Mở từng CTA chính</x:v>
      </x:c>
      <x:c r="P181" s="3" t="str">
        <x:v>Trang có nội dung nhóm tương ứng, hero và footer; CTA dẫn đúng href trong component; không 404 ở liên kết chính.</x:v>
      </x:c>
      <x:c r="Q181" s="11" t="str"/>
      <x:c r="R181" s="8" t="str">
        <x:v>NOT RUN</x:v>
      </x:c>
      <x:c r="S181" s="11" t="str">
        <x:v>QA/UAT — cần điền URL/build</x:v>
      </x:c>
      <x:c r="T181" s="11" t="str">
        <x:v>Cần điền phiên bản thực</x:v>
      </x:c>
      <x:c r="U181" s="11" t="str"/>
      <x:c r="V181" s="12" t="str"/>
      <x:c r="W181" s="11" t="str"/>
      <x:c r="X181" s="11" t="str"/>
      <x:c r="Y181" s="3" t="str">
        <x:v>Nguồn: frontend/src/app/(public)/page.tsx. </x:v>
      </x:c>
    </x:row>
    <x:row r="182" ht="49" customHeight="1">
      <x:c r="A182" s="3" t="n">
        <x:v>181</x:v>
      </x:c>
      <x:c r="B182" s="3" t="str">
        <x:v>TC_PUBLIC_045</x:v>
      </x:c>
      <x:c r="C182" s="3" t="str">
        <x:v>PUBLIC</x:v>
      </x:c>
      <x:c r="D182" s="3" t="str">
        <x:v>Landing page</x:v>
      </x:c>
      <x:c r="E182" s="3" t="str">
        <x:v>Landing page</x:v>
      </x:c>
      <x:c r="F182" s="3" t="str">
        <x:v>Positive — Landing /discover</x:v>
      </x:c>
      <x:c r="G182" s="3" t="str">
        <x:v>Landing /discover</x:v>
      </x:c>
      <x:c r="H182" s="3" t="str">
        <x:v>PUB-001</x:v>
      </x:c>
      <x:c r="I182" s="3" t="str">
        <x:v>Khách truy cập</x:v>
      </x:c>
      <x:c r="J182" s="3" t="str">
        <x:v>Positive</x:v>
      </x:c>
      <x:c r="K182" s="3" t="str">
        <x:v>Medium</x:v>
      </x:c>
      <x:c r="L182" s="3" t="str">
        <x:v>Medium</x:v>
      </x:c>
      <x:c r="M182" s="3" t="str">
        <x:v>Môi trường QA cô lập, DB/MinIO sẵn sàng; dữ liệu fixture đã tạo. Không đăng nhập.</x:v>
      </x:c>
      <x:c r="N182" s="3" t="str">
        <x:v>Dữ liệu QA tổng hợp; xem fixture trong README.</x:v>
      </x:c>
      <x:c r="O182" s="3" t="str">
        <x:v>1. Mở /vi/discover
2. Cuộn từ hero đến footer
3. Mở từng CTA chính</x:v>
      </x:c>
      <x:c r="P182" s="3" t="str">
        <x:v>Trang có nội dung nhóm tương ứng, hero và footer; CTA dẫn đúng href trong component; không 404 ở liên kết chính.</x:v>
      </x:c>
      <x:c r="Q182" s="11" t="str"/>
      <x:c r="R182" s="8" t="str">
        <x:v>NOT RUN</x:v>
      </x:c>
      <x:c r="S182" s="11" t="str">
        <x:v>QA/UAT — cần điền URL/build</x:v>
      </x:c>
      <x:c r="T182" s="11" t="str">
        <x:v>Cần điền phiên bản thực</x:v>
      </x:c>
      <x:c r="U182" s="11" t="str"/>
      <x:c r="V182" s="12" t="str"/>
      <x:c r="W182" s="11" t="str"/>
      <x:c r="X182" s="11" t="str"/>
      <x:c r="Y182" s="3" t="str">
        <x:v>Nguồn: frontend/src/app/(public)/discover/page.tsx. </x:v>
      </x:c>
    </x:row>
    <x:row r="183" ht="49" customHeight="1">
      <x:c r="A183" s="3" t="n">
        <x:v>182</x:v>
      </x:c>
      <x:c r="B183" s="3" t="str">
        <x:v>TC_PUBLIC_046</x:v>
      </x:c>
      <x:c r="C183" s="3" t="str">
        <x:v>PUBLIC</x:v>
      </x:c>
      <x:c r="D183" s="3" t="str">
        <x:v>Landing page</x:v>
      </x:c>
      <x:c r="E183" s="3" t="str">
        <x:v>Landing page</x:v>
      </x:c>
      <x:c r="F183" s="3" t="str">
        <x:v>Positive — Landing /programmes</x:v>
      </x:c>
      <x:c r="G183" s="3" t="str">
        <x:v>Landing /programmes</x:v>
      </x:c>
      <x:c r="H183" s="3" t="str">
        <x:v>PUB-001</x:v>
      </x:c>
      <x:c r="I183" s="3" t="str">
        <x:v>Khách truy cập</x:v>
      </x:c>
      <x:c r="J183" s="3" t="str">
        <x:v>Positive</x:v>
      </x:c>
      <x:c r="K183" s="3" t="str">
        <x:v>Medium</x:v>
      </x:c>
      <x:c r="L183" s="3" t="str">
        <x:v>Medium</x:v>
      </x:c>
      <x:c r="M183" s="3" t="str">
        <x:v>Môi trường QA cô lập, DB/MinIO sẵn sàng; dữ liệu fixture đã tạo. Không đăng nhập.</x:v>
      </x:c>
      <x:c r="N183" s="3" t="str">
        <x:v>Dữ liệu QA tổng hợp; xem fixture trong README.</x:v>
      </x:c>
      <x:c r="O183" s="3" t="str">
        <x:v>1. Mở /vi/programmes
2. Cuộn từ hero đến footer
3. Mở từng CTA chính</x:v>
      </x:c>
      <x:c r="P183" s="3" t="str">
        <x:v>Trang có nội dung nhóm tương ứng, hero và footer; CTA dẫn đúng href trong component; không 404 ở liên kết chính.</x:v>
      </x:c>
      <x:c r="Q183" s="11" t="str"/>
      <x:c r="R183" s="8" t="str">
        <x:v>NOT RUN</x:v>
      </x:c>
      <x:c r="S183" s="11" t="str">
        <x:v>QA/UAT — cần điền URL/build</x:v>
      </x:c>
      <x:c r="T183" s="11" t="str">
        <x:v>Cần điền phiên bản thực</x:v>
      </x:c>
      <x:c r="U183" s="11" t="str"/>
      <x:c r="V183" s="12" t="str"/>
      <x:c r="W183" s="11" t="str"/>
      <x:c r="X183" s="11" t="str"/>
      <x:c r="Y183" s="3" t="str">
        <x:v>Nguồn: frontend/src/app/(public)/programmes/page.tsx. </x:v>
      </x:c>
    </x:row>
    <x:row r="184" ht="49" customHeight="1">
      <x:c r="A184" s="3" t="n">
        <x:v>183</x:v>
      </x:c>
      <x:c r="B184" s="3" t="str">
        <x:v>TC_PUBLIC_047</x:v>
      </x:c>
      <x:c r="C184" s="3" t="str">
        <x:v>PUBLIC</x:v>
      </x:c>
      <x:c r="D184" s="3" t="str">
        <x:v>Landing page</x:v>
      </x:c>
      <x:c r="E184" s="3" t="str">
        <x:v>Landing page</x:v>
      </x:c>
      <x:c r="F184" s="3" t="str">
        <x:v>Positive — Landing /admissions</x:v>
      </x:c>
      <x:c r="G184" s="3" t="str">
        <x:v>Landing /admissions</x:v>
      </x:c>
      <x:c r="H184" s="3" t="str">
        <x:v>PUB-001</x:v>
      </x:c>
      <x:c r="I184" s="3" t="str">
        <x:v>Khách truy cập</x:v>
      </x:c>
      <x:c r="J184" s="3" t="str">
        <x:v>Positive</x:v>
      </x:c>
      <x:c r="K184" s="3" t="str">
        <x:v>Medium</x:v>
      </x:c>
      <x:c r="L184" s="3" t="str">
        <x:v>Medium</x:v>
      </x:c>
      <x:c r="M184" s="3" t="str">
        <x:v>Môi trường QA cô lập, DB/MinIO sẵn sàng; dữ liệu fixture đã tạo. Không đăng nhập.</x:v>
      </x:c>
      <x:c r="N184" s="3" t="str">
        <x:v>Dữ liệu QA tổng hợp; xem fixture trong README.</x:v>
      </x:c>
      <x:c r="O184" s="3" t="str">
        <x:v>1. Mở /vi/admissions
2. Cuộn từ hero đến footer
3. Mở từng CTA chính</x:v>
      </x:c>
      <x:c r="P184" s="3" t="str">
        <x:v>Trang có nội dung nhóm tương ứng, hero và footer; CTA dẫn đúng href trong component; không 404 ở liên kết chính.</x:v>
      </x:c>
      <x:c r="Q184" s="11" t="str"/>
      <x:c r="R184" s="8" t="str">
        <x:v>NOT RUN</x:v>
      </x:c>
      <x:c r="S184" s="11" t="str">
        <x:v>QA/UAT — cần điền URL/build</x:v>
      </x:c>
      <x:c r="T184" s="11" t="str">
        <x:v>Cần điền phiên bản thực</x:v>
      </x:c>
      <x:c r="U184" s="11" t="str"/>
      <x:c r="V184" s="12" t="str"/>
      <x:c r="W184" s="11" t="str"/>
      <x:c r="X184" s="11" t="str"/>
      <x:c r="Y184" s="3" t="str">
        <x:v>Nguồn: frontend/src/app/(public)/admissions/page.tsx. </x:v>
      </x:c>
    </x:row>
    <x:row r="185" ht="49" customHeight="1">
      <x:c r="A185" s="3" t="n">
        <x:v>184</x:v>
      </x:c>
      <x:c r="B185" s="3" t="str">
        <x:v>TC_PUBLIC_048</x:v>
      </x:c>
      <x:c r="C185" s="3" t="str">
        <x:v>PUBLIC</x:v>
      </x:c>
      <x:c r="D185" s="3" t="str">
        <x:v>Landing page</x:v>
      </x:c>
      <x:c r="E185" s="3" t="str">
        <x:v>Landing page</x:v>
      </x:c>
      <x:c r="F185" s="3" t="str">
        <x:v>Positive — Landing /research</x:v>
      </x:c>
      <x:c r="G185" s="3" t="str">
        <x:v>Landing /research</x:v>
      </x:c>
      <x:c r="H185" s="3" t="str">
        <x:v>PUB-001</x:v>
      </x:c>
      <x:c r="I185" s="3" t="str">
        <x:v>Khách truy cập</x:v>
      </x:c>
      <x:c r="J185" s="3" t="str">
        <x:v>Positive</x:v>
      </x:c>
      <x:c r="K185" s="3" t="str">
        <x:v>Medium</x:v>
      </x:c>
      <x:c r="L185" s="3" t="str">
        <x:v>Medium</x:v>
      </x:c>
      <x:c r="M185" s="3" t="str">
        <x:v>Môi trường QA cô lập, DB/MinIO sẵn sàng; dữ liệu fixture đã tạo. Không đăng nhập.</x:v>
      </x:c>
      <x:c r="N185" s="3" t="str">
        <x:v>Dữ liệu QA tổng hợp; xem fixture trong README.</x:v>
      </x:c>
      <x:c r="O185" s="3" t="str">
        <x:v>1. Mở /vi/research
2. Cuộn từ hero đến footer
3. Mở từng CTA chính</x:v>
      </x:c>
      <x:c r="P185" s="3" t="str">
        <x:v>Trang có nội dung nhóm tương ứng, hero và footer; CTA dẫn đúng href trong component; không 404 ở liên kết chính.</x:v>
      </x:c>
      <x:c r="Q185" s="11" t="str"/>
      <x:c r="R185" s="8" t="str">
        <x:v>NOT RUN</x:v>
      </x:c>
      <x:c r="S185" s="11" t="str">
        <x:v>QA/UAT — cần điền URL/build</x:v>
      </x:c>
      <x:c r="T185" s="11" t="str">
        <x:v>Cần điền phiên bản thực</x:v>
      </x:c>
      <x:c r="U185" s="11" t="str"/>
      <x:c r="V185" s="12" t="str"/>
      <x:c r="W185" s="11" t="str"/>
      <x:c r="X185" s="11" t="str"/>
      <x:c r="Y185" s="3" t="str">
        <x:v>Nguồn: frontend/src/app/(public)/research/page.tsx. </x:v>
      </x:c>
    </x:row>
    <x:row r="186" ht="49" customHeight="1">
      <x:c r="A186" s="3" t="n">
        <x:v>185</x:v>
      </x:c>
      <x:c r="B186" s="3" t="str">
        <x:v>TC_PUBLIC_049</x:v>
      </x:c>
      <x:c r="C186" s="3" t="str">
        <x:v>PUBLIC</x:v>
      </x:c>
      <x:c r="D186" s="3" t="str">
        <x:v>Landing page</x:v>
      </x:c>
      <x:c r="E186" s="3" t="str">
        <x:v>Landing page</x:v>
      </x:c>
      <x:c r="F186" s="3" t="str">
        <x:v>Positive — Landing /student-success</x:v>
      </x:c>
      <x:c r="G186" s="3" t="str">
        <x:v>Landing /student-success</x:v>
      </x:c>
      <x:c r="H186" s="3" t="str">
        <x:v>PUB-001</x:v>
      </x:c>
      <x:c r="I186" s="3" t="str">
        <x:v>Khách truy cập</x:v>
      </x:c>
      <x:c r="J186" s="3" t="str">
        <x:v>Positive</x:v>
      </x:c>
      <x:c r="K186" s="3" t="str">
        <x:v>Medium</x:v>
      </x:c>
      <x:c r="L186" s="3" t="str">
        <x:v>Medium</x:v>
      </x:c>
      <x:c r="M186" s="3" t="str">
        <x:v>Môi trường QA cô lập, DB/MinIO sẵn sàng; dữ liệu fixture đã tạo. Không đăng nhập.</x:v>
      </x:c>
      <x:c r="N186" s="3" t="str">
        <x:v>Dữ liệu QA tổng hợp; xem fixture trong README.</x:v>
      </x:c>
      <x:c r="O186" s="3" t="str">
        <x:v>1. Mở /vi/student-success
2. Cuộn từ hero đến footer
3. Mở từng CTA chính</x:v>
      </x:c>
      <x:c r="P186" s="3" t="str">
        <x:v>Trang có nội dung nhóm tương ứng, hero và footer; CTA dẫn đúng href trong component; không 404 ở liên kết chính.</x:v>
      </x:c>
      <x:c r="Q186" s="11" t="str"/>
      <x:c r="R186" s="8" t="str">
        <x:v>NOT RUN</x:v>
      </x:c>
      <x:c r="S186" s="11" t="str">
        <x:v>QA/UAT — cần điền URL/build</x:v>
      </x:c>
      <x:c r="T186" s="11" t="str">
        <x:v>Cần điền phiên bản thực</x:v>
      </x:c>
      <x:c r="U186" s="11" t="str"/>
      <x:c r="V186" s="12" t="str"/>
      <x:c r="W186" s="11" t="str"/>
      <x:c r="X186" s="11" t="str"/>
      <x:c r="Y186" s="3" t="str">
        <x:v>Nguồn: frontend/src/app/(public)/student-success/page.tsx. </x:v>
      </x:c>
    </x:row>
    <x:row r="187" ht="49" customHeight="1">
      <x:c r="A187" s="3" t="n">
        <x:v>186</x:v>
      </x:c>
      <x:c r="B187" s="3" t="str">
        <x:v>TC_PUBLIC_050</x:v>
      </x:c>
      <x:c r="C187" s="3" t="str">
        <x:v>PUBLIC</x:v>
      </x:c>
      <x:c r="D187" s="3" t="str">
        <x:v>Landing page</x:v>
      </x:c>
      <x:c r="E187" s="3" t="str">
        <x:v>Landing page</x:v>
      </x:c>
      <x:c r="F187" s="3" t="str">
        <x:v>Positive — Landing /news</x:v>
      </x:c>
      <x:c r="G187" s="3" t="str">
        <x:v>Landing /news</x:v>
      </x:c>
      <x:c r="H187" s="3" t="str">
        <x:v>PUB-001</x:v>
      </x:c>
      <x:c r="I187" s="3" t="str">
        <x:v>Khách truy cập</x:v>
      </x:c>
      <x:c r="J187" s="3" t="str">
        <x:v>Positive</x:v>
      </x:c>
      <x:c r="K187" s="3" t="str">
        <x:v>Medium</x:v>
      </x:c>
      <x:c r="L187" s="3" t="str">
        <x:v>Medium</x:v>
      </x:c>
      <x:c r="M187" s="3" t="str">
        <x:v>Môi trường QA cô lập, DB/MinIO sẵn sàng; dữ liệu fixture đã tạo. Không đăng nhập.</x:v>
      </x:c>
      <x:c r="N187" s="3" t="str">
        <x:v>Dữ liệu QA tổng hợp; xem fixture trong README.</x:v>
      </x:c>
      <x:c r="O187" s="3" t="str">
        <x:v>1. Mở /vi/news
2. Cuộn từ hero đến footer
3. Mở từng CTA chính</x:v>
      </x:c>
      <x:c r="P187" s="3" t="str">
        <x:v>Trang có nội dung nhóm tương ứng, hero và footer; CTA dẫn đúng href trong component; không 404 ở liên kết chính.</x:v>
      </x:c>
      <x:c r="Q187" s="11" t="str"/>
      <x:c r="R187" s="8" t="str">
        <x:v>NOT RUN</x:v>
      </x:c>
      <x:c r="S187" s="11" t="str">
        <x:v>QA/UAT — cần điền URL/build</x:v>
      </x:c>
      <x:c r="T187" s="11" t="str">
        <x:v>Cần điền phiên bản thực</x:v>
      </x:c>
      <x:c r="U187" s="11" t="str"/>
      <x:c r="V187" s="12" t="str"/>
      <x:c r="W187" s="11" t="str"/>
      <x:c r="X187" s="11" t="str"/>
      <x:c r="Y187" s="3" t="str">
        <x:v>Nguồn: frontend/src/app/(public)/news/page.tsx. </x:v>
      </x:c>
    </x:row>
    <x:row r="188" ht="49" customHeight="1">
      <x:c r="A188" s="3" t="n">
        <x:v>187</x:v>
      </x:c>
      <x:c r="B188" s="3" t="str">
        <x:v>TC_PUBLIC_051</x:v>
      </x:c>
      <x:c r="C188" s="3" t="str">
        <x:v>PUBLIC</x:v>
      </x:c>
      <x:c r="D188" s="3" t="str">
        <x:v>Landing page</x:v>
      </x:c>
      <x:c r="E188" s="3" t="str">
        <x:v>Landing page</x:v>
      </x:c>
      <x:c r="F188" s="3" t="str">
        <x:v>Positive — Landing /resources</x:v>
      </x:c>
      <x:c r="G188" s="3" t="str">
        <x:v>Landing /resources</x:v>
      </x:c>
      <x:c r="H188" s="3" t="str">
        <x:v>PUB-001</x:v>
      </x:c>
      <x:c r="I188" s="3" t="str">
        <x:v>Khách truy cập</x:v>
      </x:c>
      <x:c r="J188" s="3" t="str">
        <x:v>Positive</x:v>
      </x:c>
      <x:c r="K188" s="3" t="str">
        <x:v>Medium</x:v>
      </x:c>
      <x:c r="L188" s="3" t="str">
        <x:v>Medium</x:v>
      </x:c>
      <x:c r="M188" s="3" t="str">
        <x:v>Môi trường QA cô lập, DB/MinIO sẵn sàng; dữ liệu fixture đã tạo. Không đăng nhập.</x:v>
      </x:c>
      <x:c r="N188" s="3" t="str">
        <x:v>Dữ liệu QA tổng hợp; xem fixture trong README.</x:v>
      </x:c>
      <x:c r="O188" s="3" t="str">
        <x:v>1. Mở /vi/resources
2. Cuộn từ hero đến footer
3. Mở từng CTA chính</x:v>
      </x:c>
      <x:c r="P188" s="3" t="str">
        <x:v>Trang có nội dung nhóm tương ứng, hero và footer; CTA dẫn đúng href trong component; không 404 ở liên kết chính.</x:v>
      </x:c>
      <x:c r="Q188" s="11" t="str"/>
      <x:c r="R188" s="8" t="str">
        <x:v>NOT RUN</x:v>
      </x:c>
      <x:c r="S188" s="11" t="str">
        <x:v>QA/UAT — cần điền URL/build</x:v>
      </x:c>
      <x:c r="T188" s="11" t="str">
        <x:v>Cần điền phiên bản thực</x:v>
      </x:c>
      <x:c r="U188" s="11" t="str"/>
      <x:c r="V188" s="12" t="str"/>
      <x:c r="W188" s="11" t="str"/>
      <x:c r="X188" s="11" t="str"/>
      <x:c r="Y188" s="3" t="str">
        <x:v>Nguồn: frontend/src/app/(public)/resources/page.tsx. </x:v>
      </x:c>
    </x:row>
    <x:row r="189" ht="36" customHeight="1">
      <x:c r="A189" s="3" t="n">
        <x:v>188</x:v>
      </x:c>
      <x:c r="B189" s="3" t="str">
        <x:v>TC_PUBLIC_052</x:v>
      </x:c>
      <x:c r="C189" s="3" t="str">
        <x:v>PUBLIC</x:v>
      </x:c>
      <x:c r="D189" s="3" t="str">
        <x:v>URL lỗi</x:v>
      </x:c>
      <x:c r="E189" s="3" t="str">
        <x:v>URL lỗi</x:v>
      </x:c>
      <x:c r="F189" s="3" t="str">
        <x:v>Negative — Slug không tồn tại discover</x:v>
      </x:c>
      <x:c r="G189" s="3" t="str">
        <x:v>Slug không tồn tại discover</x:v>
      </x:c>
      <x:c r="H189" s="3" t="str">
        <x:v>PUB-001</x:v>
      </x:c>
      <x:c r="I189" s="3" t="str">
        <x:v>Khách truy cập</x:v>
      </x:c>
      <x:c r="J189" s="3" t="str">
        <x:v>Negative</x:v>
      </x:c>
      <x:c r="K189" s="3" t="str">
        <x:v>Medium</x:v>
      </x:c>
      <x:c r="L189" s="3" t="str">
        <x:v>Medium</x:v>
      </x:c>
      <x:c r="M189" s="3" t="str">
        <x:v>Môi trường QA cô lập, DB/MinIO sẵn sàng; dữ liệu fixture đã tạo. Không đăng nhập.</x:v>
      </x:c>
      <x:c r="N189" s="3" t="str">
        <x:v>Dữ liệu QA tổng hợp; xem fixture trong README.</x:v>
      </x:c>
      <x:c r="O189" s="3" t="str">
        <x:v>1. Mở /vi/discover/qa-slug-not-exist-9988</x:v>
      </x:c>
      <x:c r="P189" s="3" t="str">
        <x:v>HTTP404, không hiển thị bài/trang khác.</x:v>
      </x:c>
      <x:c r="Q189" s="11" t="str"/>
      <x:c r="R189" s="8" t="str">
        <x:v>NOT RUN</x:v>
      </x:c>
      <x:c r="S189" s="11" t="str">
        <x:v>QA/UAT — cần điền URL/build</x:v>
      </x:c>
      <x:c r="T189" s="11" t="str">
        <x:v>Cần điền phiên bản thực</x:v>
      </x:c>
      <x:c r="U189" s="11" t="str"/>
      <x:c r="V189" s="12" t="str"/>
      <x:c r="W189" s="11" t="str"/>
      <x:c r="X189" s="11" t="str"/>
      <x:c r="Y189" s="3" t="str">
        <x:v>Nguồn: frontend/src/app/(public)/discover/[slug]/page.tsx. </x:v>
      </x:c>
    </x:row>
    <x:row r="190" ht="36" customHeight="1">
      <x:c r="A190" s="3" t="n">
        <x:v>189</x:v>
      </x:c>
      <x:c r="B190" s="3" t="str">
        <x:v>TC_PUBLIC_053</x:v>
      </x:c>
      <x:c r="C190" s="3" t="str">
        <x:v>PUBLIC</x:v>
      </x:c>
      <x:c r="D190" s="3" t="str">
        <x:v>URL lỗi</x:v>
      </x:c>
      <x:c r="E190" s="3" t="str">
        <x:v>URL lỗi</x:v>
      </x:c>
      <x:c r="F190" s="3" t="str">
        <x:v>Negative — Slug không tồn tại programmes</x:v>
      </x:c>
      <x:c r="G190" s="3" t="str">
        <x:v>Slug không tồn tại programmes</x:v>
      </x:c>
      <x:c r="H190" s="3" t="str">
        <x:v>PUB-001</x:v>
      </x:c>
      <x:c r="I190" s="3" t="str">
        <x:v>Khách truy cập</x:v>
      </x:c>
      <x:c r="J190" s="3" t="str">
        <x:v>Negative</x:v>
      </x:c>
      <x:c r="K190" s="3" t="str">
        <x:v>Medium</x:v>
      </x:c>
      <x:c r="L190" s="3" t="str">
        <x:v>Medium</x:v>
      </x:c>
      <x:c r="M190" s="3" t="str">
        <x:v>Môi trường QA cô lập, DB/MinIO sẵn sàng; dữ liệu fixture đã tạo. Không đăng nhập.</x:v>
      </x:c>
      <x:c r="N190" s="3" t="str">
        <x:v>Dữ liệu QA tổng hợp; xem fixture trong README.</x:v>
      </x:c>
      <x:c r="O190" s="3" t="str">
        <x:v>1. Mở /vi/programmes/qa-slug-not-exist-9988</x:v>
      </x:c>
      <x:c r="P190" s="3" t="str">
        <x:v>Redirect /vi/programmes#qa-slug-not-exist-9988 theo code; trang nhóm mở được, hash không khớp không gây lỗi runtime.</x:v>
      </x:c>
      <x:c r="Q190" s="11" t="str"/>
      <x:c r="R190" s="8" t="str">
        <x:v>NOT RUN</x:v>
      </x:c>
      <x:c r="S190" s="11" t="str">
        <x:v>QA/UAT — cần điền URL/build</x:v>
      </x:c>
      <x:c r="T190" s="11" t="str">
        <x:v>Cần điền phiên bản thực</x:v>
      </x:c>
      <x:c r="U190" s="11" t="str"/>
      <x:c r="V190" s="12" t="str"/>
      <x:c r="W190" s="11" t="str"/>
      <x:c r="X190" s="11" t="str"/>
      <x:c r="Y190" s="3" t="str">
        <x:v>Nguồn: frontend/src/app/(public)/programmes/[slug]/page.tsx. </x:v>
      </x:c>
    </x:row>
    <x:row r="191" ht="36" customHeight="1">
      <x:c r="A191" s="3" t="n">
        <x:v>190</x:v>
      </x:c>
      <x:c r="B191" s="3" t="str">
        <x:v>TC_PUBLIC_054</x:v>
      </x:c>
      <x:c r="C191" s="3" t="str">
        <x:v>PUBLIC</x:v>
      </x:c>
      <x:c r="D191" s="3" t="str">
        <x:v>URL lỗi</x:v>
      </x:c>
      <x:c r="E191" s="3" t="str">
        <x:v>URL lỗi</x:v>
      </x:c>
      <x:c r="F191" s="3" t="str">
        <x:v>Negative — Slug không tồn tại admissions</x:v>
      </x:c>
      <x:c r="G191" s="3" t="str">
        <x:v>Slug không tồn tại admissions</x:v>
      </x:c>
      <x:c r="H191" s="3" t="str">
        <x:v>PUB-001</x:v>
      </x:c>
      <x:c r="I191" s="3" t="str">
        <x:v>Khách truy cập</x:v>
      </x:c>
      <x:c r="J191" s="3" t="str">
        <x:v>Negative</x:v>
      </x:c>
      <x:c r="K191" s="3" t="str">
        <x:v>Medium</x:v>
      </x:c>
      <x:c r="L191" s="3" t="str">
        <x:v>Medium</x:v>
      </x:c>
      <x:c r="M191" s="3" t="str">
        <x:v>Môi trường QA cô lập, DB/MinIO sẵn sàng; dữ liệu fixture đã tạo. Không đăng nhập.</x:v>
      </x:c>
      <x:c r="N191" s="3" t="str">
        <x:v>Dữ liệu QA tổng hợp; xem fixture trong README.</x:v>
      </x:c>
      <x:c r="O191" s="3" t="str">
        <x:v>1. Mở /vi/admissions/qa-slug-not-exist-9988</x:v>
      </x:c>
      <x:c r="P191" s="3" t="str">
        <x:v>Redirect /vi/admissions#qa-slug-not-exist-9988 theo code; trang nhóm mở được, hash không khớp không gây lỗi runtime.</x:v>
      </x:c>
      <x:c r="Q191" s="11" t="str"/>
      <x:c r="R191" s="8" t="str">
        <x:v>NOT RUN</x:v>
      </x:c>
      <x:c r="S191" s="11" t="str">
        <x:v>QA/UAT — cần điền URL/build</x:v>
      </x:c>
      <x:c r="T191" s="11" t="str">
        <x:v>Cần điền phiên bản thực</x:v>
      </x:c>
      <x:c r="U191" s="11" t="str"/>
      <x:c r="V191" s="12" t="str"/>
      <x:c r="W191" s="11" t="str"/>
      <x:c r="X191" s="11" t="str"/>
      <x:c r="Y191" s="3" t="str">
        <x:v>Nguồn: frontend/src/app/(public)/admissions/[slug]/page.tsx. </x:v>
      </x:c>
    </x:row>
    <x:row r="192" ht="36" customHeight="1">
      <x:c r="A192" s="3" t="n">
        <x:v>191</x:v>
      </x:c>
      <x:c r="B192" s="3" t="str">
        <x:v>TC_PUBLIC_055</x:v>
      </x:c>
      <x:c r="C192" s="3" t="str">
        <x:v>PUBLIC</x:v>
      </x:c>
      <x:c r="D192" s="3" t="str">
        <x:v>URL lỗi</x:v>
      </x:c>
      <x:c r="E192" s="3" t="str">
        <x:v>URL lỗi</x:v>
      </x:c>
      <x:c r="F192" s="3" t="str">
        <x:v>Negative — Slug không tồn tại research</x:v>
      </x:c>
      <x:c r="G192" s="3" t="str">
        <x:v>Slug không tồn tại research</x:v>
      </x:c>
      <x:c r="H192" s="3" t="str">
        <x:v>PUB-001</x:v>
      </x:c>
      <x:c r="I192" s="3" t="str">
        <x:v>Khách truy cập</x:v>
      </x:c>
      <x:c r="J192" s="3" t="str">
        <x:v>Negative</x:v>
      </x:c>
      <x:c r="K192" s="3" t="str">
        <x:v>Medium</x:v>
      </x:c>
      <x:c r="L192" s="3" t="str">
        <x:v>Medium</x:v>
      </x:c>
      <x:c r="M192" s="3" t="str">
        <x:v>Môi trường QA cô lập, DB/MinIO sẵn sàng; dữ liệu fixture đã tạo. Không đăng nhập.</x:v>
      </x:c>
      <x:c r="N192" s="3" t="str">
        <x:v>Dữ liệu QA tổng hợp; xem fixture trong README.</x:v>
      </x:c>
      <x:c r="O192" s="3" t="str">
        <x:v>1. Mở /vi/research/qa-slug-not-exist-9988</x:v>
      </x:c>
      <x:c r="P192" s="3" t="str">
        <x:v>Redirect /vi/research#qa-slug-not-exist-9988 theo code; trang nhóm mở được, hash không khớp không gây lỗi runtime.</x:v>
      </x:c>
      <x:c r="Q192" s="11" t="str"/>
      <x:c r="R192" s="8" t="str">
        <x:v>NOT RUN</x:v>
      </x:c>
      <x:c r="S192" s="11" t="str">
        <x:v>QA/UAT — cần điền URL/build</x:v>
      </x:c>
      <x:c r="T192" s="11" t="str">
        <x:v>Cần điền phiên bản thực</x:v>
      </x:c>
      <x:c r="U192" s="11" t="str"/>
      <x:c r="V192" s="12" t="str"/>
      <x:c r="W192" s="11" t="str"/>
      <x:c r="X192" s="11" t="str"/>
      <x:c r="Y192" s="3" t="str">
        <x:v>Nguồn: frontend/src/app/(public)/research/[slug]/page.tsx. </x:v>
      </x:c>
    </x:row>
    <x:row r="193" ht="36" customHeight="1">
      <x:c r="A193" s="3" t="n">
        <x:v>192</x:v>
      </x:c>
      <x:c r="B193" s="3" t="str">
        <x:v>TC_PUBLIC_056</x:v>
      </x:c>
      <x:c r="C193" s="3" t="str">
        <x:v>PUBLIC</x:v>
      </x:c>
      <x:c r="D193" s="3" t="str">
        <x:v>URL lỗi</x:v>
      </x:c>
      <x:c r="E193" s="3" t="str">
        <x:v>URL lỗi</x:v>
      </x:c>
      <x:c r="F193" s="3" t="str">
        <x:v>Negative — Slug không tồn tại news</x:v>
      </x:c>
      <x:c r="G193" s="3" t="str">
        <x:v>Slug không tồn tại news</x:v>
      </x:c>
      <x:c r="H193" s="3" t="str">
        <x:v>PUB-001</x:v>
      </x:c>
      <x:c r="I193" s="3" t="str">
        <x:v>Khách truy cập</x:v>
      </x:c>
      <x:c r="J193" s="3" t="str">
        <x:v>Negative</x:v>
      </x:c>
      <x:c r="K193" s="3" t="str">
        <x:v>Medium</x:v>
      </x:c>
      <x:c r="L193" s="3" t="str">
        <x:v>Medium</x:v>
      </x:c>
      <x:c r="M193" s="3" t="str">
        <x:v>Môi trường QA cô lập, DB/MinIO sẵn sàng; dữ liệu fixture đã tạo. Không đăng nhập.</x:v>
      </x:c>
      <x:c r="N193" s="3" t="str">
        <x:v>Dữ liệu QA tổng hợp; xem fixture trong README.</x:v>
      </x:c>
      <x:c r="O193" s="3" t="str">
        <x:v>1. Mở /vi/news/qa-slug-not-exist-9988</x:v>
      </x:c>
      <x:c r="P193" s="3" t="str">
        <x:v>HTTP404, không hiển thị bài/trang khác.</x:v>
      </x:c>
      <x:c r="Q193" s="11" t="str"/>
      <x:c r="R193" s="8" t="str">
        <x:v>NOT RUN</x:v>
      </x:c>
      <x:c r="S193" s="11" t="str">
        <x:v>QA/UAT — cần điền URL/build</x:v>
      </x:c>
      <x:c r="T193" s="11" t="str">
        <x:v>Cần điền phiên bản thực</x:v>
      </x:c>
      <x:c r="U193" s="11" t="str"/>
      <x:c r="V193" s="12" t="str"/>
      <x:c r="W193" s="11" t="str"/>
      <x:c r="X193" s="11" t="str"/>
      <x:c r="Y193" s="3" t="str">
        <x:v>Nguồn: frontend/src/app/(public)/news/[slug]/page.tsx. </x:v>
      </x:c>
    </x:row>
    <x:row r="194" ht="36" customHeight="1">
      <x:c r="A194" s="3" t="n">
        <x:v>193</x:v>
      </x:c>
      <x:c r="B194" s="3" t="str">
        <x:v>TC_PUBLIC_057</x:v>
      </x:c>
      <x:c r="C194" s="3" t="str">
        <x:v>PUBLIC</x:v>
      </x:c>
      <x:c r="D194" s="3" t="str">
        <x:v>Điều hướng và tương tác</x:v>
      </x:c>
      <x:c r="E194" s="3" t="str">
        <x:v>Điều hướng và tương tác</x:v>
      </x:c>
      <x:c r="F194" s="3" t="str">
        <x:v>Positive — Menu desktop</x:v>
      </x:c>
      <x:c r="G194" s="3" t="str">
        <x:v>Menu desktop</x:v>
      </x:c>
      <x:c r="H194" s="3" t="str">
        <x:v>PUB-001</x:v>
      </x:c>
      <x:c r="I194" s="3" t="str">
        <x:v>Khách truy cập</x:v>
      </x:c>
      <x:c r="J194" s="3" t="str">
        <x:v>Positive</x:v>
      </x:c>
      <x:c r="K194" s="3" t="str">
        <x:v>Medium</x:v>
      </x:c>
      <x:c r="L194" s="3" t="str">
        <x:v>Medium</x:v>
      </x:c>
      <x:c r="M194" s="3" t="str">
        <x:v>Môi trường QA cô lập, DB/MinIO sẵn sàng; dữ liệu fixture đã tạo. Không đăng nhập.</x:v>
      </x:c>
      <x:c r="N194" s="3" t="str">
        <x:v>Dữ liệu QA tổng hợp; xem fixture trong README.</x:v>
      </x:c>
      <x:c r="O194" s="3" t="str">
        <x:v>1. Ở 1440px mở menu từng nhóm
2. Click một mục con</x:v>
      </x:c>
      <x:c r="P194" s="3" t="str">
        <x:v>Menu mở đúng nhóm; link giữ locale và đóng menu sau chọn.</x:v>
      </x:c>
      <x:c r="Q194" s="11" t="str"/>
      <x:c r="R194" s="8" t="str">
        <x:v>NOT RUN</x:v>
      </x:c>
      <x:c r="S194" s="11" t="str">
        <x:v>QA/UAT — cần điền URL/build</x:v>
      </x:c>
      <x:c r="T194" s="11" t="str">
        <x:v>Cần điền phiên bản thực</x:v>
      </x:c>
      <x:c r="U194" s="11" t="str"/>
      <x:c r="V194" s="12" t="str"/>
      <x:c r="W194" s="11" t="str"/>
      <x:c r="X194" s="11" t="str"/>
      <x:c r="Y194" s="3" t="str">
        <x:v>Nguồn: frontend/src/shared/components/layout; frontend/src/features/home/components. </x:v>
      </x:c>
    </x:row>
    <x:row r="195" ht="49" customHeight="1">
      <x:c r="A195" s="3" t="n">
        <x:v>194</x:v>
      </x:c>
      <x:c r="B195" s="3" t="str">
        <x:v>TC_PUBLIC_058</x:v>
      </x:c>
      <x:c r="C195" s="3" t="str">
        <x:v>PUBLIC</x:v>
      </x:c>
      <x:c r="D195" s="3" t="str">
        <x:v>Điều hướng và tương tác</x:v>
      </x:c>
      <x:c r="E195" s="3" t="str">
        <x:v>Điều hướng và tương tác</x:v>
      </x:c>
      <x:c r="F195" s="3" t="str">
        <x:v>Positive — Menu mobile</x:v>
      </x:c>
      <x:c r="G195" s="3" t="str">
        <x:v>Menu mobile</x:v>
      </x:c>
      <x:c r="H195" s="3" t="str">
        <x:v>PUB-001</x:v>
      </x:c>
      <x:c r="I195" s="3" t="str">
        <x:v>Khách truy cập</x:v>
      </x:c>
      <x:c r="J195" s="3" t="str">
        <x:v>Positive</x:v>
      </x:c>
      <x:c r="K195" s="3" t="str">
        <x:v>Medium</x:v>
      </x:c>
      <x:c r="L195" s="3" t="str">
        <x:v>Medium</x:v>
      </x:c>
      <x:c r="M195" s="3" t="str">
        <x:v>Môi trường QA cô lập, DB/MinIO sẵn sàng; dữ liệu fixture đã tạo. Không đăng nhập.</x:v>
      </x:c>
      <x:c r="N195" s="3" t="str">
        <x:v>Dữ liệu QA tổng hợp; xem fixture trong README.</x:v>
      </x:c>
      <x:c r="O195" s="3" t="str">
        <x:v>1. Ở 390px mở hamburger
2. Mở nhóm nghiên cứu
3. Chọn mục con</x:v>
      </x:c>
      <x:c r="P195" s="3" t="str">
        <x:v>Menu không che vùng bấm; điều hướng tới route/hash đúng; đóng sau chọn.</x:v>
      </x:c>
      <x:c r="Q195" s="11" t="str"/>
      <x:c r="R195" s="8" t="str">
        <x:v>NOT RUN</x:v>
      </x:c>
      <x:c r="S195" s="11" t="str">
        <x:v>QA/UAT — cần điền URL/build</x:v>
      </x:c>
      <x:c r="T195" s="11" t="str">
        <x:v>Cần điền phiên bản thực</x:v>
      </x:c>
      <x:c r="U195" s="11" t="str"/>
      <x:c r="V195" s="12" t="str"/>
      <x:c r="W195" s="11" t="str"/>
      <x:c r="X195" s="11" t="str"/>
      <x:c r="Y195" s="3" t="str">
        <x:v>Nguồn: frontend/src/shared/components/layout; frontend/src/features/home/components. </x:v>
      </x:c>
    </x:row>
    <x:row r="196" ht="36" customHeight="1">
      <x:c r="A196" s="3" t="n">
        <x:v>195</x:v>
      </x:c>
      <x:c r="B196" s="3" t="str">
        <x:v>TC_PUBLIC_059</x:v>
      </x:c>
      <x:c r="C196" s="3" t="str">
        <x:v>PUBLIC</x:v>
      </x:c>
      <x:c r="D196" s="3" t="str">
        <x:v>Điều hướng và tương tác</x:v>
      </x:c>
      <x:c r="E196" s="3" t="str">
        <x:v>Điều hướng và tương tác</x:v>
      </x:c>
      <x:c r="F196" s="3" t="str">
        <x:v>Positive — Logo về trang chủ</x:v>
      </x:c>
      <x:c r="G196" s="3" t="str">
        <x:v>Logo về trang chủ</x:v>
      </x:c>
      <x:c r="H196" s="3" t="str">
        <x:v>PUB-001</x:v>
      </x:c>
      <x:c r="I196" s="3" t="str">
        <x:v>Khách truy cập</x:v>
      </x:c>
      <x:c r="J196" s="3" t="str">
        <x:v>Positive</x:v>
      </x:c>
      <x:c r="K196" s="3" t="str">
        <x:v>Medium</x:v>
      </x:c>
      <x:c r="L196" s="3" t="str">
        <x:v>Medium</x:v>
      </x:c>
      <x:c r="M196" s="3" t="str">
        <x:v>Môi trường QA cô lập, DB/MinIO sẵn sàng; dữ liệu fixture đã tạo. Không đăng nhập.</x:v>
      </x:c>
      <x:c r="N196" s="3" t="str">
        <x:v>Dữ liệu QA tổng hợp; xem fixture trong README.</x:v>
      </x:c>
      <x:c r="O196" s="3" t="str">
        <x:v>1. Mở /en/admissions
2. Nhấn logo</x:v>
      </x:c>
      <x:c r="P196" s="3" t="str">
        <x:v>Về /en; locale không mất.</x:v>
      </x:c>
      <x:c r="Q196" s="11" t="str"/>
      <x:c r="R196" s="8" t="str">
        <x:v>NOT RUN</x:v>
      </x:c>
      <x:c r="S196" s="11" t="str">
        <x:v>QA/UAT — cần điền URL/build</x:v>
      </x:c>
      <x:c r="T196" s="11" t="str">
        <x:v>Cần điền phiên bản thực</x:v>
      </x:c>
      <x:c r="U196" s="11" t="str"/>
      <x:c r="V196" s="12" t="str"/>
      <x:c r="W196" s="11" t="str"/>
      <x:c r="X196" s="11" t="str"/>
      <x:c r="Y196" s="3" t="str">
        <x:v>Nguồn: frontend/src/shared/components/layout; frontend/src/features/home/components. </x:v>
      </x:c>
    </x:row>
    <x:row r="197" ht="36" customHeight="1">
      <x:c r="A197" s="3" t="n">
        <x:v>196</x:v>
      </x:c>
      <x:c r="B197" s="3" t="str">
        <x:v>TC_PUBLIC_060</x:v>
      </x:c>
      <x:c r="C197" s="3" t="str">
        <x:v>PUBLIC</x:v>
      </x:c>
      <x:c r="D197" s="3" t="str">
        <x:v>Điều hướng và tương tác</x:v>
      </x:c>
      <x:c r="E197" s="3" t="str">
        <x:v>Điều hướng và tương tác</x:v>
      </x:c>
      <x:c r="F197" s="3" t="str">
        <x:v>Positive — Footer liên hệ</x:v>
      </x:c>
      <x:c r="G197" s="3" t="str">
        <x:v>Footer liên hệ</x:v>
      </x:c>
      <x:c r="H197" s="3" t="str">
        <x:v>PUB-001</x:v>
      </x:c>
      <x:c r="I197" s="3" t="str">
        <x:v>Khách truy cập</x:v>
      </x:c>
      <x:c r="J197" s="3" t="str">
        <x:v>Positive</x:v>
      </x:c>
      <x:c r="K197" s="3" t="str">
        <x:v>Medium</x:v>
      </x:c>
      <x:c r="L197" s="3" t="str">
        <x:v>Medium</x:v>
      </x:c>
      <x:c r="M197" s="3" t="str">
        <x:v>Môi trường QA cô lập, DB/MinIO sẵn sàng; dữ liệu fixture đã tạo. Không đăng nhập.</x:v>
      </x:c>
      <x:c r="N197" s="3" t="str">
        <x:v>Dữ liệu QA tổng hợp; xem fixture trong README.</x:v>
      </x:c>
      <x:c r="O197" s="3" t="str">
        <x:v>1. Mở footer
2. Nhấn email, điện thoại, bản đồ</x:v>
      </x:c>
      <x:c r="P197" s="3" t="str">
        <x:v>mailto/tel/map URL khớp dữ liệu FooterContact/FooterLocation; không gắn locale vào URL bên ngoài.</x:v>
      </x:c>
      <x:c r="Q197" s="11" t="str"/>
      <x:c r="R197" s="8" t="str">
        <x:v>NOT RUN</x:v>
      </x:c>
      <x:c r="S197" s="11" t="str">
        <x:v>QA/UAT — cần điền URL/build</x:v>
      </x:c>
      <x:c r="T197" s="11" t="str">
        <x:v>Cần điền phiên bản thực</x:v>
      </x:c>
      <x:c r="U197" s="11" t="str"/>
      <x:c r="V197" s="12" t="str"/>
      <x:c r="W197" s="11" t="str"/>
      <x:c r="X197" s="11" t="str"/>
      <x:c r="Y197" s="3" t="str">
        <x:v>Nguồn: frontend/src/shared/components/layout; frontend/src/features/home/components. </x:v>
      </x:c>
    </x:row>
    <x:row r="198" ht="36" customHeight="1">
      <x:c r="A198" s="3" t="n">
        <x:v>197</x:v>
      </x:c>
      <x:c r="B198" s="3" t="str">
        <x:v>TC_PUBLIC_061</x:v>
      </x:c>
      <x:c r="C198" s="3" t="str">
        <x:v>PUBLIC</x:v>
      </x:c>
      <x:c r="D198" s="3" t="str">
        <x:v>Điều hướng và tương tác</x:v>
      </x:c>
      <x:c r="E198" s="3" t="str">
        <x:v>Điều hướng và tương tác</x:v>
      </x:c>
      <x:c r="F198" s="3" t="str">
        <x:v>Positive — Accordion nội dung</x:v>
      </x:c>
      <x:c r="G198" s="3" t="str">
        <x:v>Accordion nội dung</x:v>
      </x:c>
      <x:c r="H198" s="3" t="str">
        <x:v>PUB-001</x:v>
      </x:c>
      <x:c r="I198" s="3" t="str">
        <x:v>Khách truy cập</x:v>
      </x:c>
      <x:c r="J198" s="3" t="str">
        <x:v>Positive</x:v>
      </x:c>
      <x:c r="K198" s="3" t="str">
        <x:v>Medium</x:v>
      </x:c>
      <x:c r="L198" s="3" t="str">
        <x:v>Medium</x:v>
      </x:c>
      <x:c r="M198" s="3" t="str">
        <x:v>Môi trường QA cô lập, DB/MinIO sẵn sàng; dữ liệu fixture đã tạo. Không đăng nhập.</x:v>
      </x:c>
      <x:c r="N198" s="3" t="str">
        <x:v>Dữ liệu QA tổng hợp; xem fixture trong README.</x:v>
      </x:c>
      <x:c r="O198" s="3" t="str">
        <x:v>1. Mở tuyển sinh
2. Mở rồi đóng một accordion</x:v>
      </x:c>
      <x:c r="P198" s="3" t="str">
        <x:v>Nội dung tương ứng xuất hiện/ẩn; aria-expanded phản ánh trạng thái.</x:v>
      </x:c>
      <x:c r="Q198" s="11" t="str"/>
      <x:c r="R198" s="8" t="str">
        <x:v>NOT RUN</x:v>
      </x:c>
      <x:c r="S198" s="11" t="str">
        <x:v>QA/UAT — cần điền URL/build</x:v>
      </x:c>
      <x:c r="T198" s="11" t="str">
        <x:v>Cần điền phiên bản thực</x:v>
      </x:c>
      <x:c r="U198" s="11" t="str"/>
      <x:c r="V198" s="12" t="str"/>
      <x:c r="W198" s="11" t="str"/>
      <x:c r="X198" s="11" t="str"/>
      <x:c r="Y198" s="3" t="str">
        <x:v>Nguồn: frontend/src/shared/components/layout; frontend/src/features/home/components. </x:v>
      </x:c>
    </x:row>
    <x:row r="199" ht="36" customHeight="1">
      <x:c r="A199" s="3" t="n">
        <x:v>198</x:v>
      </x:c>
      <x:c r="B199" s="3" t="str">
        <x:v>TC_PUBLIC_062</x:v>
      </x:c>
      <x:c r="C199" s="3" t="str">
        <x:v>PUBLIC</x:v>
      </x:c>
      <x:c r="D199" s="3" t="str">
        <x:v>Điều hướng và tương tác</x:v>
      </x:c>
      <x:c r="E199" s="3" t="str">
        <x:v>Điều hướng và tương tác</x:v>
      </x:c>
      <x:c r="F199" s="3" t="str">
        <x:v>Positive — Carousel đối tác</x:v>
      </x:c>
      <x:c r="G199" s="3" t="str">
        <x:v>Carousel đối tác</x:v>
      </x:c>
      <x:c r="H199" s="3" t="str">
        <x:v>PUB-001</x:v>
      </x:c>
      <x:c r="I199" s="3" t="str">
        <x:v>Khách truy cập</x:v>
      </x:c>
      <x:c r="J199" s="3" t="str">
        <x:v>Positive</x:v>
      </x:c>
      <x:c r="K199" s="3" t="str">
        <x:v>Medium</x:v>
      </x:c>
      <x:c r="L199" s="3" t="str">
        <x:v>Medium</x:v>
      </x:c>
      <x:c r="M199" s="3" t="str">
        <x:v>Môi trường QA cô lập, DB/MinIO sẵn sàng; dữ liệu fixture đã tạo. Không đăng nhập.</x:v>
      </x:c>
      <x:c r="N199" s="3" t="str">
        <x:v>Dữ liệu QA tổng hợp; xem fixture trong README.</x:v>
      </x:c>
      <x:c r="O199" s="3" t="str">
        <x:v>1. Mở research
2. Nhấn next/previous carousel</x:v>
      </x:c>
      <x:c r="P199" s="3" t="str">
        <x:v>Thứ tự đối tác khớp mảng source; ảnh và tên cùng đối tác; vòng lặp không có ô trống.</x:v>
      </x:c>
      <x:c r="Q199" s="11" t="str"/>
      <x:c r="R199" s="8" t="str">
        <x:v>NOT RUN</x:v>
      </x:c>
      <x:c r="S199" s="11" t="str">
        <x:v>QA/UAT — cần điền URL/build</x:v>
      </x:c>
      <x:c r="T199" s="11" t="str">
        <x:v>Cần điền phiên bản thực</x:v>
      </x:c>
      <x:c r="U199" s="11" t="str"/>
      <x:c r="V199" s="12" t="str"/>
      <x:c r="W199" s="11" t="str"/>
      <x:c r="X199" s="11" t="str"/>
      <x:c r="Y199" s="3" t="str">
        <x:v>Nguồn: frontend/src/shared/components/layout; frontend/src/features/home/components. </x:v>
      </x:c>
    </x:row>
    <x:row r="200" ht="49" customHeight="1">
      <x:c r="A200" s="3" t="n">
        <x:v>199</x:v>
      </x:c>
      <x:c r="B200" s="3" t="str">
        <x:v>TC_PUBLIC_063</x:v>
      </x:c>
      <x:c r="C200" s="3" t="str">
        <x:v>PUBLIC</x:v>
      </x:c>
      <x:c r="D200" s="3" t="str">
        <x:v>Điều hướng và tương tác</x:v>
      </x:c>
      <x:c r="E200" s="3" t="str">
        <x:v>Điều hướng và tương tác</x:v>
      </x:c>
      <x:c r="F200" s="3" t="str">
        <x:v>Positive — Video hero</x:v>
      </x:c>
      <x:c r="G200" s="3" t="str">
        <x:v>Video hero</x:v>
      </x:c>
      <x:c r="H200" s="3" t="str">
        <x:v>PUB-001</x:v>
      </x:c>
      <x:c r="I200" s="3" t="str">
        <x:v>Khách truy cập</x:v>
      </x:c>
      <x:c r="J200" s="3" t="str">
        <x:v>Positive</x:v>
      </x:c>
      <x:c r="K200" s="3" t="str">
        <x:v>Medium</x:v>
      </x:c>
      <x:c r="L200" s="3" t="str">
        <x:v>Medium</x:v>
      </x:c>
      <x:c r="M200" s="3" t="str">
        <x:v>Môi trường QA cô lập, DB/MinIO sẵn sàng; dữ liệu fixture đã tạo. Không đăng nhập.</x:v>
      </x:c>
      <x:c r="N200" s="3" t="str">
        <x:v>Dữ liệu QA tổng hợp; xem fixture trong README.</x:v>
      </x:c>
      <x:c r="O200" s="3" t="str">
        <x:v>1. Mở trang chủ
2. Cuộn đến video
3. Dùng điều khiển có sẵn</x:v>
      </x:c>
      <x:c r="P200" s="3" t="str">
        <x:v>Video hiển thị đúng tỷ lệ, điều khiển phản hồi; không che nội dung/CTA.</x:v>
      </x:c>
      <x:c r="Q200" s="11" t="str"/>
      <x:c r="R200" s="8" t="str">
        <x:v>NOT RUN</x:v>
      </x:c>
      <x:c r="S200" s="11" t="str">
        <x:v>QA/UAT — cần điền URL/build</x:v>
      </x:c>
      <x:c r="T200" s="11" t="str">
        <x:v>Cần điền phiên bản thực</x:v>
      </x:c>
      <x:c r="U200" s="11" t="str"/>
      <x:c r="V200" s="12" t="str"/>
      <x:c r="W200" s="11" t="str"/>
      <x:c r="X200" s="11" t="str"/>
      <x:c r="Y200" s="3" t="str">
        <x:v>Nguồn: frontend/src/shared/components/layout; frontend/src/features/home/components. </x:v>
      </x:c>
    </x:row>
    <x:row r="201" ht="49" customHeight="1">
      <x:c r="A201" s="3" t="n">
        <x:v>200</x:v>
      </x:c>
      <x:c r="B201" s="3" t="str">
        <x:v>TC_PROGRAMME_001</x:v>
      </x:c>
      <x:c r="C201" s="3" t="str">
        <x:v>PROGRAMME</x:v>
      </x:c>
      <x:c r="D201" s="3" t="str">
        <x:v>Tra cứu</x:v>
      </x:c>
      <x:c r="E201" s="3" t="str">
        <x:v>Tra cứu</x:v>
      </x:c>
      <x:c r="F201" s="3" t="str">
        <x:v>Positive — Tìm/lọc theo từ khóa</x:v>
      </x:c>
      <x:c r="G201" s="3" t="str">
        <x:v>Tìm/lọc theo từ khóa</x:v>
      </x:c>
      <x:c r="H201" s="3" t="str">
        <x:v>PUB-002</x:v>
      </x:c>
      <x:c r="I201" s="3" t="str">
        <x:v>Khách truy cập</x:v>
      </x:c>
      <x:c r="J201" s="3" t="str">
        <x:v>Positive</x:v>
      </x:c>
      <x:c r="K201" s="3" t="str">
        <x:v>Medium</x:v>
      </x:c>
      <x:c r="L201" s="3" t="str">
        <x:v>Medium</x:v>
      </x:c>
      <x:c r="M201" s="3" t="str">
        <x:v>Môi trường QA cô lập, DB/MinIO sẵn sàng; dữ liệu fixture đã tạo. Không đăng nhập.</x:v>
      </x:c>
      <x:c r="N201" s="3" t="str">
        <x:v>Chọn fixture từ data/programmes.ts hoặc data/research.ts; ghi giá trị cụ thể vào Evidence trước chạy.</x:v>
      </x:c>
      <x:c r="O201" s="3" t="str">
        <x:v>1. Mở /vi/programmes
2. Chọn một giá trị từ khóa có trong dữ liệu nguồn
3. Thực hiện tìm/lọc</x:v>
      </x:c>
      <x:c r="P201" s="3" t="str">
        <x:v>Chỉ mục khớp điều kiện hiển thị; số kết quả bằng các mục đối chiếu trong nguồn; URL query được cập nhật nếu component dùng router.</x:v>
      </x:c>
      <x:c r="Q201" s="11" t="str"/>
      <x:c r="R201" s="8" t="str">
        <x:v>NOT RUN</x:v>
      </x:c>
      <x:c r="S201" s="11" t="str">
        <x:v>QA/UAT — cần điền URL/build</x:v>
      </x:c>
      <x:c r="T201" s="11" t="str">
        <x:v>Cần điền phiên bản thực</x:v>
      </x:c>
      <x:c r="U201" s="11" t="str"/>
      <x:c r="V201" s="12" t="str"/>
      <x:c r="W201" s="11" t="str"/>
      <x:c r="X201" s="11" t="str"/>
      <x:c r="Y201" s="3" t="str">
        <x:v>Nguồn: frontend/src/features/programmes/components/ProgrammeSearch.tsx. </x:v>
      </x:c>
    </x:row>
    <x:row r="202" ht="49" customHeight="1">
      <x:c r="A202" s="3" t="n">
        <x:v>201</x:v>
      </x:c>
      <x:c r="B202" s="3" t="str">
        <x:v>TC_PROGRAMME_002</x:v>
      </x:c>
      <x:c r="C202" s="3" t="str">
        <x:v>PROGRAMME</x:v>
      </x:c>
      <x:c r="D202" s="3" t="str">
        <x:v>Tra cứu</x:v>
      </x:c>
      <x:c r="E202" s="3" t="str">
        <x:v>Tra cứu</x:v>
      </x:c>
      <x:c r="F202" s="3" t="str">
        <x:v>Positive — Tìm/lọc theo bậc học</x:v>
      </x:c>
      <x:c r="G202" s="3" t="str">
        <x:v>Tìm/lọc theo bậc học</x:v>
      </x:c>
      <x:c r="H202" s="3" t="str">
        <x:v>PUB-002</x:v>
      </x:c>
      <x:c r="I202" s="3" t="str">
        <x:v>Khách truy cập</x:v>
      </x:c>
      <x:c r="J202" s="3" t="str">
        <x:v>Positive</x:v>
      </x:c>
      <x:c r="K202" s="3" t="str">
        <x:v>Medium</x:v>
      </x:c>
      <x:c r="L202" s="3" t="str">
        <x:v>Medium</x:v>
      </x:c>
      <x:c r="M202" s="3" t="str">
        <x:v>Môi trường QA cô lập, DB/MinIO sẵn sàng; dữ liệu fixture đã tạo. Không đăng nhập.</x:v>
      </x:c>
      <x:c r="N202" s="3" t="str">
        <x:v>Chọn fixture từ data/programmes.ts hoặc data/research.ts; ghi giá trị cụ thể vào Evidence trước chạy.</x:v>
      </x:c>
      <x:c r="O202" s="3" t="str">
        <x:v>1. Mở /vi/programmes
2. Chọn một giá trị bậc học có trong dữ liệu nguồn
3. Thực hiện tìm/lọc</x:v>
      </x:c>
      <x:c r="P202" s="3" t="str">
        <x:v>Chỉ mục khớp điều kiện hiển thị; số kết quả bằng các mục đối chiếu trong nguồn; URL query được cập nhật nếu component dùng router.</x:v>
      </x:c>
      <x:c r="Q202" s="11" t="str"/>
      <x:c r="R202" s="8" t="str">
        <x:v>NOT RUN</x:v>
      </x:c>
      <x:c r="S202" s="11" t="str">
        <x:v>QA/UAT — cần điền URL/build</x:v>
      </x:c>
      <x:c r="T202" s="11" t="str">
        <x:v>Cần điền phiên bản thực</x:v>
      </x:c>
      <x:c r="U202" s="11" t="str"/>
      <x:c r="V202" s="12" t="str"/>
      <x:c r="W202" s="11" t="str"/>
      <x:c r="X202" s="11" t="str"/>
      <x:c r="Y202" s="3" t="str">
        <x:v>Nguồn: frontend/src/features/programmes/components/ProgrammeSearch.tsx. </x:v>
      </x:c>
    </x:row>
    <x:row r="203" ht="49" customHeight="1">
      <x:c r="A203" s="3" t="n">
        <x:v>202</x:v>
      </x:c>
      <x:c r="B203" s="3" t="str">
        <x:v>TC_PROGRAMME_003</x:v>
      </x:c>
      <x:c r="C203" s="3" t="str">
        <x:v>PROGRAMME</x:v>
      </x:c>
      <x:c r="D203" s="3" t="str">
        <x:v>Tra cứu</x:v>
      </x:c>
      <x:c r="E203" s="3" t="str">
        <x:v>Tra cứu</x:v>
      </x:c>
      <x:c r="F203" s="3" t="str">
        <x:v>Positive — Tìm/lọc theo lĩnh vực</x:v>
      </x:c>
      <x:c r="G203" s="3" t="str">
        <x:v>Tìm/lọc theo lĩnh vực</x:v>
      </x:c>
      <x:c r="H203" s="3" t="str">
        <x:v>PUB-002</x:v>
      </x:c>
      <x:c r="I203" s="3" t="str">
        <x:v>Khách truy cập</x:v>
      </x:c>
      <x:c r="J203" s="3" t="str">
        <x:v>Positive</x:v>
      </x:c>
      <x:c r="K203" s="3" t="str">
        <x:v>Medium</x:v>
      </x:c>
      <x:c r="L203" s="3" t="str">
        <x:v>Medium</x:v>
      </x:c>
      <x:c r="M203" s="3" t="str">
        <x:v>Môi trường QA cô lập, DB/MinIO sẵn sàng; dữ liệu fixture đã tạo. Không đăng nhập.</x:v>
      </x:c>
      <x:c r="N203" s="3" t="str">
        <x:v>Chọn fixture từ data/programmes.ts hoặc data/research.ts; ghi giá trị cụ thể vào Evidence trước chạy.</x:v>
      </x:c>
      <x:c r="O203" s="3" t="str">
        <x:v>1. Mở /vi/programmes
2. Chọn một giá trị lĩnh vực có trong dữ liệu nguồn
3. Thực hiện tìm/lọc</x:v>
      </x:c>
      <x:c r="P203" s="3" t="str">
        <x:v>Chỉ mục khớp điều kiện hiển thị; số kết quả bằng các mục đối chiếu trong nguồn; URL query được cập nhật nếu component dùng router.</x:v>
      </x:c>
      <x:c r="Q203" s="11" t="str"/>
      <x:c r="R203" s="8" t="str">
        <x:v>NOT RUN</x:v>
      </x:c>
      <x:c r="S203" s="11" t="str">
        <x:v>QA/UAT — cần điền URL/build</x:v>
      </x:c>
      <x:c r="T203" s="11" t="str">
        <x:v>Cần điền phiên bản thực</x:v>
      </x:c>
      <x:c r="U203" s="11" t="str"/>
      <x:c r="V203" s="12" t="str"/>
      <x:c r="W203" s="11" t="str"/>
      <x:c r="X203" s="11" t="str"/>
      <x:c r="Y203" s="3" t="str">
        <x:v>Nguồn: frontend/src/features/programmes/components/ProgrammeSearch.tsx. </x:v>
      </x:c>
    </x:row>
    <x:row r="204" ht="36" customHeight="1">
      <x:c r="A204" s="3" t="n">
        <x:v>203</x:v>
      </x:c>
      <x:c r="B204" s="3" t="str">
        <x:v>TC_PROGRAMME_004</x:v>
      </x:c>
      <x:c r="C204" s="3" t="str">
        <x:v>PROGRAMME</x:v>
      </x:c>
      <x:c r="D204" s="3" t="str">
        <x:v>Tra cứu</x:v>
      </x:c>
      <x:c r="E204" s="3" t="str">
        <x:v>Tra cứu</x:v>
      </x:c>
      <x:c r="F204" s="3" t="str">
        <x:v>Negative — Không kết quả</x:v>
      </x:c>
      <x:c r="G204" s="3" t="str">
        <x:v>Không kết quả</x:v>
      </x:c>
      <x:c r="H204" s="3" t="str">
        <x:v>PUB-002</x:v>
      </x:c>
      <x:c r="I204" s="3" t="str">
        <x:v>Khách truy cập</x:v>
      </x:c>
      <x:c r="J204" s="3" t="str">
        <x:v>Negative</x:v>
      </x:c>
      <x:c r="K204" s="3" t="str">
        <x:v>Medium</x:v>
      </x:c>
      <x:c r="L204" s="3" t="str">
        <x:v>Medium</x:v>
      </x:c>
      <x:c r="M204" s="3" t="str">
        <x:v>Môi trường QA cô lập, DB/MinIO sẵn sàng; dữ liệu fixture đã tạo. Không đăng nhập.</x:v>
      </x:c>
      <x:c r="N204" s="3" t="str">
        <x:v>Dữ liệu QA tổng hợp; xem fixture trong README.</x:v>
      </x:c>
      <x:c r="O204" s="3" t="str">
        <x:v>1. Mở /vi/programmes
2. Nhập qa-no-result-9988</x:v>
      </x:c>
      <x:c r="P204" s="3" t="str">
        <x:v>Hiển thị không có kết quả; không giữ danh sách trước đó.</x:v>
      </x:c>
      <x:c r="Q204" s="11" t="str"/>
      <x:c r="R204" s="8" t="str">
        <x:v>NOT RUN</x:v>
      </x:c>
      <x:c r="S204" s="11" t="str">
        <x:v>QA/UAT — cần điền URL/build</x:v>
      </x:c>
      <x:c r="T204" s="11" t="str">
        <x:v>Cần điền phiên bản thực</x:v>
      </x:c>
      <x:c r="U204" s="11" t="str"/>
      <x:c r="V204" s="12" t="str"/>
      <x:c r="W204" s="11" t="str"/>
      <x:c r="X204" s="11" t="str"/>
      <x:c r="Y204" s="3" t="str">
        <x:v>Nguồn: frontend/src/features/programmes/components/ProgrammeSearch.tsx. </x:v>
      </x:c>
    </x:row>
    <x:row r="205" ht="49" customHeight="1">
      <x:c r="A205" s="3" t="n">
        <x:v>204</x:v>
      </x:c>
      <x:c r="B205" s="3" t="str">
        <x:v>TC_PROGRAMME_005</x:v>
      </x:c>
      <x:c r="C205" s="3" t="str">
        <x:v>PROGRAMME</x:v>
      </x:c>
      <x:c r="D205" s="3" t="str">
        <x:v>Tra cứu</x:v>
      </x:c>
      <x:c r="E205" s="3" t="str">
        <x:v>Tra cứu</x:v>
      </x:c>
      <x:c r="F205" s="3" t="str">
        <x:v>Alternative — Xóa bộ lọc</x:v>
      </x:c>
      <x:c r="G205" s="3" t="str">
        <x:v>Xóa bộ lọc</x:v>
      </x:c>
      <x:c r="H205" s="3" t="str">
        <x:v>PUB-002</x:v>
      </x:c>
      <x:c r="I205" s="3" t="str">
        <x:v>Khách truy cập</x:v>
      </x:c>
      <x:c r="J205" s="3" t="str">
        <x:v>Alternative</x:v>
      </x:c>
      <x:c r="K205" s="3" t="str">
        <x:v>Medium</x:v>
      </x:c>
      <x:c r="L205" s="3" t="str">
        <x:v>Medium</x:v>
      </x:c>
      <x:c r="M205" s="3" t="str">
        <x:v>Môi trường QA cô lập, DB/MinIO sẵn sàng; dữ liệu fixture đã tạo. Không đăng nhập.</x:v>
      </x:c>
      <x:c r="N205" s="3" t="str">
        <x:v>Dữ liệu QA tổng hợp; xem fixture trong README.</x:v>
      </x:c>
      <x:c r="O205" s="3" t="str">
        <x:v>1. Mở /vi/programmes
2. Áp dụng bộ lọc không có kết quả
3. Nhấn reset/xóa bộ lọc</x:v>
      </x:c>
      <x:c r="P205" s="3" t="str">
        <x:v>Khôi phục danh sách mặc định và số lượng đầy đủ.</x:v>
      </x:c>
      <x:c r="Q205" s="11" t="str"/>
      <x:c r="R205" s="8" t="str">
        <x:v>NOT RUN</x:v>
      </x:c>
      <x:c r="S205" s="11" t="str">
        <x:v>QA/UAT — cần điền URL/build</x:v>
      </x:c>
      <x:c r="T205" s="11" t="str">
        <x:v>Cần điền phiên bản thực</x:v>
      </x:c>
      <x:c r="U205" s="11" t="str"/>
      <x:c r="V205" s="12" t="str"/>
      <x:c r="W205" s="11" t="str"/>
      <x:c r="X205" s="11" t="str"/>
      <x:c r="Y205" s="3" t="str">
        <x:v>Nguồn: frontend/src/features/programmes/components/ProgrammeSearch.tsx. </x:v>
      </x:c>
    </x:row>
    <x:row r="206" ht="36" customHeight="1">
      <x:c r="A206" s="3" t="n">
        <x:v>205</x:v>
      </x:c>
      <x:c r="B206" s="3" t="str">
        <x:v>TC_PROGRAMME_006</x:v>
      </x:c>
      <x:c r="C206" s="3" t="str">
        <x:v>PROGRAMME</x:v>
      </x:c>
      <x:c r="D206" s="3" t="str">
        <x:v>Tra cứu</x:v>
      </x:c>
      <x:c r="E206" s="3" t="str">
        <x:v>Tra cứu</x:v>
      </x:c>
      <x:c r="F206" s="3" t="str">
        <x:v>Alternative — Unicode và khoảng trắng</x:v>
      </x:c>
      <x:c r="G206" s="3" t="str">
        <x:v>Unicode và khoảng trắng</x:v>
      </x:c>
      <x:c r="H206" s="3" t="str">
        <x:v>PUB-002</x:v>
      </x:c>
      <x:c r="I206" s="3" t="str">
        <x:v>Khách truy cập</x:v>
      </x:c>
      <x:c r="J206" s="3" t="str">
        <x:v>Alternative</x:v>
      </x:c>
      <x:c r="K206" s="3" t="str">
        <x:v>Medium</x:v>
      </x:c>
      <x:c r="L206" s="3" t="str">
        <x:v>Medium</x:v>
      </x:c>
      <x:c r="M206" s="3" t="str">
        <x:v>Môi trường QA cô lập, DB/MinIO sẵn sàng; dữ liệu fixture đã tạo. Không đăng nhập.</x:v>
      </x:c>
      <x:c r="N206" s="3" t="str">
        <x:v>Dữ liệu QA tổng hợp; xem fixture trong README.</x:v>
      </x:c>
      <x:c r="O206" s="3" t="str">
        <x:v>1. Mở /vi/programmes
2. Tìm tên tiếng Việt có dấu với khoảng trắng đầu/cuối</x:v>
      </x:c>
      <x:c r="P206" s="3" t="str">
        <x:v>Điều kiện trim theo code; tên tiếng Việt không lỗi encoding; kết quả khớp chuỗi đã chuẩn hóa.</x:v>
      </x:c>
      <x:c r="Q206" s="11" t="str"/>
      <x:c r="R206" s="8" t="str">
        <x:v>NOT RUN</x:v>
      </x:c>
      <x:c r="S206" s="11" t="str">
        <x:v>QA/UAT — cần điền URL/build</x:v>
      </x:c>
      <x:c r="T206" s="11" t="str">
        <x:v>Cần điền phiên bản thực</x:v>
      </x:c>
      <x:c r="U206" s="11" t="str"/>
      <x:c r="V206" s="12" t="str"/>
      <x:c r="W206" s="11" t="str"/>
      <x:c r="X206" s="11" t="str"/>
      <x:c r="Y206" s="3" t="str">
        <x:v>Nguồn: frontend/src/features/programmes/components/ProgrammeSearch.tsx. </x:v>
      </x:c>
    </x:row>
    <x:row r="207" ht="36" customHeight="1">
      <x:c r="A207" s="3" t="n">
        <x:v>206</x:v>
      </x:c>
      <x:c r="B207" s="3" t="str">
        <x:v>TC_PROGRAMME_007</x:v>
      </x:c>
      <x:c r="C207" s="3" t="str">
        <x:v>PROGRAMME</x:v>
      </x:c>
      <x:c r="D207" s="3" t="str">
        <x:v>Tra cứu</x:v>
      </x:c>
      <x:c r="E207" s="3" t="str">
        <x:v>Tra cứu</x:v>
      </x:c>
      <x:c r="F207" s="3" t="str">
        <x:v>Alternative — Kết hợp bộ lọc</x:v>
      </x:c>
      <x:c r="G207" s="3" t="str">
        <x:v>Kết hợp bộ lọc</x:v>
      </x:c>
      <x:c r="H207" s="3" t="str">
        <x:v>PUB-002</x:v>
      </x:c>
      <x:c r="I207" s="3" t="str">
        <x:v>Khách truy cập</x:v>
      </x:c>
      <x:c r="J207" s="3" t="str">
        <x:v>Alternative</x:v>
      </x:c>
      <x:c r="K207" s="3" t="str">
        <x:v>Medium</x:v>
      </x:c>
      <x:c r="L207" s="3" t="str">
        <x:v>Medium</x:v>
      </x:c>
      <x:c r="M207" s="3" t="str">
        <x:v>Môi trường QA cô lập, DB/MinIO sẵn sàng; dữ liệu fixture đã tạo. Không đăng nhập.</x:v>
      </x:c>
      <x:c r="N207" s="3" t="str">
        <x:v>Dữ liệu QA tổng hợp; xem fixture trong README.</x:v>
      </x:c>
      <x:c r="O207" s="3" t="str">
        <x:v>1. Mở /vi/programmes
2. Chọn hai điều kiện có giao rỗng</x:v>
      </x:c>
      <x:c r="P207" s="3" t="str">
        <x:v>Không hiển thị mục chỉ thỏa một điều kiện.</x:v>
      </x:c>
      <x:c r="Q207" s="11" t="str"/>
      <x:c r="R207" s="8" t="str">
        <x:v>NOT RUN</x:v>
      </x:c>
      <x:c r="S207" s="11" t="str">
        <x:v>QA/UAT — cần điền URL/build</x:v>
      </x:c>
      <x:c r="T207" s="11" t="str">
        <x:v>Cần điền phiên bản thực</x:v>
      </x:c>
      <x:c r="U207" s="11" t="str"/>
      <x:c r="V207" s="12" t="str"/>
      <x:c r="W207" s="11" t="str"/>
      <x:c r="X207" s="11" t="str"/>
      <x:c r="Y207" s="3" t="str">
        <x:v>Nguồn: frontend/src/features/programmes/components/ProgrammeSearch.tsx. </x:v>
      </x:c>
    </x:row>
    <x:row r="208" ht="49" customHeight="1">
      <x:c r="A208" s="3" t="n">
        <x:v>207</x:v>
      </x:c>
      <x:c r="B208" s="3" t="str">
        <x:v>TC_RESEARCH_001</x:v>
      </x:c>
      <x:c r="C208" s="3" t="str">
        <x:v>RESEARCH</x:v>
      </x:c>
      <x:c r="D208" s="3" t="str">
        <x:v>Tra cứu</x:v>
      </x:c>
      <x:c r="E208" s="3" t="str">
        <x:v>Tra cứu</x:v>
      </x:c>
      <x:c r="F208" s="3" t="str">
        <x:v>Positive — Tìm/lọc theo từ khóa</x:v>
      </x:c>
      <x:c r="G208" s="3" t="str">
        <x:v>Tìm/lọc theo từ khóa</x:v>
      </x:c>
      <x:c r="H208" s="3" t="str">
        <x:v>OBS-RESEARCH</x:v>
      </x:c>
      <x:c r="I208" s="3" t="str">
        <x:v>Khách truy cập</x:v>
      </x:c>
      <x:c r="J208" s="3" t="str">
        <x:v>Positive</x:v>
      </x:c>
      <x:c r="K208" s="3" t="str">
        <x:v>Medium</x:v>
      </x:c>
      <x:c r="L208" s="3" t="str">
        <x:v>Medium</x:v>
      </x:c>
      <x:c r="M208" s="3" t="str">
        <x:v>Môi trường QA cô lập, DB/MinIO sẵn sàng; dữ liệu fixture đã tạo. Không đăng nhập.</x:v>
      </x:c>
      <x:c r="N208" s="3" t="str">
        <x:v>Chọn fixture từ data/programmes.ts hoặc data/research.ts; ghi giá trị cụ thể vào Evidence trước chạy.</x:v>
      </x:c>
      <x:c r="O208" s="3" t="str">
        <x:v>1. Mở /vi/research/cong-bo
2. Chọn một giá trị từ khóa có trong dữ liệu nguồn
3. Thực hiện tìm/lọc</x:v>
      </x:c>
      <x:c r="P208" s="3" t="str">
        <x:v>Chỉ mục khớp điều kiện hiển thị; số kết quả bằng các mục đối chiếu trong nguồn; URL query được cập nhật nếu component dùng router.</x:v>
      </x:c>
      <x:c r="Q208" s="11" t="str"/>
      <x:c r="R208" s="8" t="str">
        <x:v>NOT RUN</x:v>
      </x:c>
      <x:c r="S208" s="11" t="str">
        <x:v>QA/UAT — cần điền URL/build</x:v>
      </x:c>
      <x:c r="T208" s="11" t="str">
        <x:v>Cần điền phiên bản thực</x:v>
      </x:c>
      <x:c r="U208" s="11" t="str"/>
      <x:c r="V208" s="12" t="str"/>
      <x:c r="W208" s="11" t="str"/>
      <x:c r="X208" s="11" t="str"/>
      <x:c r="Y208" s="3" t="str">
        <x:v>Nguồn: frontend/src/features/research/components/PublicationsSearch.tsx. </x:v>
      </x:c>
    </x:row>
    <x:row r="209" ht="49" customHeight="1">
      <x:c r="A209" s="3" t="n">
        <x:v>208</x:v>
      </x:c>
      <x:c r="B209" s="3" t="str">
        <x:v>TC_RESEARCH_002</x:v>
      </x:c>
      <x:c r="C209" s="3" t="str">
        <x:v>RESEARCH</x:v>
      </x:c>
      <x:c r="D209" s="3" t="str">
        <x:v>Tra cứu</x:v>
      </x:c>
      <x:c r="E209" s="3" t="str">
        <x:v>Tra cứu</x:v>
      </x:c>
      <x:c r="F209" s="3" t="str">
        <x:v>Positive — Tìm/lọc theo lĩnh vực</x:v>
      </x:c>
      <x:c r="G209" s="3" t="str">
        <x:v>Tìm/lọc theo lĩnh vực</x:v>
      </x:c>
      <x:c r="H209" s="3" t="str">
        <x:v>OBS-RESEARCH</x:v>
      </x:c>
      <x:c r="I209" s="3" t="str">
        <x:v>Khách truy cập</x:v>
      </x:c>
      <x:c r="J209" s="3" t="str">
        <x:v>Positive</x:v>
      </x:c>
      <x:c r="K209" s="3" t="str">
        <x:v>Medium</x:v>
      </x:c>
      <x:c r="L209" s="3" t="str">
        <x:v>Medium</x:v>
      </x:c>
      <x:c r="M209" s="3" t="str">
        <x:v>Môi trường QA cô lập, DB/MinIO sẵn sàng; dữ liệu fixture đã tạo. Không đăng nhập.</x:v>
      </x:c>
      <x:c r="N209" s="3" t="str">
        <x:v>Chọn fixture từ data/programmes.ts hoặc data/research.ts; ghi giá trị cụ thể vào Evidence trước chạy.</x:v>
      </x:c>
      <x:c r="O209" s="3" t="str">
        <x:v>1. Mở /vi/research/cong-bo
2. Chọn một giá trị lĩnh vực có trong dữ liệu nguồn
3. Thực hiện tìm/lọc</x:v>
      </x:c>
      <x:c r="P209" s="3" t="str">
        <x:v>Chỉ mục khớp điều kiện hiển thị; số kết quả bằng các mục đối chiếu trong nguồn; URL query được cập nhật nếu component dùng router.</x:v>
      </x:c>
      <x:c r="Q209" s="11" t="str"/>
      <x:c r="R209" s="8" t="str">
        <x:v>NOT RUN</x:v>
      </x:c>
      <x:c r="S209" s="11" t="str">
        <x:v>QA/UAT — cần điền URL/build</x:v>
      </x:c>
      <x:c r="T209" s="11" t="str">
        <x:v>Cần điền phiên bản thực</x:v>
      </x:c>
      <x:c r="U209" s="11" t="str"/>
      <x:c r="V209" s="12" t="str"/>
      <x:c r="W209" s="11" t="str"/>
      <x:c r="X209" s="11" t="str"/>
      <x:c r="Y209" s="3" t="str">
        <x:v>Nguồn: frontend/src/features/research/components/PublicationsSearch.tsx. </x:v>
      </x:c>
    </x:row>
    <x:row r="210" ht="49" customHeight="1">
      <x:c r="A210" s="3" t="n">
        <x:v>209</x:v>
      </x:c>
      <x:c r="B210" s="3" t="str">
        <x:v>TC_RESEARCH_003</x:v>
      </x:c>
      <x:c r="C210" s="3" t="str">
        <x:v>RESEARCH</x:v>
      </x:c>
      <x:c r="D210" s="3" t="str">
        <x:v>Tra cứu</x:v>
      </x:c>
      <x:c r="E210" s="3" t="str">
        <x:v>Tra cứu</x:v>
      </x:c>
      <x:c r="F210" s="3" t="str">
        <x:v>Positive — Tìm/lọc theo tác giả</x:v>
      </x:c>
      <x:c r="G210" s="3" t="str">
        <x:v>Tìm/lọc theo tác giả</x:v>
      </x:c>
      <x:c r="H210" s="3" t="str">
        <x:v>OBS-RESEARCH</x:v>
      </x:c>
      <x:c r="I210" s="3" t="str">
        <x:v>Khách truy cập</x:v>
      </x:c>
      <x:c r="J210" s="3" t="str">
        <x:v>Positive</x:v>
      </x:c>
      <x:c r="K210" s="3" t="str">
        <x:v>Medium</x:v>
      </x:c>
      <x:c r="L210" s="3" t="str">
        <x:v>Medium</x:v>
      </x:c>
      <x:c r="M210" s="3" t="str">
        <x:v>Môi trường QA cô lập, DB/MinIO sẵn sàng; dữ liệu fixture đã tạo. Không đăng nhập.</x:v>
      </x:c>
      <x:c r="N210" s="3" t="str">
        <x:v>Chọn fixture từ data/programmes.ts hoặc data/research.ts; ghi giá trị cụ thể vào Evidence trước chạy.</x:v>
      </x:c>
      <x:c r="O210" s="3" t="str">
        <x:v>1. Mở /vi/research/cong-bo
2. Chọn một giá trị tác giả có trong dữ liệu nguồn
3. Thực hiện tìm/lọc</x:v>
      </x:c>
      <x:c r="P210" s="3" t="str">
        <x:v>Chỉ mục khớp điều kiện hiển thị; số kết quả bằng các mục đối chiếu trong nguồn; URL query được cập nhật nếu component dùng router.</x:v>
      </x:c>
      <x:c r="Q210" s="11" t="str"/>
      <x:c r="R210" s="8" t="str">
        <x:v>NOT RUN</x:v>
      </x:c>
      <x:c r="S210" s="11" t="str">
        <x:v>QA/UAT — cần điền URL/build</x:v>
      </x:c>
      <x:c r="T210" s="11" t="str">
        <x:v>Cần điền phiên bản thực</x:v>
      </x:c>
      <x:c r="U210" s="11" t="str"/>
      <x:c r="V210" s="12" t="str"/>
      <x:c r="W210" s="11" t="str"/>
      <x:c r="X210" s="11" t="str"/>
      <x:c r="Y210" s="3" t="str">
        <x:v>Nguồn: frontend/src/features/research/components/PublicationsSearch.tsx. </x:v>
      </x:c>
    </x:row>
    <x:row r="211" ht="49" customHeight="1">
      <x:c r="A211" s="3" t="n">
        <x:v>210</x:v>
      </x:c>
      <x:c r="B211" s="3" t="str">
        <x:v>TC_RESEARCH_004</x:v>
      </x:c>
      <x:c r="C211" s="3" t="str">
        <x:v>RESEARCH</x:v>
      </x:c>
      <x:c r="D211" s="3" t="str">
        <x:v>Tra cứu</x:v>
      </x:c>
      <x:c r="E211" s="3" t="str">
        <x:v>Tra cứu</x:v>
      </x:c>
      <x:c r="F211" s="3" t="str">
        <x:v>Positive — Tìm/lọc theo năm</x:v>
      </x:c>
      <x:c r="G211" s="3" t="str">
        <x:v>Tìm/lọc theo năm</x:v>
      </x:c>
      <x:c r="H211" s="3" t="str">
        <x:v>OBS-RESEARCH</x:v>
      </x:c>
      <x:c r="I211" s="3" t="str">
        <x:v>Khách truy cập</x:v>
      </x:c>
      <x:c r="J211" s="3" t="str">
        <x:v>Positive</x:v>
      </x:c>
      <x:c r="K211" s="3" t="str">
        <x:v>Medium</x:v>
      </x:c>
      <x:c r="L211" s="3" t="str">
        <x:v>Medium</x:v>
      </x:c>
      <x:c r="M211" s="3" t="str">
        <x:v>Môi trường QA cô lập, DB/MinIO sẵn sàng; dữ liệu fixture đã tạo. Không đăng nhập.</x:v>
      </x:c>
      <x:c r="N211" s="3" t="str">
        <x:v>Chọn fixture từ data/programmes.ts hoặc data/research.ts; ghi giá trị cụ thể vào Evidence trước chạy.</x:v>
      </x:c>
      <x:c r="O211" s="3" t="str">
        <x:v>1. Mở /vi/research/cong-bo
2. Chọn một giá trị năm có trong dữ liệu nguồn
3. Thực hiện tìm/lọc</x:v>
      </x:c>
      <x:c r="P211" s="3" t="str">
        <x:v>Chỉ mục khớp điều kiện hiển thị; số kết quả bằng các mục đối chiếu trong nguồn; URL query được cập nhật nếu component dùng router.</x:v>
      </x:c>
      <x:c r="Q211" s="11" t="str"/>
      <x:c r="R211" s="8" t="str">
        <x:v>NOT RUN</x:v>
      </x:c>
      <x:c r="S211" s="11" t="str">
        <x:v>QA/UAT — cần điền URL/build</x:v>
      </x:c>
      <x:c r="T211" s="11" t="str">
        <x:v>Cần điền phiên bản thực</x:v>
      </x:c>
      <x:c r="U211" s="11" t="str"/>
      <x:c r="V211" s="12" t="str"/>
      <x:c r="W211" s="11" t="str"/>
      <x:c r="X211" s="11" t="str"/>
      <x:c r="Y211" s="3" t="str">
        <x:v>Nguồn: frontend/src/features/research/components/PublicationsSearch.tsx. </x:v>
      </x:c>
    </x:row>
    <x:row r="212" ht="36" customHeight="1">
      <x:c r="A212" s="3" t="n">
        <x:v>211</x:v>
      </x:c>
      <x:c r="B212" s="3" t="str">
        <x:v>TC_RESEARCH_005</x:v>
      </x:c>
      <x:c r="C212" s="3" t="str">
        <x:v>RESEARCH</x:v>
      </x:c>
      <x:c r="D212" s="3" t="str">
        <x:v>Tra cứu</x:v>
      </x:c>
      <x:c r="E212" s="3" t="str">
        <x:v>Tra cứu</x:v>
      </x:c>
      <x:c r="F212" s="3" t="str">
        <x:v>Negative — Không kết quả</x:v>
      </x:c>
      <x:c r="G212" s="3" t="str">
        <x:v>Không kết quả</x:v>
      </x:c>
      <x:c r="H212" s="3" t="str">
        <x:v>OBS-RESEARCH</x:v>
      </x:c>
      <x:c r="I212" s="3" t="str">
        <x:v>Khách truy cập</x:v>
      </x:c>
      <x:c r="J212" s="3" t="str">
        <x:v>Negative</x:v>
      </x:c>
      <x:c r="K212" s="3" t="str">
        <x:v>Medium</x:v>
      </x:c>
      <x:c r="L212" s="3" t="str">
        <x:v>Medium</x:v>
      </x:c>
      <x:c r="M212" s="3" t="str">
        <x:v>Môi trường QA cô lập, DB/MinIO sẵn sàng; dữ liệu fixture đã tạo. Không đăng nhập.</x:v>
      </x:c>
      <x:c r="N212" s="3" t="str">
        <x:v>Dữ liệu QA tổng hợp; xem fixture trong README.</x:v>
      </x:c>
      <x:c r="O212" s="3" t="str">
        <x:v>1. Mở /vi/research/cong-bo
2. Nhập qa-no-result-9988</x:v>
      </x:c>
      <x:c r="P212" s="3" t="str">
        <x:v>Hiển thị không có kết quả; không giữ danh sách trước đó.</x:v>
      </x:c>
      <x:c r="Q212" s="11" t="str"/>
      <x:c r="R212" s="8" t="str">
        <x:v>NOT RUN</x:v>
      </x:c>
      <x:c r="S212" s="11" t="str">
        <x:v>QA/UAT — cần điền URL/build</x:v>
      </x:c>
      <x:c r="T212" s="11" t="str">
        <x:v>Cần điền phiên bản thực</x:v>
      </x:c>
      <x:c r="U212" s="11" t="str"/>
      <x:c r="V212" s="12" t="str"/>
      <x:c r="W212" s="11" t="str"/>
      <x:c r="X212" s="11" t="str"/>
      <x:c r="Y212" s="3" t="str">
        <x:v>Nguồn: frontend/src/features/research/components/PublicationsSearch.tsx. </x:v>
      </x:c>
    </x:row>
    <x:row r="213" ht="49" customHeight="1">
      <x:c r="A213" s="3" t="n">
        <x:v>212</x:v>
      </x:c>
      <x:c r="B213" s="3" t="str">
        <x:v>TC_RESEARCH_006</x:v>
      </x:c>
      <x:c r="C213" s="3" t="str">
        <x:v>RESEARCH</x:v>
      </x:c>
      <x:c r="D213" s="3" t="str">
        <x:v>Tra cứu</x:v>
      </x:c>
      <x:c r="E213" s="3" t="str">
        <x:v>Tra cứu</x:v>
      </x:c>
      <x:c r="F213" s="3" t="str">
        <x:v>Alternative — Xóa bộ lọc</x:v>
      </x:c>
      <x:c r="G213" s="3" t="str">
        <x:v>Xóa bộ lọc</x:v>
      </x:c>
      <x:c r="H213" s="3" t="str">
        <x:v>OBS-RESEARCH</x:v>
      </x:c>
      <x:c r="I213" s="3" t="str">
        <x:v>Khách truy cập</x:v>
      </x:c>
      <x:c r="J213" s="3" t="str">
        <x:v>Alternative</x:v>
      </x:c>
      <x:c r="K213" s="3" t="str">
        <x:v>Medium</x:v>
      </x:c>
      <x:c r="L213" s="3" t="str">
        <x:v>Medium</x:v>
      </x:c>
      <x:c r="M213" s="3" t="str">
        <x:v>Môi trường QA cô lập, DB/MinIO sẵn sàng; dữ liệu fixture đã tạo. Không đăng nhập.</x:v>
      </x:c>
      <x:c r="N213" s="3" t="str">
        <x:v>Dữ liệu QA tổng hợp; xem fixture trong README.</x:v>
      </x:c>
      <x:c r="O213" s="3" t="str">
        <x:v>1. Mở /vi/research/cong-bo
2. Áp dụng bộ lọc không có kết quả
3. Nhấn reset/xóa bộ lọc</x:v>
      </x:c>
      <x:c r="P213" s="3" t="str">
        <x:v>Khôi phục danh sách mặc định và số lượng đầy đủ.</x:v>
      </x:c>
      <x:c r="Q213" s="11" t="str"/>
      <x:c r="R213" s="8" t="str">
        <x:v>NOT RUN</x:v>
      </x:c>
      <x:c r="S213" s="11" t="str">
        <x:v>QA/UAT — cần điền URL/build</x:v>
      </x:c>
      <x:c r="T213" s="11" t="str">
        <x:v>Cần điền phiên bản thực</x:v>
      </x:c>
      <x:c r="U213" s="11" t="str"/>
      <x:c r="V213" s="12" t="str"/>
      <x:c r="W213" s="11" t="str"/>
      <x:c r="X213" s="11" t="str"/>
      <x:c r="Y213" s="3" t="str">
        <x:v>Nguồn: frontend/src/features/research/components/PublicationsSearch.tsx. </x:v>
      </x:c>
    </x:row>
    <x:row r="214" ht="36" customHeight="1">
      <x:c r="A214" s="3" t="n">
        <x:v>213</x:v>
      </x:c>
      <x:c r="B214" s="3" t="str">
        <x:v>TC_RESEARCH_007</x:v>
      </x:c>
      <x:c r="C214" s="3" t="str">
        <x:v>RESEARCH</x:v>
      </x:c>
      <x:c r="D214" s="3" t="str">
        <x:v>Tra cứu</x:v>
      </x:c>
      <x:c r="E214" s="3" t="str">
        <x:v>Tra cứu</x:v>
      </x:c>
      <x:c r="F214" s="3" t="str">
        <x:v>Alternative — Unicode và khoảng trắng</x:v>
      </x:c>
      <x:c r="G214" s="3" t="str">
        <x:v>Unicode và khoảng trắng</x:v>
      </x:c>
      <x:c r="H214" s="3" t="str">
        <x:v>OBS-RESEARCH</x:v>
      </x:c>
      <x:c r="I214" s="3" t="str">
        <x:v>Khách truy cập</x:v>
      </x:c>
      <x:c r="J214" s="3" t="str">
        <x:v>Alternative</x:v>
      </x:c>
      <x:c r="K214" s="3" t="str">
        <x:v>Medium</x:v>
      </x:c>
      <x:c r="L214" s="3" t="str">
        <x:v>Medium</x:v>
      </x:c>
      <x:c r="M214" s="3" t="str">
        <x:v>Môi trường QA cô lập, DB/MinIO sẵn sàng; dữ liệu fixture đã tạo. Không đăng nhập.</x:v>
      </x:c>
      <x:c r="N214" s="3" t="str">
        <x:v>Dữ liệu QA tổng hợp; xem fixture trong README.</x:v>
      </x:c>
      <x:c r="O214" s="3" t="str">
        <x:v>1. Mở /vi/research/cong-bo
2. Tìm tên tiếng Việt có dấu với khoảng trắng đầu/cuối</x:v>
      </x:c>
      <x:c r="P214" s="3" t="str">
        <x:v>Điều kiện trim theo code; tên tiếng Việt không lỗi encoding; kết quả khớp chuỗi đã chuẩn hóa.</x:v>
      </x:c>
      <x:c r="Q214" s="11" t="str"/>
      <x:c r="R214" s="8" t="str">
        <x:v>NOT RUN</x:v>
      </x:c>
      <x:c r="S214" s="11" t="str">
        <x:v>QA/UAT — cần điền URL/build</x:v>
      </x:c>
      <x:c r="T214" s="11" t="str">
        <x:v>Cần điền phiên bản thực</x:v>
      </x:c>
      <x:c r="U214" s="11" t="str"/>
      <x:c r="V214" s="12" t="str"/>
      <x:c r="W214" s="11" t="str"/>
      <x:c r="X214" s="11" t="str"/>
      <x:c r="Y214" s="3" t="str">
        <x:v>Nguồn: frontend/src/features/research/components/PublicationsSearch.tsx. </x:v>
      </x:c>
    </x:row>
    <x:row r="215" ht="36" customHeight="1">
      <x:c r="A215" s="3" t="n">
        <x:v>214</x:v>
      </x:c>
      <x:c r="B215" s="3" t="str">
        <x:v>TC_RESEARCH_008</x:v>
      </x:c>
      <x:c r="C215" s="3" t="str">
        <x:v>RESEARCH</x:v>
      </x:c>
      <x:c r="D215" s="3" t="str">
        <x:v>Tra cứu</x:v>
      </x:c>
      <x:c r="E215" s="3" t="str">
        <x:v>Tra cứu</x:v>
      </x:c>
      <x:c r="F215" s="3" t="str">
        <x:v>Alternative — Kết hợp bộ lọc</x:v>
      </x:c>
      <x:c r="G215" s="3" t="str">
        <x:v>Kết hợp bộ lọc</x:v>
      </x:c>
      <x:c r="H215" s="3" t="str">
        <x:v>OBS-RESEARCH</x:v>
      </x:c>
      <x:c r="I215" s="3" t="str">
        <x:v>Khách truy cập</x:v>
      </x:c>
      <x:c r="J215" s="3" t="str">
        <x:v>Alternative</x:v>
      </x:c>
      <x:c r="K215" s="3" t="str">
        <x:v>Medium</x:v>
      </x:c>
      <x:c r="L215" s="3" t="str">
        <x:v>Medium</x:v>
      </x:c>
      <x:c r="M215" s="3" t="str">
        <x:v>Môi trường QA cô lập, DB/MinIO sẵn sàng; dữ liệu fixture đã tạo. Không đăng nhập.</x:v>
      </x:c>
      <x:c r="N215" s="3" t="str">
        <x:v>Dữ liệu QA tổng hợp; xem fixture trong README.</x:v>
      </x:c>
      <x:c r="O215" s="3" t="str">
        <x:v>1. Mở /vi/research/cong-bo
2. Chọn hai điều kiện có giao rỗng</x:v>
      </x:c>
      <x:c r="P215" s="3" t="str">
        <x:v>Không hiển thị mục chỉ thỏa một điều kiện.</x:v>
      </x:c>
      <x:c r="Q215" s="11" t="str"/>
      <x:c r="R215" s="8" t="str">
        <x:v>NOT RUN</x:v>
      </x:c>
      <x:c r="S215" s="11" t="str">
        <x:v>QA/UAT — cần điền URL/build</x:v>
      </x:c>
      <x:c r="T215" s="11" t="str">
        <x:v>Cần điền phiên bản thực</x:v>
      </x:c>
      <x:c r="U215" s="11" t="str"/>
      <x:c r="V215" s="12" t="str"/>
      <x:c r="W215" s="11" t="str"/>
      <x:c r="X215" s="11" t="str"/>
      <x:c r="Y215" s="3" t="str">
        <x:v>Nguồn: frontend/src/features/research/components/PublicationsSearch.tsx. </x:v>
      </x:c>
    </x:row>
    <x:row r="216" ht="49" customHeight="1">
      <x:c r="A216" s="3" t="n">
        <x:v>215</x:v>
      </x:c>
      <x:c r="B216" s="3" t="str">
        <x:v>TC_MEDIA_001</x:v>
      </x:c>
      <x:c r="C216" s="3" t="str">
        <x:v>MEDIA</x:v>
      </x:c>
      <x:c r="D216" s="3" t="str">
        <x:v>Loại tệp</x:v>
      </x:c>
      <x:c r="E216" s="3" t="str">
        <x:v>Loại tệp</x:v>
      </x:c>
      <x:c r="F216" s="3" t="str">
        <x:v>Positive — Upload JPG hợp lệ</x:v>
      </x:c>
      <x:c r="G216" s="3" t="str">
        <x:v>Upload JPG hợp lệ</x:v>
      </x:c>
      <x:c r="H216" s="3" t="str">
        <x:v>NEWS-003</x:v>
      </x:c>
      <x:c r="I216" s="3" t="str">
        <x:v>QTV có quyền tương ứng</x:v>
      </x:c>
      <x:c r="J216" s="3" t="str">
        <x:v>Positive</x:v>
      </x:c>
      <x:c r="K216" s="3" t="str">
        <x:v>High</x:v>
      </x:c>
      <x:c r="L216" s="3" t="str">
        <x:v>High</x:v>
      </x:c>
      <x:c r="M216" s="3" t="str">
        <x:v>Môi trường QA cô lập, DB/MinIO sẵn sàng; dữ liệu fixture đã tạo. Đăng nhập tài khoản ACTIVE, mustChangePassword=false.</x:v>
      </x:c>
      <x:c r="N216" s="3" t="str">
        <x:v>File .jpg thật với MIME/signature tương ứng; có nội dung đọc được.</x:v>
      </x:c>
      <x:c r="O216" s="3" t="str">
        <x:v>1. Đăng nhập quyền upload tương ứng
2. Gửi multipart file fixture .jpg tới /api/cms/upload-image
3. Mở URL trả về hoặc HTML import</x:v>
      </x:c>
      <x:c r="P216" s="3" t="str">
        <x:v>HTTP 200 success=true; URL nội bộ /api/media/ tải được đúng bytes/MIME của fixture.</x:v>
      </x:c>
      <x:c r="Q216" s="11" t="str"/>
      <x:c r="R216" s="8" t="str">
        <x:v>NOT RUN</x:v>
      </x:c>
      <x:c r="S216" s="11" t="str">
        <x:v>QA/UAT — cần điền URL/build</x:v>
      </x:c>
      <x:c r="T216" s="11" t="str">
        <x:v>Cần điền phiên bản thực</x:v>
      </x:c>
      <x:c r="U216" s="11" t="str"/>
      <x:c r="V216" s="12" t="str"/>
      <x:c r="W216" s="11" t="str"/>
      <x:c r="X216" s="11" t="str"/>
      <x:c r="Y216" s="3" t="str">
        <x:v>Nguồn: admin/src/app/api/cms/upload-image/route.ts. </x:v>
      </x:c>
    </x:row>
    <x:row r="217" ht="49" customHeight="1">
      <x:c r="A217" s="3" t="n">
        <x:v>216</x:v>
      </x:c>
      <x:c r="B217" s="3" t="str">
        <x:v>TC_MEDIA_002</x:v>
      </x:c>
      <x:c r="C217" s="3" t="str">
        <x:v>MEDIA</x:v>
      </x:c>
      <x:c r="D217" s="3" t="str">
        <x:v>Loại tệp</x:v>
      </x:c>
      <x:c r="E217" s="3" t="str">
        <x:v>Loại tệp</x:v>
      </x:c>
      <x:c r="F217" s="3" t="str">
        <x:v>Positive — Upload PNG hợp lệ</x:v>
      </x:c>
      <x:c r="G217" s="3" t="str">
        <x:v>Upload PNG hợp lệ</x:v>
      </x:c>
      <x:c r="H217" s="3" t="str">
        <x:v>NEWS-003</x:v>
      </x:c>
      <x:c r="I217" s="3" t="str">
        <x:v>QTV có quyền tương ứng</x:v>
      </x:c>
      <x:c r="J217" s="3" t="str">
        <x:v>Positive</x:v>
      </x:c>
      <x:c r="K217" s="3" t="str">
        <x:v>High</x:v>
      </x:c>
      <x:c r="L217" s="3" t="str">
        <x:v>High</x:v>
      </x:c>
      <x:c r="M217" s="3" t="str">
        <x:v>Môi trường QA cô lập, DB/MinIO sẵn sàng; dữ liệu fixture đã tạo. Đăng nhập tài khoản ACTIVE, mustChangePassword=false.</x:v>
      </x:c>
      <x:c r="N217" s="3" t="str">
        <x:v>File .png thật với MIME/signature tương ứng; có nội dung đọc được.</x:v>
      </x:c>
      <x:c r="O217" s="3" t="str">
        <x:v>1. Đăng nhập quyền upload tương ứng
2. Gửi multipart file fixture .png tới /api/cms/upload-image
3. Mở URL trả về hoặc HTML import</x:v>
      </x:c>
      <x:c r="P217" s="3" t="str">
        <x:v>HTTP 200 success=true; URL nội bộ /api/media/ tải được đúng bytes/MIME của fixture.</x:v>
      </x:c>
      <x:c r="Q217" s="11" t="str"/>
      <x:c r="R217" s="8" t="str">
        <x:v>NOT RUN</x:v>
      </x:c>
      <x:c r="S217" s="11" t="str">
        <x:v>QA/UAT — cần điền URL/build</x:v>
      </x:c>
      <x:c r="T217" s="11" t="str">
        <x:v>Cần điền phiên bản thực</x:v>
      </x:c>
      <x:c r="U217" s="11" t="str"/>
      <x:c r="V217" s="12" t="str"/>
      <x:c r="W217" s="11" t="str"/>
      <x:c r="X217" s="11" t="str"/>
      <x:c r="Y217" s="3" t="str">
        <x:v>Nguồn: admin/src/app/api/cms/upload-image/route.ts. </x:v>
      </x:c>
    </x:row>
    <x:row r="218" ht="49" customHeight="1">
      <x:c r="A218" s="3" t="n">
        <x:v>217</x:v>
      </x:c>
      <x:c r="B218" s="3" t="str">
        <x:v>TC_MEDIA_003</x:v>
      </x:c>
      <x:c r="C218" s="3" t="str">
        <x:v>MEDIA</x:v>
      </x:c>
      <x:c r="D218" s="3" t="str">
        <x:v>Loại tệp</x:v>
      </x:c>
      <x:c r="E218" s="3" t="str">
        <x:v>Loại tệp</x:v>
      </x:c>
      <x:c r="F218" s="3" t="str">
        <x:v>Positive — Upload WEBP hợp lệ</x:v>
      </x:c>
      <x:c r="G218" s="3" t="str">
        <x:v>Upload WEBP hợp lệ</x:v>
      </x:c>
      <x:c r="H218" s="3" t="str">
        <x:v>NEWS-003</x:v>
      </x:c>
      <x:c r="I218" s="3" t="str">
        <x:v>QTV có quyền tương ứng</x:v>
      </x:c>
      <x:c r="J218" s="3" t="str">
        <x:v>Positive</x:v>
      </x:c>
      <x:c r="K218" s="3" t="str">
        <x:v>High</x:v>
      </x:c>
      <x:c r="L218" s="3" t="str">
        <x:v>High</x:v>
      </x:c>
      <x:c r="M218" s="3" t="str">
        <x:v>Môi trường QA cô lập, DB/MinIO sẵn sàng; dữ liệu fixture đã tạo. Đăng nhập tài khoản ACTIVE, mustChangePassword=false.</x:v>
      </x:c>
      <x:c r="N218" s="3" t="str">
        <x:v>File .webp thật với MIME/signature tương ứng; có nội dung đọc được.</x:v>
      </x:c>
      <x:c r="O218" s="3" t="str">
        <x:v>1. Đăng nhập quyền upload tương ứng
2. Gửi multipart file fixture .webp tới /api/cms/upload-image
3. Mở URL trả về hoặc HTML import</x:v>
      </x:c>
      <x:c r="P218" s="3" t="str">
        <x:v>HTTP 200 success=true; URL nội bộ /api/media/ tải được đúng bytes/MIME của fixture.</x:v>
      </x:c>
      <x:c r="Q218" s="11" t="str"/>
      <x:c r="R218" s="8" t="str">
        <x:v>NOT RUN</x:v>
      </x:c>
      <x:c r="S218" s="11" t="str">
        <x:v>QA/UAT — cần điền URL/build</x:v>
      </x:c>
      <x:c r="T218" s="11" t="str">
        <x:v>Cần điền phiên bản thực</x:v>
      </x:c>
      <x:c r="U218" s="11" t="str"/>
      <x:c r="V218" s="12" t="str"/>
      <x:c r="W218" s="11" t="str"/>
      <x:c r="X218" s="11" t="str"/>
      <x:c r="Y218" s="3" t="str">
        <x:v>Nguồn: admin/src/app/api/cms/upload-image/route.ts. </x:v>
      </x:c>
    </x:row>
    <x:row r="219" ht="49" customHeight="1">
      <x:c r="A219" s="3" t="n">
        <x:v>218</x:v>
      </x:c>
      <x:c r="B219" s="3" t="str">
        <x:v>TC_MEDIA_004</x:v>
      </x:c>
      <x:c r="C219" s="3" t="str">
        <x:v>MEDIA</x:v>
      </x:c>
      <x:c r="D219" s="3" t="str">
        <x:v>Loại tệp</x:v>
      </x:c>
      <x:c r="E219" s="3" t="str">
        <x:v>Loại tệp</x:v>
      </x:c>
      <x:c r="F219" s="3" t="str">
        <x:v>Positive — Upload AVIF hợp lệ</x:v>
      </x:c>
      <x:c r="G219" s="3" t="str">
        <x:v>Upload AVIF hợp lệ</x:v>
      </x:c>
      <x:c r="H219" s="3" t="str">
        <x:v>NEWS-003</x:v>
      </x:c>
      <x:c r="I219" s="3" t="str">
        <x:v>QTV có quyền tương ứng</x:v>
      </x:c>
      <x:c r="J219" s="3" t="str">
        <x:v>Positive</x:v>
      </x:c>
      <x:c r="K219" s="3" t="str">
        <x:v>High</x:v>
      </x:c>
      <x:c r="L219" s="3" t="str">
        <x:v>High</x:v>
      </x:c>
      <x:c r="M219" s="3" t="str">
        <x:v>Môi trường QA cô lập, DB/MinIO sẵn sàng; dữ liệu fixture đã tạo. Đăng nhập tài khoản ACTIVE, mustChangePassword=false.</x:v>
      </x:c>
      <x:c r="N219" s="3" t="str">
        <x:v>File .avif thật với MIME/signature tương ứng; có nội dung đọc được.</x:v>
      </x:c>
      <x:c r="O219" s="3" t="str">
        <x:v>1. Đăng nhập quyền upload tương ứng
2. Gửi multipart file fixture .avif tới /api/cms/upload-image
3. Mở URL trả về hoặc HTML import</x:v>
      </x:c>
      <x:c r="P219" s="3" t="str">
        <x:v>HTTP 200 success=true; URL nội bộ /api/media/ tải được đúng bytes/MIME của fixture.</x:v>
      </x:c>
      <x:c r="Q219" s="11" t="str"/>
      <x:c r="R219" s="8" t="str">
        <x:v>NOT RUN</x:v>
      </x:c>
      <x:c r="S219" s="11" t="str">
        <x:v>QA/UAT — cần điền URL/build</x:v>
      </x:c>
      <x:c r="T219" s="11" t="str">
        <x:v>Cần điền phiên bản thực</x:v>
      </x:c>
      <x:c r="U219" s="11" t="str"/>
      <x:c r="V219" s="12" t="str"/>
      <x:c r="W219" s="11" t="str"/>
      <x:c r="X219" s="11" t="str"/>
      <x:c r="Y219" s="3" t="str">
        <x:v>Nguồn: admin/src/app/api/cms/upload-image/route.ts. </x:v>
      </x:c>
    </x:row>
    <x:row r="220" ht="49" customHeight="1">
      <x:c r="A220" s="3" t="n">
        <x:v>219</x:v>
      </x:c>
      <x:c r="B220" s="3" t="str">
        <x:v>TC_MEDIA_011</x:v>
      </x:c>
      <x:c r="C220" s="3" t="str">
        <x:v>MEDIA</x:v>
      </x:c>
      <x:c r="D220" s="3" t="str">
        <x:v>Upload lỗi và tên tệp</x:v>
      </x:c>
      <x:c r="E220" s="3" t="str">
        <x:v>Upload lỗi và tên tệp</x:v>
      </x:c>
      <x:c r="F220" s="3" t="str">
        <x:v>Negative — Sai extension tại /api/cms/upload-image</x:v>
      </x:c>
      <x:c r="G220" s="3" t="str">
        <x:v>Sai extension tại /api/cms/upload-image</x:v>
      </x:c>
      <x:c r="H220" s="3" t="str">
        <x:v>NEWS-003</x:v>
      </x:c>
      <x:c r="I220" s="3" t="str">
        <x:v>QTV có quyền tương ứng</x:v>
      </x:c>
      <x:c r="J220" s="3" t="str">
        <x:v>Negative</x:v>
      </x:c>
      <x:c r="K220" s="3" t="str">
        <x:v>Medium</x:v>
      </x:c>
      <x:c r="L220" s="3" t="str">
        <x:v>Medium</x:v>
      </x:c>
      <x:c r="M220" s="3" t="str">
        <x:v>Môi trường QA cô lập, DB/MinIO sẵn sàng; dữ liệu fixture đã tạo. Đăng nhập tài khoản ACTIVE, mustChangePassword=false.</x:v>
      </x:c>
      <x:c r="N220" s="3" t="str">
        <x:v>File .exe văn bản vô hại</x:v>
      </x:c>
      <x:c r="O220" s="3" t="str">
        <x:v>1. Chuẩn bị Test Data
2. Upload qua /api/cms/upload-image
3. Kiểm tra UI, response và object</x:v>
      </x:c>
      <x:c r="P220" s="3" t="str">
        <x:v>HTTP 415; không ghi object.</x:v>
      </x:c>
      <x:c r="Q220" s="11" t="str"/>
      <x:c r="R220" s="8" t="str">
        <x:v>NOT RUN</x:v>
      </x:c>
      <x:c r="S220" s="11" t="str">
        <x:v>QA/UAT — cần điền URL/build</x:v>
      </x:c>
      <x:c r="T220" s="11" t="str">
        <x:v>Cần điền phiên bản thực</x:v>
      </x:c>
      <x:c r="U220" s="11" t="str"/>
      <x:c r="V220" s="12" t="str"/>
      <x:c r="W220" s="11" t="str"/>
      <x:c r="X220" s="11" t="str"/>
      <x:c r="Y220" s="3" t="str">
        <x:v>Nguồn: admin/src/app/api/cms/upload-image/route.ts. </x:v>
      </x:c>
    </x:row>
    <x:row r="221" ht="49" customHeight="1">
      <x:c r="A221" s="3" t="n">
        <x:v>220</x:v>
      </x:c>
      <x:c r="B221" s="3" t="str">
        <x:v>TC_MEDIA_012</x:v>
      </x:c>
      <x:c r="C221" s="3" t="str">
        <x:v>MEDIA</x:v>
      </x:c>
      <x:c r="D221" s="3" t="str">
        <x:v>Upload lỗi và tên tệp</x:v>
      </x:c>
      <x:c r="E221" s="3" t="str">
        <x:v>Upload lỗi và tên tệp</x:v>
      </x:c>
      <x:c r="F221" s="3" t="str">
        <x:v>Negative — Giả mạo extension tại /api/cms/upload-image</x:v>
      </x:c>
      <x:c r="G221" s="3" t="str">
        <x:v>Giả mạo extension tại /api/cms/upload-image</x:v>
      </x:c>
      <x:c r="H221" s="3" t="str">
        <x:v>NEWS-003</x:v>
      </x:c>
      <x:c r="I221" s="3" t="str">
        <x:v>QTV có quyền tương ứng</x:v>
      </x:c>
      <x:c r="J221" s="3" t="str">
        <x:v>Negative</x:v>
      </x:c>
      <x:c r="K221" s="3" t="str">
        <x:v>High</x:v>
      </x:c>
      <x:c r="L221" s="3" t="str">
        <x:v>High</x:v>
      </x:c>
      <x:c r="M221" s="3" t="str">
        <x:v>Môi trường QA cô lập, DB/MinIO sẵn sàng; dữ liệu fixture đã tạo. Đăng nhập tài khoản ACTIVE, mustChangePassword=false.</x:v>
      </x:c>
      <x:c r="N221" s="3" t="str">
        <x:v>Text đổi tên thành .png/.pdf/.docx</x:v>
      </x:c>
      <x:c r="O221" s="3" t="str">
        <x:v>1. Chuẩn bị Test Data
2. Upload qua /api/cms/upload-image
3. Kiểm tra UI, response và object</x:v>
      </x:c>
      <x:c r="P221" s="3" t="str">
        <x:v>Từ chối file không phải định dạng hỗ trợ; không có object có thể thực thi; nếu parser 500 ghi defect.</x:v>
      </x:c>
      <x:c r="Q221" s="11" t="str"/>
      <x:c r="R221" s="8" t="str">
        <x:v>NOT RUN</x:v>
      </x:c>
      <x:c r="S221" s="11" t="str">
        <x:v>QA/UAT — cần điền URL/build</x:v>
      </x:c>
      <x:c r="T221" s="11" t="str">
        <x:v>Cần điền phiên bản thực</x:v>
      </x:c>
      <x:c r="U221" s="11" t="str"/>
      <x:c r="V221" s="12" t="str"/>
      <x:c r="W221" s="11" t="str"/>
      <x:c r="X221" s="11" t="str"/>
      <x:c r="Y221" s="3" t="str">
        <x:v>Nguồn: admin/src/app/api/cms/upload-image/route.ts. </x:v>
      </x:c>
    </x:row>
    <x:row r="222" ht="49" customHeight="1">
      <x:c r="A222" s="3" t="n">
        <x:v>221</x:v>
      </x:c>
      <x:c r="B222" s="3" t="str">
        <x:v>TC_MEDIA_013</x:v>
      </x:c>
      <x:c r="C222" s="3" t="str">
        <x:v>MEDIA</x:v>
      </x:c>
      <x:c r="D222" s="3" t="str">
        <x:v>Upload lỗi và tên tệp</x:v>
      </x:c>
      <x:c r="E222" s="3" t="str">
        <x:v>Upload lỗi và tên tệp</x:v>
      </x:c>
      <x:c r="F222" s="3" t="str">
        <x:v>Negative — Header hợp lệ nhưng file hỏng tại /api/cms/upload-image</x:v>
      </x:c>
      <x:c r="G222" s="3" t="str">
        <x:v>Header hợp lệ nhưng file hỏng tại /api/cms/upload-image</x:v>
      </x:c>
      <x:c r="H222" s="3" t="str">
        <x:v>NEWS-003</x:v>
      </x:c>
      <x:c r="I222" s="3" t="str">
        <x:v>QTV có quyền tương ứng</x:v>
      </x:c>
      <x:c r="J222" s="3" t="str">
        <x:v>Negative</x:v>
      </x:c>
      <x:c r="K222" s="3" t="str">
        <x:v>Medium</x:v>
      </x:c>
      <x:c r="L222" s="3" t="str">
        <x:v>Medium</x:v>
      </x:c>
      <x:c r="M222" s="3" t="str">
        <x:v>Môi trường QA cô lập, DB/MinIO sẵn sàng; dữ liệu fixture đã tạo. Đăng nhập tài khoản ACTIVE, mustChangePassword=false.</x:v>
      </x:c>
      <x:c r="N222" s="3" t="str">
        <x:v>Chỉ magic bytes đúng, phần dữ liệu bị cắt</x:v>
      </x:c>
      <x:c r="O222" s="3" t="str">
        <x:v>1. Chuẩn bị Test Data
2. Upload qua /api/cms/upload-image
3. Kiểm tra UI, response và object</x:v>
      </x:c>
      <x:c r="P222" s="3" t="str">
        <x:v>Không công bố file hỏng như upload hoàn chỉnh; ghi nhận lỗ hổng kiểm tra signature nếu nhận 200.</x:v>
      </x:c>
      <x:c r="Q222" s="11" t="str"/>
      <x:c r="R222" s="8" t="str">
        <x:v>NOT RUN</x:v>
      </x:c>
      <x:c r="S222" s="11" t="str">
        <x:v>QA/UAT — cần điền URL/build</x:v>
      </x:c>
      <x:c r="T222" s="11" t="str">
        <x:v>Cần điền phiên bản thực</x:v>
      </x:c>
      <x:c r="U222" s="11" t="str"/>
      <x:c r="V222" s="12" t="str"/>
      <x:c r="W222" s="11" t="str"/>
      <x:c r="X222" s="11" t="str"/>
      <x:c r="Y222" s="3" t="str">
        <x:v>Nguồn: admin/src/app/api/cms/upload-image/route.ts. </x:v>
      </x:c>
    </x:row>
    <x:row r="223" ht="49" customHeight="1">
      <x:c r="A223" s="3" t="n">
        <x:v>222</x:v>
      </x:c>
      <x:c r="B223" s="3" t="str">
        <x:v>TC_MEDIA_014</x:v>
      </x:c>
      <x:c r="C223" s="3" t="str">
        <x:v>MEDIA</x:v>
      </x:c>
      <x:c r="D223" s="3" t="str">
        <x:v>Upload lỗi và tên tệp</x:v>
      </x:c>
      <x:c r="E223" s="3" t="str">
        <x:v>Upload lỗi và tên tệp</x:v>
      </x:c>
      <x:c r="F223" s="3" t="str">
        <x:v>Alternative — Tên tiếng Việt tại /api/cms/upload-image</x:v>
      </x:c>
      <x:c r="G223" s="3" t="str">
        <x:v>Tên tiếng Việt tại /api/cms/upload-image</x:v>
      </x:c>
      <x:c r="H223" s="3" t="str">
        <x:v>NEWS-003</x:v>
      </x:c>
      <x:c r="I223" s="3" t="str">
        <x:v>QTV có quyền tương ứng</x:v>
      </x:c>
      <x:c r="J223" s="3" t="str">
        <x:v>Alternative</x:v>
      </x:c>
      <x:c r="K223" s="3" t="str">
        <x:v>Medium</x:v>
      </x:c>
      <x:c r="L223" s="3" t="str">
        <x:v>Medium</x:v>
      </x:c>
      <x:c r="M223" s="3" t="str">
        <x:v>Môi trường QA cô lập, DB/MinIO sẵn sàng; dữ liệu fixture đã tạo. Đăng nhập tài khoản ACTIVE, mustChangePassword=false.</x:v>
      </x:c>
      <x:c r="N223" s="3" t="str">
        <x:v>Tên=Thông báo QA 01.jpg</x:v>
      </x:c>
      <x:c r="O223" s="3" t="str">
        <x:v>1. Chuẩn bị Test Data
2. Upload qua /api/cms/upload-image
3. Kiểm tra UI, response và object</x:v>
      </x:c>
      <x:c r="P223" s="3" t="str">
        <x:v>Không lỗi encoding; object key an toàn; dữ liệu trả có thể mở.</x:v>
      </x:c>
      <x:c r="Q223" s="11" t="str"/>
      <x:c r="R223" s="8" t="str">
        <x:v>NOT RUN</x:v>
      </x:c>
      <x:c r="S223" s="11" t="str">
        <x:v>QA/UAT — cần điền URL/build</x:v>
      </x:c>
      <x:c r="T223" s="11" t="str">
        <x:v>Cần điền phiên bản thực</x:v>
      </x:c>
      <x:c r="U223" s="11" t="str"/>
      <x:c r="V223" s="12" t="str"/>
      <x:c r="W223" s="11" t="str"/>
      <x:c r="X223" s="11" t="str"/>
      <x:c r="Y223" s="3" t="str">
        <x:v>Nguồn: admin/src/app/api/cms/upload-image/route.ts. </x:v>
      </x:c>
    </x:row>
    <x:row r="224" ht="49" customHeight="1">
      <x:c r="A224" s="3" t="n">
        <x:v>223</x:v>
      </x:c>
      <x:c r="B224" s="3" t="str">
        <x:v>TC_MEDIA_015</x:v>
      </x:c>
      <x:c r="C224" s="3" t="str">
        <x:v>MEDIA</x:v>
      </x:c>
      <x:c r="D224" s="3" t="str">
        <x:v>Upload lỗi và tên tệp</x:v>
      </x:c>
      <x:c r="E224" s="3" t="str">
        <x:v>Upload lỗi và tên tệp</x:v>
      </x:c>
      <x:c r="F224" s="3" t="str">
        <x:v>Alternative — Trùng tên tại /api/cms/upload-image</x:v>
      </x:c>
      <x:c r="G224" s="3" t="str">
        <x:v>Trùng tên tại /api/cms/upload-image</x:v>
      </x:c>
      <x:c r="H224" s="3" t="str">
        <x:v>NEWS-003</x:v>
      </x:c>
      <x:c r="I224" s="3" t="str">
        <x:v>QTV có quyền tương ứng</x:v>
      </x:c>
      <x:c r="J224" s="3" t="str">
        <x:v>Alternative</x:v>
      </x:c>
      <x:c r="K224" s="3" t="str">
        <x:v>Medium</x:v>
      </x:c>
      <x:c r="L224" s="3" t="str">
        <x:v>Medium</x:v>
      </x:c>
      <x:c r="M224" s="3" t="str">
        <x:v>Môi trường QA cô lập, DB/MinIO sẵn sàng; dữ liệu fixture đã tạo. Đăng nhập tài khoản ACTIVE, mustChangePassword=false.</x:v>
      </x:c>
      <x:c r="N224" s="3" t="str">
        <x:v>Upload hai file khác nội dung cùng tên</x:v>
      </x:c>
      <x:c r="O224" s="3" t="str">
        <x:v>1. Chuẩn bị Test Data
2. Upload qua /api/cms/upload-image
3. Kiểm tra UI, response và object</x:v>
      </x:c>
      <x:c r="P224" s="3" t="str">
        <x:v>Object key khác nhau; file thứ nhất không bị ghi đè.</x:v>
      </x:c>
      <x:c r="Q224" s="11" t="str"/>
      <x:c r="R224" s="8" t="str">
        <x:v>NOT RUN</x:v>
      </x:c>
      <x:c r="S224" s="11" t="str">
        <x:v>QA/UAT — cần điền URL/build</x:v>
      </x:c>
      <x:c r="T224" s="11" t="str">
        <x:v>Cần điền phiên bản thực</x:v>
      </x:c>
      <x:c r="U224" s="11" t="str"/>
      <x:c r="V224" s="12" t="str"/>
      <x:c r="W224" s="11" t="str"/>
      <x:c r="X224" s="11" t="str"/>
      <x:c r="Y224" s="3" t="str">
        <x:v>Nguồn: admin/src/app/api/cms/upload-image/route.ts. </x:v>
      </x:c>
    </x:row>
    <x:row r="225" ht="49" customHeight="1">
      <x:c r="A225" s="3" t="n">
        <x:v>224</x:v>
      </x:c>
      <x:c r="B225" s="3" t="str">
        <x:v>TC_MEDIA_016</x:v>
      </x:c>
      <x:c r="C225" s="3" t="str">
        <x:v>MEDIA</x:v>
      </x:c>
      <x:c r="D225" s="3" t="str">
        <x:v>Upload lỗi và tên tệp</x:v>
      </x:c>
      <x:c r="E225" s="3" t="str">
        <x:v>Upload lỗi và tên tệp</x:v>
      </x:c>
      <x:c r="F225" s="3" t="str">
        <x:v>Negative — Tên có traversal tại /api/cms/upload-image</x:v>
      </x:c>
      <x:c r="G225" s="3" t="str">
        <x:v>Tên có traversal tại /api/cms/upload-image</x:v>
      </x:c>
      <x:c r="H225" s="3" t="str">
        <x:v>NEWS-003</x:v>
      </x:c>
      <x:c r="I225" s="3" t="str">
        <x:v>QTV có quyền tương ứng</x:v>
      </x:c>
      <x:c r="J225" s="3" t="str">
        <x:v>Negative</x:v>
      </x:c>
      <x:c r="K225" s="3" t="str">
        <x:v>High</x:v>
      </x:c>
      <x:c r="L225" s="3" t="str">
        <x:v>High</x:v>
      </x:c>
      <x:c r="M225" s="3" t="str">
        <x:v>Môi trường QA cô lập, DB/MinIO sẵn sàng; dữ liệu fixture đã tạo. Đăng nhập tài khoản ACTIVE, mustChangePassword=false.</x:v>
      </x:c>
      <x:c r="N225" s="3" t="str">
        <x:v>Tên=../qa.jpg</x:v>
      </x:c>
      <x:c r="O225" s="3" t="str">
        <x:v>1. Chuẩn bị Test Data
2. Upload qua /api/cms/upload-image
3. Kiểm tra UI, response và object</x:v>
      </x:c>
      <x:c r="P225" s="3" t="str">
        <x:v>Tên không cho phép ghi ngoài prefix; object key do server sinh, không giữ traversal.</x:v>
      </x:c>
      <x:c r="Q225" s="11" t="str"/>
      <x:c r="R225" s="8" t="str">
        <x:v>NOT RUN</x:v>
      </x:c>
      <x:c r="S225" s="11" t="str">
        <x:v>QA/UAT — cần điền URL/build</x:v>
      </x:c>
      <x:c r="T225" s="11" t="str">
        <x:v>Cần điền phiên bản thực</x:v>
      </x:c>
      <x:c r="U225" s="11" t="str"/>
      <x:c r="V225" s="12" t="str"/>
      <x:c r="W225" s="11" t="str"/>
      <x:c r="X225" s="11" t="str"/>
      <x:c r="Y225" s="3" t="str">
        <x:v>Nguồn: admin/src/app/api/cms/upload-image/route.ts. </x:v>
      </x:c>
    </x:row>
    <x:row r="226" ht="49" customHeight="1">
      <x:c r="A226" s="3" t="n">
        <x:v>225</x:v>
      </x:c>
      <x:c r="B226" s="3" t="str">
        <x:v>TC_MEDIA_017</x:v>
      </x:c>
      <x:c r="C226" s="3" t="str">
        <x:v>MEDIA</x:v>
      </x:c>
      <x:c r="D226" s="3" t="str">
        <x:v>Upload lỗi và tên tệp</x:v>
      </x:c>
      <x:c r="E226" s="3" t="str">
        <x:v>Upload lỗi và tên tệp</x:v>
      </x:c>
      <x:c r="F226" s="3" t="str">
        <x:v>Negative — Storage ngắt tại /api/cms/upload-image</x:v>
      </x:c>
      <x:c r="G226" s="3" t="str">
        <x:v>Storage ngắt tại /api/cms/upload-image</x:v>
      </x:c>
      <x:c r="H226" s="3" t="str">
        <x:v>NEWS-003</x:v>
      </x:c>
      <x:c r="I226" s="3" t="str">
        <x:v>QTV có quyền tương ứng</x:v>
      </x:c>
      <x:c r="J226" s="3" t="str">
        <x:v>Negative</x:v>
      </x:c>
      <x:c r="K226" s="3" t="str">
        <x:v>Medium</x:v>
      </x:c>
      <x:c r="L226" s="3" t="str">
        <x:v>Medium</x:v>
      </x:c>
      <x:c r="M226" s="3" t="str">
        <x:v>Môi trường QA cô lập, DB/MinIO sẵn sàng; dữ liệu fixture đã tạo. Đăng nhập tài khoản ACTIVE, mustChangePassword=false.</x:v>
      </x:c>
      <x:c r="N226" s="3" t="str">
        <x:v>Mock MinIO không kết nối</x:v>
      </x:c>
      <x:c r="O226" s="3" t="str">
        <x:v>1. Chuẩn bị Test Data
2. Upload qua /api/cms/upload-image
3. Kiểm tra UI, response và object</x:v>
      </x:c>
      <x:c r="P226" s="3" t="str">
        <x:v>Thông báo upload lỗi; không báo lưu thành công; ghi defect nếu lộ host/stack.</x:v>
      </x:c>
      <x:c r="Q226" s="11" t="str"/>
      <x:c r="R226" s="8" t="str">
        <x:v>NOT RUN</x:v>
      </x:c>
      <x:c r="S226" s="11" t="str">
        <x:v>QA/UAT — cần điền URL/build</x:v>
      </x:c>
      <x:c r="T226" s="11" t="str">
        <x:v>Cần điền phiên bản thực</x:v>
      </x:c>
      <x:c r="U226" s="11" t="str"/>
      <x:c r="V226" s="12" t="str"/>
      <x:c r="W226" s="11" t="str"/>
      <x:c r="X226" s="11" t="str"/>
      <x:c r="Y226" s="3" t="str">
        <x:v>Nguồn: admin/src/app/api/cms/upload-image/route.ts. </x:v>
      </x:c>
    </x:row>
    <x:row r="227" ht="49" customHeight="1">
      <x:c r="A227" s="3" t="n">
        <x:v>226</x:v>
      </x:c>
      <x:c r="B227" s="3" t="str">
        <x:v>TC_MEDIA_018</x:v>
      </x:c>
      <x:c r="C227" s="3" t="str">
        <x:v>MEDIA</x:v>
      </x:c>
      <x:c r="D227" s="3" t="str">
        <x:v>Upload lỗi và tên tệp</x:v>
      </x:c>
      <x:c r="E227" s="3" t="str">
        <x:v>Upload lỗi và tên tệp</x:v>
      </x:c>
      <x:c r="F227" s="3" t="str">
        <x:v>Negative — Mất mạng giữa upload tại /api/cms/upload-image</x:v>
      </x:c>
      <x:c r="G227" s="3" t="str">
        <x:v>Mất mạng giữa upload tại /api/cms/upload-image</x:v>
      </x:c>
      <x:c r="H227" s="3" t="str">
        <x:v>NEWS-003</x:v>
      </x:c>
      <x:c r="I227" s="3" t="str">
        <x:v>QTV có quyền tương ứng</x:v>
      </x:c>
      <x:c r="J227" s="3" t="str">
        <x:v>Negative</x:v>
      </x:c>
      <x:c r="K227" s="3" t="str">
        <x:v>Medium</x:v>
      </x:c>
      <x:c r="L227" s="3" t="str">
        <x:v>Medium</x:v>
      </x:c>
      <x:c r="M227" s="3" t="str">
        <x:v>Môi trường QA cô lập, DB/MinIO sẵn sàng; dữ liệu fixture đã tạo. Đăng nhập tài khoản ACTIVE, mustChangePassword=false.</x:v>
      </x:c>
      <x:c r="N227" s="3" t="str">
        <x:v>Ngắt kết nối khi multipart đang truyền</x:v>
      </x:c>
      <x:c r="O227" s="3" t="str">
        <x:v>1. Chuẩn bị Test Data
2. Upload qua /api/cms/upload-image
3. Kiểm tra UI, response và object</x:v>
      </x:c>
      <x:c r="P227" s="3" t="str">
        <x:v>UI thoát trạng thái loading khi timeout/lỗi; giữ nội dung; không gắn URL chưa hoàn tất.</x:v>
      </x:c>
      <x:c r="Q227" s="11" t="str"/>
      <x:c r="R227" s="8" t="str">
        <x:v>NOT RUN</x:v>
      </x:c>
      <x:c r="S227" s="11" t="str">
        <x:v>QA/UAT — cần điền URL/build</x:v>
      </x:c>
      <x:c r="T227" s="11" t="str">
        <x:v>Cần điền phiên bản thực</x:v>
      </x:c>
      <x:c r="U227" s="11" t="str"/>
      <x:c r="V227" s="12" t="str"/>
      <x:c r="W227" s="11" t="str"/>
      <x:c r="X227" s="11" t="str"/>
      <x:c r="Y227" s="3" t="str">
        <x:v>Nguồn: admin/src/app/api/cms/upload-image/route.ts. </x:v>
      </x:c>
    </x:row>
    <x:row r="228" ht="49" customHeight="1">
      <x:c r="A228" s="3" t="n">
        <x:v>227</x:v>
      </x:c>
      <x:c r="B228" s="3" t="str">
        <x:v>TC_WORD_001</x:v>
      </x:c>
      <x:c r="C228" s="3" t="str">
        <x:v>WORD</x:v>
      </x:c>
      <x:c r="D228" s="3" t="str">
        <x:v>Loại tệp</x:v>
      </x:c>
      <x:c r="E228" s="3" t="str">
        <x:v>Loại tệp</x:v>
      </x:c>
      <x:c r="F228" s="3" t="str">
        <x:v>Positive — Upload DOCX hợp lệ</x:v>
      </x:c>
      <x:c r="G228" s="3" t="str">
        <x:v>Upload DOCX hợp lệ</x:v>
      </x:c>
      <x:c r="H228" s="3" t="str">
        <x:v>NEWS-002</x:v>
      </x:c>
      <x:c r="I228" s="3" t="str">
        <x:v>QTV có quyền tương ứng</x:v>
      </x:c>
      <x:c r="J228" s="3" t="str">
        <x:v>Positive</x:v>
      </x:c>
      <x:c r="K228" s="3" t="str">
        <x:v>High</x:v>
      </x:c>
      <x:c r="L228" s="3" t="str">
        <x:v>High</x:v>
      </x:c>
      <x:c r="M228" s="3" t="str">
        <x:v>Môi trường QA cô lập, DB/MinIO sẵn sàng; dữ liệu fixture đã tạo. Đăng nhập tài khoản ACTIVE, mustChangePassword=false.</x:v>
      </x:c>
      <x:c r="N228" s="3" t="str">
        <x:v>File .docx thật với MIME/signature tương ứng; có nội dung đọc được.</x:v>
      </x:c>
      <x:c r="O228" s="3" t="str">
        <x:v>1. Đăng nhập quyền upload tương ứng
2. Gửi multipart file fixture .docx tới /api/cms/import-word
3. Mở URL trả về hoặc HTML import</x:v>
      </x:c>
      <x:c r="P228" s="3" t="str">
        <x:v>HTTP 200 success=true; HTML và excerpt được trả, hình có URL kho.</x:v>
      </x:c>
      <x:c r="Q228" s="11" t="str"/>
      <x:c r="R228" s="8" t="str">
        <x:v>NOT RUN</x:v>
      </x:c>
      <x:c r="S228" s="11" t="str">
        <x:v>QA/UAT — cần điền URL/build</x:v>
      </x:c>
      <x:c r="T228" s="11" t="str">
        <x:v>Cần điền phiên bản thực</x:v>
      </x:c>
      <x:c r="U228" s="11" t="str"/>
      <x:c r="V228" s="12" t="str"/>
      <x:c r="W228" s="11" t="str"/>
      <x:c r="X228" s="11" t="str"/>
      <x:c r="Y228" s="3" t="str">
        <x:v>Nguồn: admin/src/app/api/cms/import-word/route.ts. </x:v>
      </x:c>
    </x:row>
    <x:row r="229" ht="49" customHeight="1">
      <x:c r="A229" s="3" t="n">
        <x:v>228</x:v>
      </x:c>
      <x:c r="B229" s="3" t="str">
        <x:v>TC_WORD_008</x:v>
      </x:c>
      <x:c r="C229" s="3" t="str">
        <x:v>WORD</x:v>
      </x:c>
      <x:c r="D229" s="3" t="str">
        <x:v>Upload lỗi và tên tệp</x:v>
      </x:c>
      <x:c r="E229" s="3" t="str">
        <x:v>Upload lỗi và tên tệp</x:v>
      </x:c>
      <x:c r="F229" s="3" t="str">
        <x:v>Negative — Sai extension tại /api/cms/import-word</x:v>
      </x:c>
      <x:c r="G229" s="3" t="str">
        <x:v>Sai extension tại /api/cms/import-word</x:v>
      </x:c>
      <x:c r="H229" s="3" t="str">
        <x:v>NEWS-002</x:v>
      </x:c>
      <x:c r="I229" s="3" t="str">
        <x:v>QTV có quyền tương ứng</x:v>
      </x:c>
      <x:c r="J229" s="3" t="str">
        <x:v>Negative</x:v>
      </x:c>
      <x:c r="K229" s="3" t="str">
        <x:v>Medium</x:v>
      </x:c>
      <x:c r="L229" s="3" t="str">
        <x:v>Medium</x:v>
      </x:c>
      <x:c r="M229" s="3" t="str">
        <x:v>Môi trường QA cô lập, DB/MinIO sẵn sàng; dữ liệu fixture đã tạo. Đăng nhập tài khoản ACTIVE, mustChangePassword=false.</x:v>
      </x:c>
      <x:c r="N229" s="3" t="str">
        <x:v>File .exe văn bản vô hại</x:v>
      </x:c>
      <x:c r="O229" s="3" t="str">
        <x:v>1. Chuẩn bị Test Data
2. Upload qua /api/cms/import-word
3. Kiểm tra UI, response và object</x:v>
      </x:c>
      <x:c r="P229" s="3" t="str">
        <x:v>HTTP 415; không ghi object.</x:v>
      </x:c>
      <x:c r="Q229" s="11" t="str"/>
      <x:c r="R229" s="8" t="str">
        <x:v>NOT RUN</x:v>
      </x:c>
      <x:c r="S229" s="11" t="str">
        <x:v>QA/UAT — cần điền URL/build</x:v>
      </x:c>
      <x:c r="T229" s="11" t="str">
        <x:v>Cần điền phiên bản thực</x:v>
      </x:c>
      <x:c r="U229" s="11" t="str"/>
      <x:c r="V229" s="12" t="str"/>
      <x:c r="W229" s="11" t="str"/>
      <x:c r="X229" s="11" t="str"/>
      <x:c r="Y229" s="3" t="str">
        <x:v>Nguồn: admin/src/app/api/cms/import-word/route.ts. </x:v>
      </x:c>
    </x:row>
    <x:row r="230" ht="49" customHeight="1">
      <x:c r="A230" s="3" t="n">
        <x:v>229</x:v>
      </x:c>
      <x:c r="B230" s="3" t="str">
        <x:v>TC_WORD_009</x:v>
      </x:c>
      <x:c r="C230" s="3" t="str">
        <x:v>WORD</x:v>
      </x:c>
      <x:c r="D230" s="3" t="str">
        <x:v>Upload lỗi và tên tệp</x:v>
      </x:c>
      <x:c r="E230" s="3" t="str">
        <x:v>Upload lỗi và tên tệp</x:v>
      </x:c>
      <x:c r="F230" s="3" t="str">
        <x:v>Negative — Giả mạo extension tại /api/cms/import-word</x:v>
      </x:c>
      <x:c r="G230" s="3" t="str">
        <x:v>Giả mạo extension tại /api/cms/import-word</x:v>
      </x:c>
      <x:c r="H230" s="3" t="str">
        <x:v>NEWS-002</x:v>
      </x:c>
      <x:c r="I230" s="3" t="str">
        <x:v>QTV có quyền tương ứng</x:v>
      </x:c>
      <x:c r="J230" s="3" t="str">
        <x:v>Negative</x:v>
      </x:c>
      <x:c r="K230" s="3" t="str">
        <x:v>High</x:v>
      </x:c>
      <x:c r="L230" s="3" t="str">
        <x:v>High</x:v>
      </x:c>
      <x:c r="M230" s="3" t="str">
        <x:v>Môi trường QA cô lập, DB/MinIO sẵn sàng; dữ liệu fixture đã tạo. Đăng nhập tài khoản ACTIVE, mustChangePassword=false.</x:v>
      </x:c>
      <x:c r="N230" s="3" t="str">
        <x:v>Text đổi tên thành .png/.pdf/.docx</x:v>
      </x:c>
      <x:c r="O230" s="3" t="str">
        <x:v>1. Chuẩn bị Test Data
2. Upload qua /api/cms/import-word
3. Kiểm tra UI, response và object</x:v>
      </x:c>
      <x:c r="P230" s="3" t="str">
        <x:v>Từ chối file không phải định dạng hỗ trợ; không có object có thể thực thi; nếu parser 500 ghi defect.</x:v>
      </x:c>
      <x:c r="Q230" s="11" t="str"/>
      <x:c r="R230" s="8" t="str">
        <x:v>NOT RUN</x:v>
      </x:c>
      <x:c r="S230" s="11" t="str">
        <x:v>QA/UAT — cần điền URL/build</x:v>
      </x:c>
      <x:c r="T230" s="11" t="str">
        <x:v>Cần điền phiên bản thực</x:v>
      </x:c>
      <x:c r="U230" s="11" t="str"/>
      <x:c r="V230" s="12" t="str"/>
      <x:c r="W230" s="11" t="str"/>
      <x:c r="X230" s="11" t="str"/>
      <x:c r="Y230" s="3" t="str">
        <x:v>Nguồn: admin/src/app/api/cms/import-word/route.ts. </x:v>
      </x:c>
    </x:row>
    <x:row r="231" ht="49" customHeight="1">
      <x:c r="A231" s="3" t="n">
        <x:v>230</x:v>
      </x:c>
      <x:c r="B231" s="3" t="str">
        <x:v>TC_WORD_010</x:v>
      </x:c>
      <x:c r="C231" s="3" t="str">
        <x:v>WORD</x:v>
      </x:c>
      <x:c r="D231" s="3" t="str">
        <x:v>Upload lỗi và tên tệp</x:v>
      </x:c>
      <x:c r="E231" s="3" t="str">
        <x:v>Upload lỗi và tên tệp</x:v>
      </x:c>
      <x:c r="F231" s="3" t="str">
        <x:v>Negative — Header hợp lệ nhưng file hỏng tại /api/cms/import-word</x:v>
      </x:c>
      <x:c r="G231" s="3" t="str">
        <x:v>Header hợp lệ nhưng file hỏng tại /api/cms/import-word</x:v>
      </x:c>
      <x:c r="H231" s="3" t="str">
        <x:v>NEWS-002</x:v>
      </x:c>
      <x:c r="I231" s="3" t="str">
        <x:v>QTV có quyền tương ứng</x:v>
      </x:c>
      <x:c r="J231" s="3" t="str">
        <x:v>Negative</x:v>
      </x:c>
      <x:c r="K231" s="3" t="str">
        <x:v>Medium</x:v>
      </x:c>
      <x:c r="L231" s="3" t="str">
        <x:v>Medium</x:v>
      </x:c>
      <x:c r="M231" s="3" t="str">
        <x:v>Môi trường QA cô lập, DB/MinIO sẵn sàng; dữ liệu fixture đã tạo. Đăng nhập tài khoản ACTIVE, mustChangePassword=false.</x:v>
      </x:c>
      <x:c r="N231" s="3" t="str">
        <x:v>Chỉ magic bytes đúng, phần dữ liệu bị cắt</x:v>
      </x:c>
      <x:c r="O231" s="3" t="str">
        <x:v>1. Chuẩn bị Test Data
2. Upload qua /api/cms/import-word
3. Kiểm tra UI, response và object</x:v>
      </x:c>
      <x:c r="P231" s="3" t="str">
        <x:v>Không công bố file hỏng như upload hoàn chỉnh; ghi nhận lỗ hổng kiểm tra signature nếu nhận 200.</x:v>
      </x:c>
      <x:c r="Q231" s="11" t="str"/>
      <x:c r="R231" s="8" t="str">
        <x:v>NOT RUN</x:v>
      </x:c>
      <x:c r="S231" s="11" t="str">
        <x:v>QA/UAT — cần điền URL/build</x:v>
      </x:c>
      <x:c r="T231" s="11" t="str">
        <x:v>Cần điền phiên bản thực</x:v>
      </x:c>
      <x:c r="U231" s="11" t="str"/>
      <x:c r="V231" s="12" t="str"/>
      <x:c r="W231" s="11" t="str"/>
      <x:c r="X231" s="11" t="str"/>
      <x:c r="Y231" s="3" t="str">
        <x:v>Nguồn: admin/src/app/api/cms/import-word/route.ts. </x:v>
      </x:c>
    </x:row>
    <x:row r="232" ht="49" customHeight="1">
      <x:c r="A232" s="3" t="n">
        <x:v>231</x:v>
      </x:c>
      <x:c r="B232" s="3" t="str">
        <x:v>TC_WORD_011</x:v>
      </x:c>
      <x:c r="C232" s="3" t="str">
        <x:v>WORD</x:v>
      </x:c>
      <x:c r="D232" s="3" t="str">
        <x:v>Upload lỗi và tên tệp</x:v>
      </x:c>
      <x:c r="E232" s="3" t="str">
        <x:v>Upload lỗi và tên tệp</x:v>
      </x:c>
      <x:c r="F232" s="3" t="str">
        <x:v>Alternative — Tên tiếng Việt tại /api/cms/import-word</x:v>
      </x:c>
      <x:c r="G232" s="3" t="str">
        <x:v>Tên tiếng Việt tại /api/cms/import-word</x:v>
      </x:c>
      <x:c r="H232" s="3" t="str">
        <x:v>NEWS-002</x:v>
      </x:c>
      <x:c r="I232" s="3" t="str">
        <x:v>QTV có quyền tương ứng</x:v>
      </x:c>
      <x:c r="J232" s="3" t="str">
        <x:v>Alternative</x:v>
      </x:c>
      <x:c r="K232" s="3" t="str">
        <x:v>Medium</x:v>
      </x:c>
      <x:c r="L232" s="3" t="str">
        <x:v>Medium</x:v>
      </x:c>
      <x:c r="M232" s="3" t="str">
        <x:v>Môi trường QA cô lập, DB/MinIO sẵn sàng; dữ liệu fixture đã tạo. Đăng nhập tài khoản ACTIVE, mustChangePassword=false.</x:v>
      </x:c>
      <x:c r="N232" s="3" t="str">
        <x:v>Tên=Thông báo QA 01.docx</x:v>
      </x:c>
      <x:c r="O232" s="3" t="str">
        <x:v>1. Chuẩn bị Test Data
2. Upload qua /api/cms/import-word
3. Kiểm tra UI, response và object</x:v>
      </x:c>
      <x:c r="P232" s="3" t="str">
        <x:v>Không lỗi encoding; object key an toàn; dữ liệu trả có thể mở.</x:v>
      </x:c>
      <x:c r="Q232" s="11" t="str"/>
      <x:c r="R232" s="8" t="str">
        <x:v>NOT RUN</x:v>
      </x:c>
      <x:c r="S232" s="11" t="str">
        <x:v>QA/UAT — cần điền URL/build</x:v>
      </x:c>
      <x:c r="T232" s="11" t="str">
        <x:v>Cần điền phiên bản thực</x:v>
      </x:c>
      <x:c r="U232" s="11" t="str"/>
      <x:c r="V232" s="12" t="str"/>
      <x:c r="W232" s="11" t="str"/>
      <x:c r="X232" s="11" t="str"/>
      <x:c r="Y232" s="3" t="str">
        <x:v>Nguồn: admin/src/app/api/cms/import-word/route.ts. </x:v>
      </x:c>
    </x:row>
    <x:row r="233" ht="49" customHeight="1">
      <x:c r="A233" s="3" t="n">
        <x:v>232</x:v>
      </x:c>
      <x:c r="B233" s="3" t="str">
        <x:v>TC_WORD_012</x:v>
      </x:c>
      <x:c r="C233" s="3" t="str">
        <x:v>WORD</x:v>
      </x:c>
      <x:c r="D233" s="3" t="str">
        <x:v>Upload lỗi và tên tệp</x:v>
      </x:c>
      <x:c r="E233" s="3" t="str">
        <x:v>Upload lỗi và tên tệp</x:v>
      </x:c>
      <x:c r="F233" s="3" t="str">
        <x:v>Alternative — Trùng tên tại /api/cms/import-word</x:v>
      </x:c>
      <x:c r="G233" s="3" t="str">
        <x:v>Trùng tên tại /api/cms/import-word</x:v>
      </x:c>
      <x:c r="H233" s="3" t="str">
        <x:v>NEWS-002</x:v>
      </x:c>
      <x:c r="I233" s="3" t="str">
        <x:v>QTV có quyền tương ứng</x:v>
      </x:c>
      <x:c r="J233" s="3" t="str">
        <x:v>Alternative</x:v>
      </x:c>
      <x:c r="K233" s="3" t="str">
        <x:v>Medium</x:v>
      </x:c>
      <x:c r="L233" s="3" t="str">
        <x:v>Medium</x:v>
      </x:c>
      <x:c r="M233" s="3" t="str">
        <x:v>Môi trường QA cô lập, DB/MinIO sẵn sàng; dữ liệu fixture đã tạo. Đăng nhập tài khoản ACTIVE, mustChangePassword=false.</x:v>
      </x:c>
      <x:c r="N233" s="3" t="str">
        <x:v>Upload hai file khác nội dung cùng tên</x:v>
      </x:c>
      <x:c r="O233" s="3" t="str">
        <x:v>1. Chuẩn bị Test Data
2. Upload qua /api/cms/import-word
3. Kiểm tra UI, response và object</x:v>
      </x:c>
      <x:c r="P233" s="3" t="str">
        <x:v>Object key khác nhau; file thứ nhất không bị ghi đè.</x:v>
      </x:c>
      <x:c r="Q233" s="11" t="str"/>
      <x:c r="R233" s="8" t="str">
        <x:v>NOT RUN</x:v>
      </x:c>
      <x:c r="S233" s="11" t="str">
        <x:v>QA/UAT — cần điền URL/build</x:v>
      </x:c>
      <x:c r="T233" s="11" t="str">
        <x:v>Cần điền phiên bản thực</x:v>
      </x:c>
      <x:c r="U233" s="11" t="str"/>
      <x:c r="V233" s="12" t="str"/>
      <x:c r="W233" s="11" t="str"/>
      <x:c r="X233" s="11" t="str"/>
      <x:c r="Y233" s="3" t="str">
        <x:v>Nguồn: admin/src/app/api/cms/import-word/route.ts. </x:v>
      </x:c>
    </x:row>
    <x:row r="234" ht="49" customHeight="1">
      <x:c r="A234" s="3" t="n">
        <x:v>233</x:v>
      </x:c>
      <x:c r="B234" s="3" t="str">
        <x:v>TC_WORD_013</x:v>
      </x:c>
      <x:c r="C234" s="3" t="str">
        <x:v>WORD</x:v>
      </x:c>
      <x:c r="D234" s="3" t="str">
        <x:v>Upload lỗi và tên tệp</x:v>
      </x:c>
      <x:c r="E234" s="3" t="str">
        <x:v>Upload lỗi và tên tệp</x:v>
      </x:c>
      <x:c r="F234" s="3" t="str">
        <x:v>Negative — Tên có traversal tại /api/cms/import-word</x:v>
      </x:c>
      <x:c r="G234" s="3" t="str">
        <x:v>Tên có traversal tại /api/cms/import-word</x:v>
      </x:c>
      <x:c r="H234" s="3" t="str">
        <x:v>NEWS-002</x:v>
      </x:c>
      <x:c r="I234" s="3" t="str">
        <x:v>QTV có quyền tương ứng</x:v>
      </x:c>
      <x:c r="J234" s="3" t="str">
        <x:v>Negative</x:v>
      </x:c>
      <x:c r="K234" s="3" t="str">
        <x:v>High</x:v>
      </x:c>
      <x:c r="L234" s="3" t="str">
        <x:v>High</x:v>
      </x:c>
      <x:c r="M234" s="3" t="str">
        <x:v>Môi trường QA cô lập, DB/MinIO sẵn sàng; dữ liệu fixture đã tạo. Đăng nhập tài khoản ACTIVE, mustChangePassword=false.</x:v>
      </x:c>
      <x:c r="N234" s="3" t="str">
        <x:v>Tên=../qa.docx</x:v>
      </x:c>
      <x:c r="O234" s="3" t="str">
        <x:v>1. Chuẩn bị Test Data
2. Upload qua /api/cms/import-word
3. Kiểm tra UI, response và object</x:v>
      </x:c>
      <x:c r="P234" s="3" t="str">
        <x:v>Tên không cho phép ghi ngoài prefix; object key do server sinh, không giữ traversal.</x:v>
      </x:c>
      <x:c r="Q234" s="11" t="str"/>
      <x:c r="R234" s="8" t="str">
        <x:v>NOT RUN</x:v>
      </x:c>
      <x:c r="S234" s="11" t="str">
        <x:v>QA/UAT — cần điền URL/build</x:v>
      </x:c>
      <x:c r="T234" s="11" t="str">
        <x:v>Cần điền phiên bản thực</x:v>
      </x:c>
      <x:c r="U234" s="11" t="str"/>
      <x:c r="V234" s="12" t="str"/>
      <x:c r="W234" s="11" t="str"/>
      <x:c r="X234" s="11" t="str"/>
      <x:c r="Y234" s="3" t="str">
        <x:v>Nguồn: admin/src/app/api/cms/import-word/route.ts. </x:v>
      </x:c>
    </x:row>
    <x:row r="235" ht="49" customHeight="1">
      <x:c r="A235" s="3" t="n">
        <x:v>234</x:v>
      </x:c>
      <x:c r="B235" s="3" t="str">
        <x:v>TC_WORD_014</x:v>
      </x:c>
      <x:c r="C235" s="3" t="str">
        <x:v>WORD</x:v>
      </x:c>
      <x:c r="D235" s="3" t="str">
        <x:v>Upload lỗi và tên tệp</x:v>
      </x:c>
      <x:c r="E235" s="3" t="str">
        <x:v>Upload lỗi và tên tệp</x:v>
      </x:c>
      <x:c r="F235" s="3" t="str">
        <x:v>Negative — Storage ngắt tại /api/cms/import-word</x:v>
      </x:c>
      <x:c r="G235" s="3" t="str">
        <x:v>Storage ngắt tại /api/cms/import-word</x:v>
      </x:c>
      <x:c r="H235" s="3" t="str">
        <x:v>NEWS-002</x:v>
      </x:c>
      <x:c r="I235" s="3" t="str">
        <x:v>QTV có quyền tương ứng</x:v>
      </x:c>
      <x:c r="J235" s="3" t="str">
        <x:v>Negative</x:v>
      </x:c>
      <x:c r="K235" s="3" t="str">
        <x:v>Medium</x:v>
      </x:c>
      <x:c r="L235" s="3" t="str">
        <x:v>Medium</x:v>
      </x:c>
      <x:c r="M235" s="3" t="str">
        <x:v>Môi trường QA cô lập, DB/MinIO sẵn sàng; dữ liệu fixture đã tạo. Đăng nhập tài khoản ACTIVE, mustChangePassword=false.</x:v>
      </x:c>
      <x:c r="N235" s="3" t="str">
        <x:v>Mock MinIO không kết nối</x:v>
      </x:c>
      <x:c r="O235" s="3" t="str">
        <x:v>1. Chuẩn bị Test Data
2. Upload qua /api/cms/import-word
3. Kiểm tra UI, response và object</x:v>
      </x:c>
      <x:c r="P235" s="3" t="str">
        <x:v>Thông báo upload lỗi; không báo lưu thành công; ghi defect nếu lộ host/stack.</x:v>
      </x:c>
      <x:c r="Q235" s="11" t="str"/>
      <x:c r="R235" s="8" t="str">
        <x:v>NOT RUN</x:v>
      </x:c>
      <x:c r="S235" s="11" t="str">
        <x:v>QA/UAT — cần điền URL/build</x:v>
      </x:c>
      <x:c r="T235" s="11" t="str">
        <x:v>Cần điền phiên bản thực</x:v>
      </x:c>
      <x:c r="U235" s="11" t="str"/>
      <x:c r="V235" s="12" t="str"/>
      <x:c r="W235" s="11" t="str"/>
      <x:c r="X235" s="11" t="str"/>
      <x:c r="Y235" s="3" t="str">
        <x:v>Nguồn: admin/src/app/api/cms/import-word/route.ts. </x:v>
      </x:c>
    </x:row>
    <x:row r="236" ht="49" customHeight="1">
      <x:c r="A236" s="3" t="n">
        <x:v>235</x:v>
      </x:c>
      <x:c r="B236" s="3" t="str">
        <x:v>TC_WORD_015</x:v>
      </x:c>
      <x:c r="C236" s="3" t="str">
        <x:v>WORD</x:v>
      </x:c>
      <x:c r="D236" s="3" t="str">
        <x:v>Upload lỗi và tên tệp</x:v>
      </x:c>
      <x:c r="E236" s="3" t="str">
        <x:v>Upload lỗi và tên tệp</x:v>
      </x:c>
      <x:c r="F236" s="3" t="str">
        <x:v>Negative — Mất mạng giữa upload tại /api/cms/import-word</x:v>
      </x:c>
      <x:c r="G236" s="3" t="str">
        <x:v>Mất mạng giữa upload tại /api/cms/import-word</x:v>
      </x:c>
      <x:c r="H236" s="3" t="str">
        <x:v>NEWS-002</x:v>
      </x:c>
      <x:c r="I236" s="3" t="str">
        <x:v>QTV có quyền tương ứng</x:v>
      </x:c>
      <x:c r="J236" s="3" t="str">
        <x:v>Negative</x:v>
      </x:c>
      <x:c r="K236" s="3" t="str">
        <x:v>Medium</x:v>
      </x:c>
      <x:c r="L236" s="3" t="str">
        <x:v>Medium</x:v>
      </x:c>
      <x:c r="M236" s="3" t="str">
        <x:v>Môi trường QA cô lập, DB/MinIO sẵn sàng; dữ liệu fixture đã tạo. Đăng nhập tài khoản ACTIVE, mustChangePassword=false.</x:v>
      </x:c>
      <x:c r="N236" s="3" t="str">
        <x:v>Ngắt kết nối khi multipart đang truyền</x:v>
      </x:c>
      <x:c r="O236" s="3" t="str">
        <x:v>1. Chuẩn bị Test Data
2. Upload qua /api/cms/import-word
3. Kiểm tra UI, response và object</x:v>
      </x:c>
      <x:c r="P236" s="3" t="str">
        <x:v>UI thoát trạng thái loading khi timeout/lỗi; giữ nội dung; không gắn URL chưa hoàn tất.</x:v>
      </x:c>
      <x:c r="Q236" s="11" t="str"/>
      <x:c r="R236" s="8" t="str">
        <x:v>NOT RUN</x:v>
      </x:c>
      <x:c r="S236" s="11" t="str">
        <x:v>QA/UAT — cần điền URL/build</x:v>
      </x:c>
      <x:c r="T236" s="11" t="str">
        <x:v>Cần điền phiên bản thực</x:v>
      </x:c>
      <x:c r="U236" s="11" t="str"/>
      <x:c r="V236" s="12" t="str"/>
      <x:c r="W236" s="11" t="str"/>
      <x:c r="X236" s="11" t="str"/>
      <x:c r="Y236" s="3" t="str">
        <x:v>Nguồn: admin/src/app/api/cms/import-word/route.ts. </x:v>
      </x:c>
    </x:row>
    <x:row r="237" ht="49" customHeight="1">
      <x:c r="A237" s="3" t="n">
        <x:v>236</x:v>
      </x:c>
      <x:c r="B237" s="3" t="str">
        <x:v>TC_UPLOAD_001</x:v>
      </x:c>
      <x:c r="C237" s="3" t="str">
        <x:v>UPLOAD</x:v>
      </x:c>
      <x:c r="D237" s="3" t="str">
        <x:v>Loại tệp</x:v>
      </x:c>
      <x:c r="E237" s="3" t="str">
        <x:v>Loại tệp</x:v>
      </x:c>
      <x:c r="F237" s="3" t="str">
        <x:v>Positive — Upload PDF hợp lệ</x:v>
      </x:c>
      <x:c r="G237" s="3" t="str">
        <x:v>Upload PDF hợp lệ</x:v>
      </x:c>
      <x:c r="H237" s="3" t="str">
        <x:v>RES-001</x:v>
      </x:c>
      <x:c r="I237" s="3" t="str">
        <x:v>QTV có quyền tương ứng</x:v>
      </x:c>
      <x:c r="J237" s="3" t="str">
        <x:v>Positive</x:v>
      </x:c>
      <x:c r="K237" s="3" t="str">
        <x:v>High</x:v>
      </x:c>
      <x:c r="L237" s="3" t="str">
        <x:v>High</x:v>
      </x:c>
      <x:c r="M237" s="3" t="str">
        <x:v>Môi trường QA cô lập, DB/MinIO sẵn sàng; dữ liệu fixture đã tạo. Đăng nhập tài khoản ACTIVE, mustChangePassword=false.</x:v>
      </x:c>
      <x:c r="N237" s="3" t="str">
        <x:v>File .pdf thật với MIME/signature tương ứng; có nội dung đọc được.</x:v>
      </x:c>
      <x:c r="O237" s="3" t="str">
        <x:v>1. Đăng nhập quyền upload tương ứng
2. Gửi multipart file fixture .pdf tới /api/cms/upload-resource
3. Mở URL trả về hoặc HTML import</x:v>
      </x:c>
      <x:c r="P237" s="3" t="str">
        <x:v>HTTP 200 success=true; URL nội bộ /api/media/ tải được đúng bytes/MIME của fixture.</x:v>
      </x:c>
      <x:c r="Q237" s="11" t="str"/>
      <x:c r="R237" s="8" t="str">
        <x:v>NOT RUN</x:v>
      </x:c>
      <x:c r="S237" s="11" t="str">
        <x:v>QA/UAT — cần điền URL/build</x:v>
      </x:c>
      <x:c r="T237" s="11" t="str">
        <x:v>Cần điền phiên bản thực</x:v>
      </x:c>
      <x:c r="U237" s="11" t="str"/>
      <x:c r="V237" s="12" t="str"/>
      <x:c r="W237" s="11" t="str"/>
      <x:c r="X237" s="11" t="str"/>
      <x:c r="Y237" s="3" t="str">
        <x:v>Nguồn: admin/src/app/api/cms/upload-resource/route.ts. </x:v>
      </x:c>
    </x:row>
    <x:row r="238" ht="49" customHeight="1">
      <x:c r="A238" s="3" t="n">
        <x:v>237</x:v>
      </x:c>
      <x:c r="B238" s="3" t="str">
        <x:v>TC_UPLOAD_002</x:v>
      </x:c>
      <x:c r="C238" s="3" t="str">
        <x:v>UPLOAD</x:v>
      </x:c>
      <x:c r="D238" s="3" t="str">
        <x:v>Loại tệp</x:v>
      </x:c>
      <x:c r="E238" s="3" t="str">
        <x:v>Loại tệp</x:v>
      </x:c>
      <x:c r="F238" s="3" t="str">
        <x:v>Positive — Upload DOC hợp lệ</x:v>
      </x:c>
      <x:c r="G238" s="3" t="str">
        <x:v>Upload DOC hợp lệ</x:v>
      </x:c>
      <x:c r="H238" s="3" t="str">
        <x:v>RES-001</x:v>
      </x:c>
      <x:c r="I238" s="3" t="str">
        <x:v>QTV có quyền tương ứng</x:v>
      </x:c>
      <x:c r="J238" s="3" t="str">
        <x:v>Positive</x:v>
      </x:c>
      <x:c r="K238" s="3" t="str">
        <x:v>High</x:v>
      </x:c>
      <x:c r="L238" s="3" t="str">
        <x:v>High</x:v>
      </x:c>
      <x:c r="M238" s="3" t="str">
        <x:v>Môi trường QA cô lập, DB/MinIO sẵn sàng; dữ liệu fixture đã tạo. Đăng nhập tài khoản ACTIVE, mustChangePassword=false.</x:v>
      </x:c>
      <x:c r="N238" s="3" t="str">
        <x:v>File .doc thật với MIME/signature tương ứng; có nội dung đọc được.</x:v>
      </x:c>
      <x:c r="O238" s="3" t="str">
        <x:v>1. Đăng nhập quyền upload tương ứng
2. Gửi multipart file fixture .doc tới /api/cms/upload-resource
3. Mở URL trả về hoặc HTML import</x:v>
      </x:c>
      <x:c r="P238" s="3" t="str">
        <x:v>HTTP 200 success=true; URL nội bộ /api/media/ tải được đúng bytes/MIME của fixture.</x:v>
      </x:c>
      <x:c r="Q238" s="11" t="str"/>
      <x:c r="R238" s="8" t="str">
        <x:v>NOT RUN</x:v>
      </x:c>
      <x:c r="S238" s="11" t="str">
        <x:v>QA/UAT — cần điền URL/build</x:v>
      </x:c>
      <x:c r="T238" s="11" t="str">
        <x:v>Cần điền phiên bản thực</x:v>
      </x:c>
      <x:c r="U238" s="11" t="str"/>
      <x:c r="V238" s="12" t="str"/>
      <x:c r="W238" s="11" t="str"/>
      <x:c r="X238" s="11" t="str"/>
      <x:c r="Y238" s="3" t="str">
        <x:v>Nguồn: admin/src/app/api/cms/upload-resource/route.ts. </x:v>
      </x:c>
    </x:row>
    <x:row r="239" ht="49" customHeight="1">
      <x:c r="A239" s="3" t="n">
        <x:v>238</x:v>
      </x:c>
      <x:c r="B239" s="3" t="str">
        <x:v>TC_UPLOAD_003</x:v>
      </x:c>
      <x:c r="C239" s="3" t="str">
        <x:v>UPLOAD</x:v>
      </x:c>
      <x:c r="D239" s="3" t="str">
        <x:v>Loại tệp</x:v>
      </x:c>
      <x:c r="E239" s="3" t="str">
        <x:v>Loại tệp</x:v>
      </x:c>
      <x:c r="F239" s="3" t="str">
        <x:v>Positive — Upload DOCX hợp lệ</x:v>
      </x:c>
      <x:c r="G239" s="3" t="str">
        <x:v>Upload DOCX hợp lệ</x:v>
      </x:c>
      <x:c r="H239" s="3" t="str">
        <x:v>RES-001</x:v>
      </x:c>
      <x:c r="I239" s="3" t="str">
        <x:v>QTV có quyền tương ứng</x:v>
      </x:c>
      <x:c r="J239" s="3" t="str">
        <x:v>Positive</x:v>
      </x:c>
      <x:c r="K239" s="3" t="str">
        <x:v>High</x:v>
      </x:c>
      <x:c r="L239" s="3" t="str">
        <x:v>High</x:v>
      </x:c>
      <x:c r="M239" s="3" t="str">
        <x:v>Môi trường QA cô lập, DB/MinIO sẵn sàng; dữ liệu fixture đã tạo. Đăng nhập tài khoản ACTIVE, mustChangePassword=false.</x:v>
      </x:c>
      <x:c r="N239" s="3" t="str">
        <x:v>File .docx thật với MIME/signature tương ứng; có nội dung đọc được.</x:v>
      </x:c>
      <x:c r="O239" s="3" t="str">
        <x:v>1. Đăng nhập quyền upload tương ứng
2. Gửi multipart file fixture .docx tới /api/cms/upload-resource
3. Mở URL trả về hoặc HTML import</x:v>
      </x:c>
      <x:c r="P239" s="3" t="str">
        <x:v>HTTP 200 success=true; URL nội bộ /api/media/ tải được đúng bytes/MIME của fixture.</x:v>
      </x:c>
      <x:c r="Q239" s="11" t="str"/>
      <x:c r="R239" s="8" t="str">
        <x:v>NOT RUN</x:v>
      </x:c>
      <x:c r="S239" s="11" t="str">
        <x:v>QA/UAT — cần điền URL/build</x:v>
      </x:c>
      <x:c r="T239" s="11" t="str">
        <x:v>Cần điền phiên bản thực</x:v>
      </x:c>
      <x:c r="U239" s="11" t="str"/>
      <x:c r="V239" s="12" t="str"/>
      <x:c r="W239" s="11" t="str"/>
      <x:c r="X239" s="11" t="str"/>
      <x:c r="Y239" s="3" t="str">
        <x:v>Nguồn: admin/src/app/api/cms/upload-resource/route.ts. </x:v>
      </x:c>
    </x:row>
    <x:row r="240" ht="49" customHeight="1">
      <x:c r="A240" s="3" t="n">
        <x:v>239</x:v>
      </x:c>
      <x:c r="B240" s="3" t="str">
        <x:v>TC_UPLOAD_004</x:v>
      </x:c>
      <x:c r="C240" s="3" t="str">
        <x:v>UPLOAD</x:v>
      </x:c>
      <x:c r="D240" s="3" t="str">
        <x:v>Loại tệp</x:v>
      </x:c>
      <x:c r="E240" s="3" t="str">
        <x:v>Loại tệp</x:v>
      </x:c>
      <x:c r="F240" s="3" t="str">
        <x:v>Positive — Upload XLS hợp lệ</x:v>
      </x:c>
      <x:c r="G240" s="3" t="str">
        <x:v>Upload XLS hợp lệ</x:v>
      </x:c>
      <x:c r="H240" s="3" t="str">
        <x:v>RES-001</x:v>
      </x:c>
      <x:c r="I240" s="3" t="str">
        <x:v>QTV có quyền tương ứng</x:v>
      </x:c>
      <x:c r="J240" s="3" t="str">
        <x:v>Positive</x:v>
      </x:c>
      <x:c r="K240" s="3" t="str">
        <x:v>High</x:v>
      </x:c>
      <x:c r="L240" s="3" t="str">
        <x:v>High</x:v>
      </x:c>
      <x:c r="M240" s="3" t="str">
        <x:v>Môi trường QA cô lập, DB/MinIO sẵn sàng; dữ liệu fixture đã tạo. Đăng nhập tài khoản ACTIVE, mustChangePassword=false.</x:v>
      </x:c>
      <x:c r="N240" s="3" t="str">
        <x:v>File .xls thật với MIME/signature tương ứng; có nội dung đọc được.</x:v>
      </x:c>
      <x:c r="O240" s="3" t="str">
        <x:v>1. Đăng nhập quyền upload tương ứng
2. Gửi multipart file fixture .xls tới /api/cms/upload-resource
3. Mở URL trả về hoặc HTML import</x:v>
      </x:c>
      <x:c r="P240" s="3" t="str">
        <x:v>HTTP 200 success=true; URL nội bộ /api/media/ tải được đúng bytes/MIME của fixture.</x:v>
      </x:c>
      <x:c r="Q240" s="11" t="str"/>
      <x:c r="R240" s="8" t="str">
        <x:v>NOT RUN</x:v>
      </x:c>
      <x:c r="S240" s="11" t="str">
        <x:v>QA/UAT — cần điền URL/build</x:v>
      </x:c>
      <x:c r="T240" s="11" t="str">
        <x:v>Cần điền phiên bản thực</x:v>
      </x:c>
      <x:c r="U240" s="11" t="str"/>
      <x:c r="V240" s="12" t="str"/>
      <x:c r="W240" s="11" t="str"/>
      <x:c r="X240" s="11" t="str"/>
      <x:c r="Y240" s="3" t="str">
        <x:v>Nguồn: admin/src/app/api/cms/upload-resource/route.ts. </x:v>
      </x:c>
    </x:row>
    <x:row r="241" ht="49" customHeight="1">
      <x:c r="A241" s="3" t="n">
        <x:v>240</x:v>
      </x:c>
      <x:c r="B241" s="3" t="str">
        <x:v>TC_UPLOAD_005</x:v>
      </x:c>
      <x:c r="C241" s="3" t="str">
        <x:v>UPLOAD</x:v>
      </x:c>
      <x:c r="D241" s="3" t="str">
        <x:v>Loại tệp</x:v>
      </x:c>
      <x:c r="E241" s="3" t="str">
        <x:v>Loại tệp</x:v>
      </x:c>
      <x:c r="F241" s="3" t="str">
        <x:v>Positive — Upload XLSX hợp lệ</x:v>
      </x:c>
      <x:c r="G241" s="3" t="str">
        <x:v>Upload XLSX hợp lệ</x:v>
      </x:c>
      <x:c r="H241" s="3" t="str">
        <x:v>RES-001</x:v>
      </x:c>
      <x:c r="I241" s="3" t="str">
        <x:v>QTV có quyền tương ứng</x:v>
      </x:c>
      <x:c r="J241" s="3" t="str">
        <x:v>Positive</x:v>
      </x:c>
      <x:c r="K241" s="3" t="str">
        <x:v>High</x:v>
      </x:c>
      <x:c r="L241" s="3" t="str">
        <x:v>High</x:v>
      </x:c>
      <x:c r="M241" s="3" t="str">
        <x:v>Môi trường QA cô lập, DB/MinIO sẵn sàng; dữ liệu fixture đã tạo. Đăng nhập tài khoản ACTIVE, mustChangePassword=false.</x:v>
      </x:c>
      <x:c r="N241" s="3" t="str">
        <x:v>File .xlsx thật với MIME/signature tương ứng; có nội dung đọc được.</x:v>
      </x:c>
      <x:c r="O241" s="3" t="str">
        <x:v>1. Đăng nhập quyền upload tương ứng
2. Gửi multipart file fixture .xlsx tới /api/cms/upload-resource
3. Mở URL trả về hoặc HTML import</x:v>
      </x:c>
      <x:c r="P241" s="3" t="str">
        <x:v>HTTP 200 success=true; URL nội bộ /api/media/ tải được đúng bytes/MIME của fixture.</x:v>
      </x:c>
      <x:c r="Q241" s="11" t="str"/>
      <x:c r="R241" s="8" t="str">
        <x:v>NOT RUN</x:v>
      </x:c>
      <x:c r="S241" s="11" t="str">
        <x:v>QA/UAT — cần điền URL/build</x:v>
      </x:c>
      <x:c r="T241" s="11" t="str">
        <x:v>Cần điền phiên bản thực</x:v>
      </x:c>
      <x:c r="U241" s="11" t="str"/>
      <x:c r="V241" s="12" t="str"/>
      <x:c r="W241" s="11" t="str"/>
      <x:c r="X241" s="11" t="str"/>
      <x:c r="Y241" s="3" t="str">
        <x:v>Nguồn: admin/src/app/api/cms/upload-resource/route.ts. </x:v>
      </x:c>
    </x:row>
    <x:row r="242" ht="49" customHeight="1">
      <x:c r="A242" s="3" t="n">
        <x:v>241</x:v>
      </x:c>
      <x:c r="B242" s="3" t="str">
        <x:v>TC_UPLOAD_006</x:v>
      </x:c>
      <x:c r="C242" s="3" t="str">
        <x:v>UPLOAD</x:v>
      </x:c>
      <x:c r="D242" s="3" t="str">
        <x:v>Loại tệp</x:v>
      </x:c>
      <x:c r="E242" s="3" t="str">
        <x:v>Loại tệp</x:v>
      </x:c>
      <x:c r="F242" s="3" t="str">
        <x:v>Positive — Upload JPG hợp lệ</x:v>
      </x:c>
      <x:c r="G242" s="3" t="str">
        <x:v>Upload JPG hợp lệ</x:v>
      </x:c>
      <x:c r="H242" s="3" t="str">
        <x:v>RES-001</x:v>
      </x:c>
      <x:c r="I242" s="3" t="str">
        <x:v>QTV có quyền tương ứng</x:v>
      </x:c>
      <x:c r="J242" s="3" t="str">
        <x:v>Positive</x:v>
      </x:c>
      <x:c r="K242" s="3" t="str">
        <x:v>High</x:v>
      </x:c>
      <x:c r="L242" s="3" t="str">
        <x:v>High</x:v>
      </x:c>
      <x:c r="M242" s="3" t="str">
        <x:v>Môi trường QA cô lập, DB/MinIO sẵn sàng; dữ liệu fixture đã tạo. Đăng nhập tài khoản ACTIVE, mustChangePassword=false.</x:v>
      </x:c>
      <x:c r="N242" s="3" t="str">
        <x:v>File .jpg thật với MIME/signature tương ứng; có nội dung đọc được.</x:v>
      </x:c>
      <x:c r="O242" s="3" t="str">
        <x:v>1. Đăng nhập quyền upload tương ứng
2. Gửi multipart file fixture .jpg tới /api/cms/upload-resource
3. Mở URL trả về hoặc HTML import</x:v>
      </x:c>
      <x:c r="P242" s="3" t="str">
        <x:v>HTTP 200 success=true; URL nội bộ /api/media/ tải được đúng bytes/MIME của fixture.</x:v>
      </x:c>
      <x:c r="Q242" s="11" t="str"/>
      <x:c r="R242" s="8" t="str">
        <x:v>NOT RUN</x:v>
      </x:c>
      <x:c r="S242" s="11" t="str">
        <x:v>QA/UAT — cần điền URL/build</x:v>
      </x:c>
      <x:c r="T242" s="11" t="str">
        <x:v>Cần điền phiên bản thực</x:v>
      </x:c>
      <x:c r="U242" s="11" t="str"/>
      <x:c r="V242" s="12" t="str"/>
      <x:c r="W242" s="11" t="str"/>
      <x:c r="X242" s="11" t="str"/>
      <x:c r="Y242" s="3" t="str">
        <x:v>Nguồn: admin/src/app/api/cms/upload-resource/route.ts. </x:v>
      </x:c>
    </x:row>
    <x:row r="243" ht="49" customHeight="1">
      <x:c r="A243" s="3" t="n">
        <x:v>242</x:v>
      </x:c>
      <x:c r="B243" s="3" t="str">
        <x:v>TC_UPLOAD_007</x:v>
      </x:c>
      <x:c r="C243" s="3" t="str">
        <x:v>UPLOAD</x:v>
      </x:c>
      <x:c r="D243" s="3" t="str">
        <x:v>Loại tệp</x:v>
      </x:c>
      <x:c r="E243" s="3" t="str">
        <x:v>Loại tệp</x:v>
      </x:c>
      <x:c r="F243" s="3" t="str">
        <x:v>Positive — Upload JPEG hợp lệ</x:v>
      </x:c>
      <x:c r="G243" s="3" t="str">
        <x:v>Upload JPEG hợp lệ</x:v>
      </x:c>
      <x:c r="H243" s="3" t="str">
        <x:v>RES-001</x:v>
      </x:c>
      <x:c r="I243" s="3" t="str">
        <x:v>QTV có quyền tương ứng</x:v>
      </x:c>
      <x:c r="J243" s="3" t="str">
        <x:v>Positive</x:v>
      </x:c>
      <x:c r="K243" s="3" t="str">
        <x:v>High</x:v>
      </x:c>
      <x:c r="L243" s="3" t="str">
        <x:v>High</x:v>
      </x:c>
      <x:c r="M243" s="3" t="str">
        <x:v>Môi trường QA cô lập, DB/MinIO sẵn sàng; dữ liệu fixture đã tạo. Đăng nhập tài khoản ACTIVE, mustChangePassword=false.</x:v>
      </x:c>
      <x:c r="N243" s="3" t="str">
        <x:v>File .jpeg thật với MIME/signature tương ứng; có nội dung đọc được.</x:v>
      </x:c>
      <x:c r="O243" s="3" t="str">
        <x:v>1. Đăng nhập quyền upload tương ứng
2. Gửi multipart file fixture .jpeg tới /api/cms/upload-resource
3. Mở URL trả về hoặc HTML import</x:v>
      </x:c>
      <x:c r="P243" s="3" t="str">
        <x:v>HTTP 200 success=true; URL nội bộ /api/media/ tải được đúng bytes/MIME của fixture.</x:v>
      </x:c>
      <x:c r="Q243" s="11" t="str"/>
      <x:c r="R243" s="8" t="str">
        <x:v>NOT RUN</x:v>
      </x:c>
      <x:c r="S243" s="11" t="str">
        <x:v>QA/UAT — cần điền URL/build</x:v>
      </x:c>
      <x:c r="T243" s="11" t="str">
        <x:v>Cần điền phiên bản thực</x:v>
      </x:c>
      <x:c r="U243" s="11" t="str"/>
      <x:c r="V243" s="12" t="str"/>
      <x:c r="W243" s="11" t="str"/>
      <x:c r="X243" s="11" t="str"/>
      <x:c r="Y243" s="3" t="str">
        <x:v>Nguồn: admin/src/app/api/cms/upload-resource/route.ts. </x:v>
      </x:c>
    </x:row>
    <x:row r="244" ht="49" customHeight="1">
      <x:c r="A244" s="3" t="n">
        <x:v>243</x:v>
      </x:c>
      <x:c r="B244" s="3" t="str">
        <x:v>TC_UPLOAD_008</x:v>
      </x:c>
      <x:c r="C244" s="3" t="str">
        <x:v>UPLOAD</x:v>
      </x:c>
      <x:c r="D244" s="3" t="str">
        <x:v>Loại tệp</x:v>
      </x:c>
      <x:c r="E244" s="3" t="str">
        <x:v>Loại tệp</x:v>
      </x:c>
      <x:c r="F244" s="3" t="str">
        <x:v>Positive — Upload PNG hợp lệ</x:v>
      </x:c>
      <x:c r="G244" s="3" t="str">
        <x:v>Upload PNG hợp lệ</x:v>
      </x:c>
      <x:c r="H244" s="3" t="str">
        <x:v>RES-001</x:v>
      </x:c>
      <x:c r="I244" s="3" t="str">
        <x:v>QTV có quyền tương ứng</x:v>
      </x:c>
      <x:c r="J244" s="3" t="str">
        <x:v>Positive</x:v>
      </x:c>
      <x:c r="K244" s="3" t="str">
        <x:v>High</x:v>
      </x:c>
      <x:c r="L244" s="3" t="str">
        <x:v>High</x:v>
      </x:c>
      <x:c r="M244" s="3" t="str">
        <x:v>Môi trường QA cô lập, DB/MinIO sẵn sàng; dữ liệu fixture đã tạo. Đăng nhập tài khoản ACTIVE, mustChangePassword=false.</x:v>
      </x:c>
      <x:c r="N244" s="3" t="str">
        <x:v>File .png thật với MIME/signature tương ứng; có nội dung đọc được.</x:v>
      </x:c>
      <x:c r="O244" s="3" t="str">
        <x:v>1. Đăng nhập quyền upload tương ứng
2. Gửi multipart file fixture .png tới /api/cms/upload-resource
3. Mở URL trả về hoặc HTML import</x:v>
      </x:c>
      <x:c r="P244" s="3" t="str">
        <x:v>HTTP 200 success=true; URL nội bộ /api/media/ tải được đúng bytes/MIME của fixture.</x:v>
      </x:c>
      <x:c r="Q244" s="11" t="str"/>
      <x:c r="R244" s="8" t="str">
        <x:v>NOT RUN</x:v>
      </x:c>
      <x:c r="S244" s="11" t="str">
        <x:v>QA/UAT — cần điền URL/build</x:v>
      </x:c>
      <x:c r="T244" s="11" t="str">
        <x:v>Cần điền phiên bản thực</x:v>
      </x:c>
      <x:c r="U244" s="11" t="str"/>
      <x:c r="V244" s="12" t="str"/>
      <x:c r="W244" s="11" t="str"/>
      <x:c r="X244" s="11" t="str"/>
      <x:c r="Y244" s="3" t="str">
        <x:v>Nguồn: admin/src/app/api/cms/upload-resource/route.ts. </x:v>
      </x:c>
    </x:row>
    <x:row r="245" ht="49" customHeight="1">
      <x:c r="A245" s="3" t="n">
        <x:v>244</x:v>
      </x:c>
      <x:c r="B245" s="3" t="str">
        <x:v>TC_UPLOAD_015</x:v>
      </x:c>
      <x:c r="C245" s="3" t="str">
        <x:v>UPLOAD</x:v>
      </x:c>
      <x:c r="D245" s="3" t="str">
        <x:v>Upload lỗi và tên tệp</x:v>
      </x:c>
      <x:c r="E245" s="3" t="str">
        <x:v>Upload lỗi và tên tệp</x:v>
      </x:c>
      <x:c r="F245" s="3" t="str">
        <x:v>Negative — Sai extension tại /api/cms/upload-resource</x:v>
      </x:c>
      <x:c r="G245" s="3" t="str">
        <x:v>Sai extension tại /api/cms/upload-resource</x:v>
      </x:c>
      <x:c r="H245" s="3" t="str">
        <x:v>RES-001</x:v>
      </x:c>
      <x:c r="I245" s="3" t="str">
        <x:v>QTV có quyền tương ứng</x:v>
      </x:c>
      <x:c r="J245" s="3" t="str">
        <x:v>Negative</x:v>
      </x:c>
      <x:c r="K245" s="3" t="str">
        <x:v>Medium</x:v>
      </x:c>
      <x:c r="L245" s="3" t="str">
        <x:v>Medium</x:v>
      </x:c>
      <x:c r="M245" s="3" t="str">
        <x:v>Môi trường QA cô lập, DB/MinIO sẵn sàng; dữ liệu fixture đã tạo. Đăng nhập tài khoản ACTIVE, mustChangePassword=false.</x:v>
      </x:c>
      <x:c r="N245" s="3" t="str">
        <x:v>File .exe văn bản vô hại</x:v>
      </x:c>
      <x:c r="O245" s="3" t="str">
        <x:v>1. Chuẩn bị Test Data
2. Upload qua /api/cms/upload-resource
3. Kiểm tra UI, response và object</x:v>
      </x:c>
      <x:c r="P245" s="3" t="str">
        <x:v>HTTP 415; không ghi object.</x:v>
      </x:c>
      <x:c r="Q245" s="11" t="str"/>
      <x:c r="R245" s="8" t="str">
        <x:v>NOT RUN</x:v>
      </x:c>
      <x:c r="S245" s="11" t="str">
        <x:v>QA/UAT — cần điền URL/build</x:v>
      </x:c>
      <x:c r="T245" s="11" t="str">
        <x:v>Cần điền phiên bản thực</x:v>
      </x:c>
      <x:c r="U245" s="11" t="str"/>
      <x:c r="V245" s="12" t="str"/>
      <x:c r="W245" s="11" t="str"/>
      <x:c r="X245" s="11" t="str"/>
      <x:c r="Y245" s="3" t="str">
        <x:v>Nguồn: admin/src/app/api/cms/upload-resource/route.ts. </x:v>
      </x:c>
    </x:row>
    <x:row r="246" ht="49" customHeight="1">
      <x:c r="A246" s="3" t="n">
        <x:v>245</x:v>
      </x:c>
      <x:c r="B246" s="3" t="str">
        <x:v>TC_UPLOAD_016</x:v>
      </x:c>
      <x:c r="C246" s="3" t="str">
        <x:v>UPLOAD</x:v>
      </x:c>
      <x:c r="D246" s="3" t="str">
        <x:v>Upload lỗi và tên tệp</x:v>
      </x:c>
      <x:c r="E246" s="3" t="str">
        <x:v>Upload lỗi và tên tệp</x:v>
      </x:c>
      <x:c r="F246" s="3" t="str">
        <x:v>Negative — Giả mạo extension tại /api/cms/upload-resource</x:v>
      </x:c>
      <x:c r="G246" s="3" t="str">
        <x:v>Giả mạo extension tại /api/cms/upload-resource</x:v>
      </x:c>
      <x:c r="H246" s="3" t="str">
        <x:v>RES-001</x:v>
      </x:c>
      <x:c r="I246" s="3" t="str">
        <x:v>QTV có quyền tương ứng</x:v>
      </x:c>
      <x:c r="J246" s="3" t="str">
        <x:v>Negative</x:v>
      </x:c>
      <x:c r="K246" s="3" t="str">
        <x:v>High</x:v>
      </x:c>
      <x:c r="L246" s="3" t="str">
        <x:v>High</x:v>
      </x:c>
      <x:c r="M246" s="3" t="str">
        <x:v>Môi trường QA cô lập, DB/MinIO sẵn sàng; dữ liệu fixture đã tạo. Đăng nhập tài khoản ACTIVE, mustChangePassword=false.</x:v>
      </x:c>
      <x:c r="N246" s="3" t="str">
        <x:v>Text đổi tên thành .png/.pdf/.docx</x:v>
      </x:c>
      <x:c r="O246" s="3" t="str">
        <x:v>1. Chuẩn bị Test Data
2. Upload qua /api/cms/upload-resource
3. Kiểm tra UI, response và object</x:v>
      </x:c>
      <x:c r="P246" s="3" t="str">
        <x:v>Từ chối file không phải định dạng hỗ trợ; không có object có thể thực thi; nếu parser 500 ghi defect.</x:v>
      </x:c>
      <x:c r="Q246" s="11" t="str"/>
      <x:c r="R246" s="8" t="str">
        <x:v>NOT RUN</x:v>
      </x:c>
      <x:c r="S246" s="11" t="str">
        <x:v>QA/UAT — cần điền URL/build</x:v>
      </x:c>
      <x:c r="T246" s="11" t="str">
        <x:v>Cần điền phiên bản thực</x:v>
      </x:c>
      <x:c r="U246" s="11" t="str"/>
      <x:c r="V246" s="12" t="str"/>
      <x:c r="W246" s="11" t="str"/>
      <x:c r="X246" s="11" t="str"/>
      <x:c r="Y246" s="3" t="str">
        <x:v>Nguồn: admin/src/app/api/cms/upload-resource/route.ts. </x:v>
      </x:c>
    </x:row>
    <x:row r="247" ht="49" customHeight="1">
      <x:c r="A247" s="3" t="n">
        <x:v>246</x:v>
      </x:c>
      <x:c r="B247" s="3" t="str">
        <x:v>TC_UPLOAD_017</x:v>
      </x:c>
      <x:c r="C247" s="3" t="str">
        <x:v>UPLOAD</x:v>
      </x:c>
      <x:c r="D247" s="3" t="str">
        <x:v>Upload lỗi và tên tệp</x:v>
      </x:c>
      <x:c r="E247" s="3" t="str">
        <x:v>Upload lỗi và tên tệp</x:v>
      </x:c>
      <x:c r="F247" s="3" t="str">
        <x:v>Negative — Header hợp lệ nhưng file hỏng tại /api/cms/upload-resource</x:v>
      </x:c>
      <x:c r="G247" s="3" t="str">
        <x:v>Header hợp lệ nhưng file hỏng tại /api/cms/upload-resource</x:v>
      </x:c>
      <x:c r="H247" s="3" t="str">
        <x:v>RES-001</x:v>
      </x:c>
      <x:c r="I247" s="3" t="str">
        <x:v>QTV có quyền tương ứng</x:v>
      </x:c>
      <x:c r="J247" s="3" t="str">
        <x:v>Negative</x:v>
      </x:c>
      <x:c r="K247" s="3" t="str">
        <x:v>Medium</x:v>
      </x:c>
      <x:c r="L247" s="3" t="str">
        <x:v>Medium</x:v>
      </x:c>
      <x:c r="M247" s="3" t="str">
        <x:v>Môi trường QA cô lập, DB/MinIO sẵn sàng; dữ liệu fixture đã tạo. Đăng nhập tài khoản ACTIVE, mustChangePassword=false.</x:v>
      </x:c>
      <x:c r="N247" s="3" t="str">
        <x:v>Chỉ magic bytes đúng, phần dữ liệu bị cắt</x:v>
      </x:c>
      <x:c r="O247" s="3" t="str">
        <x:v>1. Chuẩn bị Test Data
2. Upload qua /api/cms/upload-resource
3. Kiểm tra UI, response và object</x:v>
      </x:c>
      <x:c r="P247" s="3" t="str">
        <x:v>Không công bố file hỏng như upload hoàn chỉnh; ghi nhận lỗ hổng kiểm tra signature nếu nhận 200.</x:v>
      </x:c>
      <x:c r="Q247" s="11" t="str"/>
      <x:c r="R247" s="8" t="str">
        <x:v>NOT RUN</x:v>
      </x:c>
      <x:c r="S247" s="11" t="str">
        <x:v>QA/UAT — cần điền URL/build</x:v>
      </x:c>
      <x:c r="T247" s="11" t="str">
        <x:v>Cần điền phiên bản thực</x:v>
      </x:c>
      <x:c r="U247" s="11" t="str"/>
      <x:c r="V247" s="12" t="str"/>
      <x:c r="W247" s="11" t="str"/>
      <x:c r="X247" s="11" t="str"/>
      <x:c r="Y247" s="3" t="str">
        <x:v>Nguồn: admin/src/app/api/cms/upload-resource/route.ts. </x:v>
      </x:c>
    </x:row>
    <x:row r="248" ht="49" customHeight="1">
      <x:c r="A248" s="3" t="n">
        <x:v>247</x:v>
      </x:c>
      <x:c r="B248" s="3" t="str">
        <x:v>TC_UPLOAD_018</x:v>
      </x:c>
      <x:c r="C248" s="3" t="str">
        <x:v>UPLOAD</x:v>
      </x:c>
      <x:c r="D248" s="3" t="str">
        <x:v>Upload lỗi và tên tệp</x:v>
      </x:c>
      <x:c r="E248" s="3" t="str">
        <x:v>Upload lỗi và tên tệp</x:v>
      </x:c>
      <x:c r="F248" s="3" t="str">
        <x:v>Alternative — Tên tiếng Việt tại /api/cms/upload-resource</x:v>
      </x:c>
      <x:c r="G248" s="3" t="str">
        <x:v>Tên tiếng Việt tại /api/cms/upload-resource</x:v>
      </x:c>
      <x:c r="H248" s="3" t="str">
        <x:v>RES-001</x:v>
      </x:c>
      <x:c r="I248" s="3" t="str">
        <x:v>QTV có quyền tương ứng</x:v>
      </x:c>
      <x:c r="J248" s="3" t="str">
        <x:v>Alternative</x:v>
      </x:c>
      <x:c r="K248" s="3" t="str">
        <x:v>Medium</x:v>
      </x:c>
      <x:c r="L248" s="3" t="str">
        <x:v>Medium</x:v>
      </x:c>
      <x:c r="M248" s="3" t="str">
        <x:v>Môi trường QA cô lập, DB/MinIO sẵn sàng; dữ liệu fixture đã tạo. Đăng nhập tài khoản ACTIVE, mustChangePassword=false.</x:v>
      </x:c>
      <x:c r="N248" s="3" t="str">
        <x:v>Tên=Thông báo QA 01.pdf</x:v>
      </x:c>
      <x:c r="O248" s="3" t="str">
        <x:v>1. Chuẩn bị Test Data
2. Upload qua /api/cms/upload-resource
3. Kiểm tra UI, response và object</x:v>
      </x:c>
      <x:c r="P248" s="3" t="str">
        <x:v>Không lỗi encoding; object key an toàn; dữ liệu trả có thể mở.</x:v>
      </x:c>
      <x:c r="Q248" s="11" t="str"/>
      <x:c r="R248" s="8" t="str">
        <x:v>NOT RUN</x:v>
      </x:c>
      <x:c r="S248" s="11" t="str">
        <x:v>QA/UAT — cần điền URL/build</x:v>
      </x:c>
      <x:c r="T248" s="11" t="str">
        <x:v>Cần điền phiên bản thực</x:v>
      </x:c>
      <x:c r="U248" s="11" t="str"/>
      <x:c r="V248" s="12" t="str"/>
      <x:c r="W248" s="11" t="str"/>
      <x:c r="X248" s="11" t="str"/>
      <x:c r="Y248" s="3" t="str">
        <x:v>Nguồn: admin/src/app/api/cms/upload-resource/route.ts. </x:v>
      </x:c>
    </x:row>
    <x:row r="249" ht="49" customHeight="1">
      <x:c r="A249" s="3" t="n">
        <x:v>248</x:v>
      </x:c>
      <x:c r="B249" s="3" t="str">
        <x:v>TC_UPLOAD_019</x:v>
      </x:c>
      <x:c r="C249" s="3" t="str">
        <x:v>UPLOAD</x:v>
      </x:c>
      <x:c r="D249" s="3" t="str">
        <x:v>Upload lỗi và tên tệp</x:v>
      </x:c>
      <x:c r="E249" s="3" t="str">
        <x:v>Upload lỗi và tên tệp</x:v>
      </x:c>
      <x:c r="F249" s="3" t="str">
        <x:v>Alternative — Trùng tên tại /api/cms/upload-resource</x:v>
      </x:c>
      <x:c r="G249" s="3" t="str">
        <x:v>Trùng tên tại /api/cms/upload-resource</x:v>
      </x:c>
      <x:c r="H249" s="3" t="str">
        <x:v>RES-001</x:v>
      </x:c>
      <x:c r="I249" s="3" t="str">
        <x:v>QTV có quyền tương ứng</x:v>
      </x:c>
      <x:c r="J249" s="3" t="str">
        <x:v>Alternative</x:v>
      </x:c>
      <x:c r="K249" s="3" t="str">
        <x:v>Medium</x:v>
      </x:c>
      <x:c r="L249" s="3" t="str">
        <x:v>Medium</x:v>
      </x:c>
      <x:c r="M249" s="3" t="str">
        <x:v>Môi trường QA cô lập, DB/MinIO sẵn sàng; dữ liệu fixture đã tạo. Đăng nhập tài khoản ACTIVE, mustChangePassword=false.</x:v>
      </x:c>
      <x:c r="N249" s="3" t="str">
        <x:v>Upload hai file khác nội dung cùng tên</x:v>
      </x:c>
      <x:c r="O249" s="3" t="str">
        <x:v>1. Chuẩn bị Test Data
2. Upload qua /api/cms/upload-resource
3. Kiểm tra UI, response và object</x:v>
      </x:c>
      <x:c r="P249" s="3" t="str">
        <x:v>Object key khác nhau; file thứ nhất không bị ghi đè.</x:v>
      </x:c>
      <x:c r="Q249" s="11" t="str"/>
      <x:c r="R249" s="8" t="str">
        <x:v>NOT RUN</x:v>
      </x:c>
      <x:c r="S249" s="11" t="str">
        <x:v>QA/UAT — cần điền URL/build</x:v>
      </x:c>
      <x:c r="T249" s="11" t="str">
        <x:v>Cần điền phiên bản thực</x:v>
      </x:c>
      <x:c r="U249" s="11" t="str"/>
      <x:c r="V249" s="12" t="str"/>
      <x:c r="W249" s="11" t="str"/>
      <x:c r="X249" s="11" t="str"/>
      <x:c r="Y249" s="3" t="str">
        <x:v>Nguồn: admin/src/app/api/cms/upload-resource/route.ts. </x:v>
      </x:c>
    </x:row>
    <x:row r="250" ht="49" customHeight="1">
      <x:c r="A250" s="3" t="n">
        <x:v>249</x:v>
      </x:c>
      <x:c r="B250" s="3" t="str">
        <x:v>TC_UPLOAD_020</x:v>
      </x:c>
      <x:c r="C250" s="3" t="str">
        <x:v>UPLOAD</x:v>
      </x:c>
      <x:c r="D250" s="3" t="str">
        <x:v>Upload lỗi và tên tệp</x:v>
      </x:c>
      <x:c r="E250" s="3" t="str">
        <x:v>Upload lỗi và tên tệp</x:v>
      </x:c>
      <x:c r="F250" s="3" t="str">
        <x:v>Negative — Tên có traversal tại /api/cms/upload-resource</x:v>
      </x:c>
      <x:c r="G250" s="3" t="str">
        <x:v>Tên có traversal tại /api/cms/upload-resource</x:v>
      </x:c>
      <x:c r="H250" s="3" t="str">
        <x:v>RES-001</x:v>
      </x:c>
      <x:c r="I250" s="3" t="str">
        <x:v>QTV có quyền tương ứng</x:v>
      </x:c>
      <x:c r="J250" s="3" t="str">
        <x:v>Negative</x:v>
      </x:c>
      <x:c r="K250" s="3" t="str">
        <x:v>High</x:v>
      </x:c>
      <x:c r="L250" s="3" t="str">
        <x:v>High</x:v>
      </x:c>
      <x:c r="M250" s="3" t="str">
        <x:v>Môi trường QA cô lập, DB/MinIO sẵn sàng; dữ liệu fixture đã tạo. Đăng nhập tài khoản ACTIVE, mustChangePassword=false.</x:v>
      </x:c>
      <x:c r="N250" s="3" t="str">
        <x:v>Tên=../qa.pdf</x:v>
      </x:c>
      <x:c r="O250" s="3" t="str">
        <x:v>1. Chuẩn bị Test Data
2. Upload qua /api/cms/upload-resource
3. Kiểm tra UI, response và object</x:v>
      </x:c>
      <x:c r="P250" s="3" t="str">
        <x:v>Tên không cho phép ghi ngoài prefix; object key do server sinh, không giữ traversal.</x:v>
      </x:c>
      <x:c r="Q250" s="11" t="str"/>
      <x:c r="R250" s="8" t="str">
        <x:v>NOT RUN</x:v>
      </x:c>
      <x:c r="S250" s="11" t="str">
        <x:v>QA/UAT — cần điền URL/build</x:v>
      </x:c>
      <x:c r="T250" s="11" t="str">
        <x:v>Cần điền phiên bản thực</x:v>
      </x:c>
      <x:c r="U250" s="11" t="str"/>
      <x:c r="V250" s="12" t="str"/>
      <x:c r="W250" s="11" t="str"/>
      <x:c r="X250" s="11" t="str"/>
      <x:c r="Y250" s="3" t="str">
        <x:v>Nguồn: admin/src/app/api/cms/upload-resource/route.ts. </x:v>
      </x:c>
    </x:row>
    <x:row r="251" ht="49" customHeight="1">
      <x:c r="A251" s="3" t="n">
        <x:v>250</x:v>
      </x:c>
      <x:c r="B251" s="3" t="str">
        <x:v>TC_UPLOAD_021</x:v>
      </x:c>
      <x:c r="C251" s="3" t="str">
        <x:v>UPLOAD</x:v>
      </x:c>
      <x:c r="D251" s="3" t="str">
        <x:v>Upload lỗi và tên tệp</x:v>
      </x:c>
      <x:c r="E251" s="3" t="str">
        <x:v>Upload lỗi và tên tệp</x:v>
      </x:c>
      <x:c r="F251" s="3" t="str">
        <x:v>Negative — Storage ngắt tại /api/cms/upload-resource</x:v>
      </x:c>
      <x:c r="G251" s="3" t="str">
        <x:v>Storage ngắt tại /api/cms/upload-resource</x:v>
      </x:c>
      <x:c r="H251" s="3" t="str">
        <x:v>RES-001</x:v>
      </x:c>
      <x:c r="I251" s="3" t="str">
        <x:v>QTV có quyền tương ứng</x:v>
      </x:c>
      <x:c r="J251" s="3" t="str">
        <x:v>Negative</x:v>
      </x:c>
      <x:c r="K251" s="3" t="str">
        <x:v>Medium</x:v>
      </x:c>
      <x:c r="L251" s="3" t="str">
        <x:v>Medium</x:v>
      </x:c>
      <x:c r="M251" s="3" t="str">
        <x:v>Môi trường QA cô lập, DB/MinIO sẵn sàng; dữ liệu fixture đã tạo. Đăng nhập tài khoản ACTIVE, mustChangePassword=false.</x:v>
      </x:c>
      <x:c r="N251" s="3" t="str">
        <x:v>Mock MinIO không kết nối</x:v>
      </x:c>
      <x:c r="O251" s="3" t="str">
        <x:v>1. Chuẩn bị Test Data
2. Upload qua /api/cms/upload-resource
3. Kiểm tra UI, response và object</x:v>
      </x:c>
      <x:c r="P251" s="3" t="str">
        <x:v>Thông báo upload lỗi; không báo lưu thành công; ghi defect nếu lộ host/stack.</x:v>
      </x:c>
      <x:c r="Q251" s="11" t="str"/>
      <x:c r="R251" s="8" t="str">
        <x:v>NOT RUN</x:v>
      </x:c>
      <x:c r="S251" s="11" t="str">
        <x:v>QA/UAT — cần điền URL/build</x:v>
      </x:c>
      <x:c r="T251" s="11" t="str">
        <x:v>Cần điền phiên bản thực</x:v>
      </x:c>
      <x:c r="U251" s="11" t="str"/>
      <x:c r="V251" s="12" t="str"/>
      <x:c r="W251" s="11" t="str"/>
      <x:c r="X251" s="11" t="str"/>
      <x:c r="Y251" s="3" t="str">
        <x:v>Nguồn: admin/src/app/api/cms/upload-resource/route.ts. </x:v>
      </x:c>
    </x:row>
    <x:row r="252" ht="49" customHeight="1">
      <x:c r="A252" s="3" t="n">
        <x:v>251</x:v>
      </x:c>
      <x:c r="B252" s="3" t="str">
        <x:v>TC_UPLOAD_022</x:v>
      </x:c>
      <x:c r="C252" s="3" t="str">
        <x:v>UPLOAD</x:v>
      </x:c>
      <x:c r="D252" s="3" t="str">
        <x:v>Upload lỗi và tên tệp</x:v>
      </x:c>
      <x:c r="E252" s="3" t="str">
        <x:v>Upload lỗi và tên tệp</x:v>
      </x:c>
      <x:c r="F252" s="3" t="str">
        <x:v>Negative — Mất mạng giữa upload tại /api/cms/upload-resource</x:v>
      </x:c>
      <x:c r="G252" s="3" t="str">
        <x:v>Mất mạng giữa upload tại /api/cms/upload-resource</x:v>
      </x:c>
      <x:c r="H252" s="3" t="str">
        <x:v>RES-001</x:v>
      </x:c>
      <x:c r="I252" s="3" t="str">
        <x:v>QTV có quyền tương ứng</x:v>
      </x:c>
      <x:c r="J252" s="3" t="str">
        <x:v>Negative</x:v>
      </x:c>
      <x:c r="K252" s="3" t="str">
        <x:v>Medium</x:v>
      </x:c>
      <x:c r="L252" s="3" t="str">
        <x:v>Medium</x:v>
      </x:c>
      <x:c r="M252" s="3" t="str">
        <x:v>Môi trường QA cô lập, DB/MinIO sẵn sàng; dữ liệu fixture đã tạo. Đăng nhập tài khoản ACTIVE, mustChangePassword=false.</x:v>
      </x:c>
      <x:c r="N252" s="3" t="str">
        <x:v>Ngắt kết nối khi multipart đang truyền</x:v>
      </x:c>
      <x:c r="O252" s="3" t="str">
        <x:v>1. Chuẩn bị Test Data
2. Upload qua /api/cms/upload-resource
3. Kiểm tra UI, response và object</x:v>
      </x:c>
      <x:c r="P252" s="3" t="str">
        <x:v>UI thoát trạng thái loading khi timeout/lỗi; giữ nội dung; không gắn URL chưa hoàn tất.</x:v>
      </x:c>
      <x:c r="Q252" s="11" t="str"/>
      <x:c r="R252" s="8" t="str">
        <x:v>NOT RUN</x:v>
      </x:c>
      <x:c r="S252" s="11" t="str">
        <x:v>QA/UAT — cần điền URL/build</x:v>
      </x:c>
      <x:c r="T252" s="11" t="str">
        <x:v>Cần điền phiên bản thực</x:v>
      </x:c>
      <x:c r="U252" s="11" t="str"/>
      <x:c r="V252" s="12" t="str"/>
      <x:c r="W252" s="11" t="str"/>
      <x:c r="X252" s="11" t="str"/>
      <x:c r="Y252" s="3" t="str">
        <x:v>Nguồn: admin/src/app/api/cms/upload-resource/route.ts. </x:v>
      </x:c>
    </x:row>
    <x:row r="253" ht="49" customHeight="1">
      <x:c r="A253" s="3" t="n">
        <x:v>252</x:v>
      </x:c>
      <x:c r="B253" s="3" t="str">
        <x:v>TC_NEWS_069</x:v>
      </x:c>
      <x:c r="C253" s="3" t="str">
        <x:v>NEWS</x:v>
      </x:c>
      <x:c r="D253" s="3" t="str">
        <x:v>Đối chiếu code và đặc tả</x:v>
      </x:c>
      <x:c r="E253" s="3" t="str">
        <x:v>Đối chiếu code và đặc tả</x:v>
      </x:c>
      <x:c r="F253" s="3" t="str">
        <x:v>Negative — Slug trùng: tài liệu và code khác nhau</x:v>
      </x:c>
      <x:c r="G253" s="3" t="str">
        <x:v>Slug trùng: tài liệu và code khác nhau</x:v>
      </x:c>
      <x:c r="H253" s="3" t="str">
        <x:v>NEWS-001</x:v>
      </x:c>
      <x:c r="I253" s="3" t="str">
        <x:v>QTV có quyền tương ứng</x:v>
      </x:c>
      <x:c r="J253" s="3" t="str">
        <x:v>Negative</x:v>
      </x:c>
      <x:c r="K253" s="3" t="str">
        <x:v>High</x:v>
      </x:c>
      <x:c r="L253" s="3" t="str">
        <x:v>High</x:v>
      </x:c>
      <x:c r="M253" s="3" t="str">
        <x:v>Môi trường QA cô lập, DB/MinIO sẵn sàng; dữ liệu fixture đã tạo. Đăng nhập tài khoản ACTIVE, mustChangePassword=false.</x:v>
      </x:c>
      <x:c r="N253" s="3" t="str">
        <x:v>Dữ liệu QA tổng hợp; xem fixture trong README.</x:v>
      </x:c>
      <x:c r="O253" s="3" t="str">
        <x:v>1. Tạo hai bài cùng slug qua API</x:v>
      </x:c>
      <x:c r="P253" s="3" t="str">
        <x:v>Code tự thêm -2; BA NEWS-001 nói báo lỗi.</x:v>
      </x:c>
      <x:c r="Q253" s="11" t="str"/>
      <x:c r="R253" s="9" t="str">
        <x:v>NEED CONFIRMATION</x:v>
      </x:c>
      <x:c r="S253" s="11" t="str">
        <x:v>QA/UAT — cần điền URL/build</x:v>
      </x:c>
      <x:c r="T253" s="11" t="str">
        <x:v>Cần điền phiên bản thực</x:v>
      </x:c>
      <x:c r="U253" s="11" t="str"/>
      <x:c r="V253" s="12" t="str"/>
      <x:c r="W253" s="11" t="str"/>
      <x:c r="X253" s="11" t="str"/>
      <x:c r="Y253" s="3" t="str">
        <x:v>Nguồn: admin/src/components/cms/NewsManager.tsx; backend/src/modules/cms/cms.routes.ts. Need Confirmation: Chấp nhận tự thêm hậu tố hay phải trả 409?</x:v>
      </x:c>
    </x:row>
    <x:row r="254" ht="49" customHeight="1">
      <x:c r="A254" s="3" t="n">
        <x:v>253</x:v>
      </x:c>
      <x:c r="B254" s="3" t="str">
        <x:v>TC_NEWS_070</x:v>
      </x:c>
      <x:c r="C254" s="3" t="str">
        <x:v>NEWS</x:v>
      </x:c>
      <x:c r="D254" s="3" t="str">
        <x:v>Đối chiếu code và đặc tả</x:v>
      </x:c>
      <x:c r="E254" s="3" t="str">
        <x:v>Đối chiếu code và đặc tả</x:v>
      </x:c>
      <x:c r="F254" s="3" t="str">
        <x:v>Negative — Tin PUBLISHED có ngày tương lai</x:v>
      </x:c>
      <x:c r="G254" s="3" t="str">
        <x:v>Tin PUBLISHED có ngày tương lai</x:v>
      </x:c>
      <x:c r="H254" s="3" t="str">
        <x:v>PUB-003</x:v>
      </x:c>
      <x:c r="I254" s="3" t="str">
        <x:v>QTV có quyền tương ứng</x:v>
      </x:c>
      <x:c r="J254" s="3" t="str">
        <x:v>Negative</x:v>
      </x:c>
      <x:c r="K254" s="3" t="str">
        <x:v>High</x:v>
      </x:c>
      <x:c r="L254" s="3" t="str">
        <x:v>High</x:v>
      </x:c>
      <x:c r="M254" s="3" t="str">
        <x:v>Môi trường QA cô lập, DB/MinIO sẵn sàng; dữ liệu fixture đã tạo. Đăng nhập tài khoản ACTIVE, mustChangePassword=false.</x:v>
      </x:c>
      <x:c r="N254" s="3" t="str">
        <x:v>Dữ liệu QA tổng hợp; xem fixture trong README.</x:v>
      </x:c>
      <x:c r="O254" s="3" t="str">
        <x:v>1. Tạo PUBLISHED với publishedAt ngày mai
2. Gọi public list/detail</x:v>
      </x:c>
      <x:c r="P254" s="3" t="str">
        <x:v>Không hiển thị trước thời điểm công bố nếu duyệt quy tắc lịch xuất bản; code hiện chỉ lọc status.</x:v>
      </x:c>
      <x:c r="Q254" s="11" t="str"/>
      <x:c r="R254" s="9" t="str">
        <x:v>NEED CONFIRMATION</x:v>
      </x:c>
      <x:c r="S254" s="11" t="str">
        <x:v>QA/UAT — cần điền URL/build</x:v>
      </x:c>
      <x:c r="T254" s="11" t="str">
        <x:v>Cần điền phiên bản thực</x:v>
      </x:c>
      <x:c r="U254" s="11" t="str"/>
      <x:c r="V254" s="12" t="str"/>
      <x:c r="W254" s="11" t="str"/>
      <x:c r="X254" s="11" t="str"/>
      <x:c r="Y254" s="3" t="str">
        <x:v>Nguồn: backend/src/modules/cms/cms.routes.ts. Need Confirmation: Có lịch xuất bản theo publishedAt hay công khai ngay?</x:v>
      </x:c>
    </x:row>
    <x:row r="255" ht="49" customHeight="1">
      <x:c r="A255" s="3" t="n">
        <x:v>254</x:v>
      </x:c>
      <x:c r="B255" s="3" t="str">
        <x:v>TC_NEWS_071</x:v>
      </x:c>
      <x:c r="C255" s="3" t="str">
        <x:v>NEWS</x:v>
      </x:c>
      <x:c r="D255" s="3" t="str">
        <x:v>Đối chiếu code và đặc tả</x:v>
      </x:c>
      <x:c r="E255" s="3" t="str">
        <x:v>Đối chiếu code và đặc tả</x:v>
      </x:c>
      <x:c r="F255" s="3" t="str">
        <x:v>Negative — Demo tin mặc định</x:v>
      </x:c>
      <x:c r="G255" s="3" t="str">
        <x:v>Demo tin mặc định</x:v>
      </x:c>
      <x:c r="H255" s="3" t="str">
        <x:v>PUB-003</x:v>
      </x:c>
      <x:c r="I255" s="3" t="str">
        <x:v>QTV có quyền tương ứng</x:v>
      </x:c>
      <x:c r="J255" s="3" t="str">
        <x:v>Negative</x:v>
      </x:c>
      <x:c r="K255" s="3" t="str">
        <x:v>High</x:v>
      </x:c>
      <x:c r="L255" s="3" t="str">
        <x:v>High</x:v>
      </x:c>
      <x:c r="M255" s="3" t="str">
        <x:v>Môi trường QA cô lập, DB/MinIO sẵn sàng; dữ liệu fixture đã tạo. Đăng nhập tài khoản ACTIVE, mustChangePassword=false.</x:v>
      </x:c>
      <x:c r="N255" s="3" t="str">
        <x:v>Dữ liệu QA tổng hợp; xem fixture trong README.</x:v>
      </x:c>
      <x:c r="O255" s="3" t="str">
        <x:v>1. Bỏ VGG_DEMO_NEWS
2. Tạo bài DB rồi mở /vi/news</x:v>
      </x:c>
      <x:c r="P255" s="3" t="str">
        <x:v>Xác nhận nguồn demo đang chi phối danh sách; bộ UAT tích hợp phải đặt biến=false.</x:v>
      </x:c>
      <x:c r="Q255" s="11" t="str"/>
      <x:c r="R255" s="9" t="str">
        <x:v>NEED CONFIRMATION</x:v>
      </x:c>
      <x:c r="S255" s="11" t="str">
        <x:v>QA/UAT — cần điền URL/build</x:v>
      </x:c>
      <x:c r="T255" s="11" t="str">
        <x:v>Cần điền phiên bản thực</x:v>
      </x:c>
      <x:c r="U255" s="11" t="str"/>
      <x:c r="V255" s="12" t="str"/>
      <x:c r="W255" s="11" t="str"/>
      <x:c r="X255" s="11" t="str"/>
      <x:c r="Y255" s="3" t="str">
        <x:v>Nguồn: frontend/src/features/news/data.ts. Need Confirmation: Production có bắt buộc tắt demo tin?</x:v>
      </x:c>
    </x:row>
    <x:row r="256" ht="49" customHeight="1">
      <x:c r="A256" s="3" t="n">
        <x:v>255</x:v>
      </x:c>
      <x:c r="B256" s="3" t="str">
        <x:v>TC_RESOURCE_077</x:v>
      </x:c>
      <x:c r="C256" s="3" t="str">
        <x:v>RESOURCE</x:v>
      </x:c>
      <x:c r="D256" s="3" t="str">
        <x:v>Đối chiếu code và đặc tả</x:v>
      </x:c>
      <x:c r="E256" s="3" t="str">
        <x:v>Đối chiếu code và đặc tả</x:v>
      </x:c>
      <x:c r="F256" s="3" t="str">
        <x:v>Negative — Demo resource mặc định</x:v>
      </x:c>
      <x:c r="G256" s="3" t="str">
        <x:v>Demo resource mặc định</x:v>
      </x:c>
      <x:c r="H256" s="3" t="str">
        <x:v>PUB-004</x:v>
      </x:c>
      <x:c r="I256" s="3" t="str">
        <x:v>QTV có quyền tương ứng</x:v>
      </x:c>
      <x:c r="J256" s="3" t="str">
        <x:v>Negative</x:v>
      </x:c>
      <x:c r="K256" s="3" t="str">
        <x:v>High</x:v>
      </x:c>
      <x:c r="L256" s="3" t="str">
        <x:v>High</x:v>
      </x:c>
      <x:c r="M256" s="3" t="str">
        <x:v>Môi trường QA cô lập, DB/MinIO sẵn sàng; dữ liệu fixture đã tạo. Đăng nhập tài khoản ACTIVE, mustChangePassword=false.</x:v>
      </x:c>
      <x:c r="N256" s="3" t="str">
        <x:v>Dữ liệu QA tổng hợp; xem fixture trong README.</x:v>
      </x:c>
      <x:c r="O256" s="3" t="str">
        <x:v>1. Bỏ VGG_DEMO_RESOURCES
2. Thêm resource DB rồi mở public</x:v>
      </x:c>
      <x:c r="P256" s="3" t="str">
        <x:v>Xác nhận danh sách demo thay dữ liệu DB; chạy tích hợp với biến=false.</x:v>
      </x:c>
      <x:c r="Q256" s="11" t="str"/>
      <x:c r="R256" s="9" t="str">
        <x:v>NEED CONFIRMATION</x:v>
      </x:c>
      <x:c r="S256" s="11" t="str">
        <x:v>QA/UAT — cần điền URL/build</x:v>
      </x:c>
      <x:c r="T256" s="11" t="str">
        <x:v>Cần điền phiên bản thực</x:v>
      </x:c>
      <x:c r="U256" s="11" t="str"/>
      <x:c r="V256" s="12" t="str"/>
      <x:c r="W256" s="11" t="str"/>
      <x:c r="X256" s="11" t="str"/>
      <x:c r="Y256" s="3" t="str">
        <x:v>Nguồn: frontend/src/features/resources/data.ts. Need Confirmation: Production có bắt buộc tắt demo tài nguyên?</x:v>
      </x:c>
    </x:row>
    <x:row r="257" ht="36" customHeight="1">
      <x:c r="A257" s="3" t="n">
        <x:v>256</x:v>
      </x:c>
      <x:c r="B257" s="3" t="str">
        <x:v>TC_I18N_001</x:v>
      </x:c>
      <x:c r="C257" s="3" t="str">
        <x:v>I18N</x:v>
      </x:c>
      <x:c r="D257" s="3" t="str">
        <x:v>Đối chiếu code và đặc tả</x:v>
      </x:c>
      <x:c r="E257" s="3" t="str">
        <x:v>Đối chiếu code và đặc tả</x:v>
      </x:c>
      <x:c r="F257" s="3" t="str">
        <x:v>Negative — Tin EN bị truy vấn locale=vi</x:v>
      </x:c>
      <x:c r="G257" s="3" t="str">
        <x:v>Tin EN bị truy vấn locale=vi</x:v>
      </x:c>
      <x:c r="H257" s="3" t="str">
        <x:v>PUB-001</x:v>
      </x:c>
      <x:c r="I257" s="3" t="str">
        <x:v>Khách truy cập</x:v>
      </x:c>
      <x:c r="J257" s="3" t="str">
        <x:v>Negative</x:v>
      </x:c>
      <x:c r="K257" s="3" t="str">
        <x:v>High</x:v>
      </x:c>
      <x:c r="L257" s="3" t="str">
        <x:v>High</x:v>
      </x:c>
      <x:c r="M257" s="3" t="str">
        <x:v>Môi trường QA cô lập, DB/MinIO sẵn sàng; dữ liệu fixture đã tạo. Không đăng nhập.</x:v>
      </x:c>
      <x:c r="N257" s="3" t="str">
        <x:v>Dữ liệu QA tổng hợp; xem fixture trong README.</x:v>
      </x:c>
      <x:c r="O257" s="3" t="str">
        <x:v>1. Tạo bài VI và EN khác nội dung
2. Mở /en/news</x:v>
      </x:c>
      <x:c r="P257" s="3" t="str">
        <x:v>Danh sách EN chỉ nên chứa bài EN; code hiện hardcode locale=vi.</x:v>
      </x:c>
      <x:c r="Q257" s="11" t="str"/>
      <x:c r="R257" s="9" t="str">
        <x:v>NEED CONFIRMATION</x:v>
      </x:c>
      <x:c r="S257" s="11" t="str">
        <x:v>QA/UAT — cần điền URL/build</x:v>
      </x:c>
      <x:c r="T257" s="11" t="str">
        <x:v>Cần điền phiên bản thực</x:v>
      </x:c>
      <x:c r="U257" s="11" t="str"/>
      <x:c r="V257" s="12" t="str"/>
      <x:c r="W257" s="11" t="str"/>
      <x:c r="X257" s="11" t="str"/>
      <x:c r="Y257" s="3" t="str">
        <x:v>Nguồn: frontend/src/features/news/data.ts. Need Confirmation: Nội dung tin có bắt buộc tách VI/EN và fallback như thế nào?</x:v>
      </x:c>
    </x:row>
    <x:row r="258" ht="49" customHeight="1">
      <x:c r="A258" s="3" t="n">
        <x:v>257</x:v>
      </x:c>
      <x:c r="B258" s="3" t="str">
        <x:v>TC_RESOURCE_078</x:v>
      </x:c>
      <x:c r="C258" s="3" t="str">
        <x:v>RESOURCE</x:v>
      </x:c>
      <x:c r="D258" s="3" t="str">
        <x:v>Đối chiếu code và đặc tả</x:v>
      </x:c>
      <x:c r="E258" s="3" t="str">
        <x:v>Đối chiếu code và đặc tả</x:v>
      </x:c>
      <x:c r="F258" s="3" t="str">
        <x:v>Negative — File nháp có URL media công khai</x:v>
      </x:c>
      <x:c r="G258" s="3" t="str">
        <x:v>File nháp có URL media công khai</x:v>
      </x:c>
      <x:c r="H258" s="3" t="str">
        <x:v>PUB-004</x:v>
      </x:c>
      <x:c r="I258" s="3" t="str">
        <x:v>QTV có quyền tương ứng</x:v>
      </x:c>
      <x:c r="J258" s="3" t="str">
        <x:v>Negative</x:v>
      </x:c>
      <x:c r="K258" s="3" t="str">
        <x:v>High</x:v>
      </x:c>
      <x:c r="L258" s="3" t="str">
        <x:v>High</x:v>
      </x:c>
      <x:c r="M258" s="3" t="str">
        <x:v>Môi trường QA cô lập, DB/MinIO sẵn sàng; dữ liệu fixture đã tạo. Đăng nhập tài khoản ACTIVE, mustChangePassword=false.</x:v>
      </x:c>
      <x:c r="N258" s="3" t="str">
        <x:v>Dữ liệu QA tổng hợp; xem fixture trong README.</x:v>
      </x:c>
      <x:c r="O258" s="3" t="str">
        <x:v>1. Tạo resource DRAFT
2. Lấy URL đã biết
3. GET media trực tiếp không cookie</x:v>
      </x:c>
      <x:c r="P258" s="3" t="str">
        <x:v>Nếu tài liệu nháp phải riêng tư: từ chối truy cập; hiện media đọc object không kiểm tra trạng thái resource.</x:v>
      </x:c>
      <x:c r="Q258" s="11" t="str"/>
      <x:c r="R258" s="9" t="str">
        <x:v>NEED CONFIRMATION</x:v>
      </x:c>
      <x:c r="S258" s="11" t="str">
        <x:v>QA/UAT — cần điền URL/build</x:v>
      </x:c>
      <x:c r="T258" s="11" t="str">
        <x:v>Cần điền phiên bản thực</x:v>
      </x:c>
      <x:c r="U258" s="11" t="str"/>
      <x:c r="V258" s="12" t="str"/>
      <x:c r="W258" s="11" t="str"/>
      <x:c r="X258" s="11" t="str"/>
      <x:c r="Y258" s="3" t="str">
        <x:v>Nguồn: backend/src/modules/cms/cms.routes.ts. Need Confirmation: Trạng thái DRAFT bảo vệ file hay chỉ ẩn metadata?</x:v>
      </x:c>
    </x:row>
    <x:row r="259" ht="49" customHeight="1">
      <x:c r="A259" s="3" t="n">
        <x:v>258</x:v>
      </x:c>
      <x:c r="B259" s="3" t="str">
        <x:v>TC_RESOURCE_079</x:v>
      </x:c>
      <x:c r="C259" s="3" t="str">
        <x:v>RESOURCE</x:v>
      </x:c>
      <x:c r="D259" s="3" t="str">
        <x:v>Đối chiếu code và đặc tả</x:v>
      </x:c>
      <x:c r="E259" s="3" t="str">
        <x:v>Đối chiếu code và đặc tả</x:v>
      </x:c>
      <x:c r="F259" s="3" t="str">
        <x:v>Negative — Object sau hard delete</x:v>
      </x:c>
      <x:c r="G259" s="3" t="str">
        <x:v>Object sau hard delete</x:v>
      </x:c>
      <x:c r="H259" s="3" t="str">
        <x:v>RES-003</x:v>
      </x:c>
      <x:c r="I259" s="3" t="str">
        <x:v>QTV có quyền tương ứng</x:v>
      </x:c>
      <x:c r="J259" s="3" t="str">
        <x:v>Negative</x:v>
      </x:c>
      <x:c r="K259" s="3" t="str">
        <x:v>High</x:v>
      </x:c>
      <x:c r="L259" s="3" t="str">
        <x:v>High</x:v>
      </x:c>
      <x:c r="M259" s="3" t="str">
        <x:v>Môi trường QA cô lập, DB/MinIO sẵn sàng; dữ liệu fixture đã tạo. Đăng nhập tài khoản ACTIVE, mustChangePassword=false.</x:v>
      </x:c>
      <x:c r="N259" s="3" t="str">
        <x:v>Dữ liệu QA tổng hợp; xem fixture trong README.</x:v>
      </x:c>
      <x:c r="O259" s="3" t="str">
        <x:v>1. Xóa resource
2. GET URL media cũ
3. Kiểm tra MinIO</x:v>
      </x:c>
      <x:c r="P259" s="3" t="str">
        <x:v>Đối chiếu chính sách giữ/xóa file; code chỉ xóa bản ghi.</x:v>
      </x:c>
      <x:c r="Q259" s="11" t="str"/>
      <x:c r="R259" s="9" t="str">
        <x:v>NEED CONFIRMATION</x:v>
      </x:c>
      <x:c r="S259" s="11" t="str">
        <x:v>QA/UAT — cần điền URL/build</x:v>
      </x:c>
      <x:c r="T259" s="11" t="str">
        <x:v>Cần điền phiên bản thực</x:v>
      </x:c>
      <x:c r="U259" s="11" t="str"/>
      <x:c r="V259" s="12" t="str"/>
      <x:c r="W259" s="11" t="str"/>
      <x:c r="X259" s="11" t="str"/>
      <x:c r="Y259" s="3" t="str">
        <x:v>Nguồn: backend/src/modules/cms/cms.routes.ts. Need Confirmation: Có xóa object? retention/restore bao lâu?</x:v>
      </x:c>
    </x:row>
    <x:row r="260" ht="49" customHeight="1">
      <x:c r="A260" s="3" t="n">
        <x:v>259</x:v>
      </x:c>
      <x:c r="B260" s="3" t="str">
        <x:v>TC_UPLOAD_023</x:v>
      </x:c>
      <x:c r="C260" s="3" t="str">
        <x:v>UPLOAD</x:v>
      </x:c>
      <x:c r="D260" s="3" t="str">
        <x:v>Đối chiếu code và đặc tả</x:v>
      </x:c>
      <x:c r="E260" s="3" t="str">
        <x:v>Đối chiếu code và đặc tả</x:v>
      </x:c>
      <x:c r="F260" s="3" t="str">
        <x:v>Negative — Ngưỡng 25 MiB so với 50 MiB</x:v>
      </x:c>
      <x:c r="G260" s="3" t="str">
        <x:v>Ngưỡng 25 MiB so với 50 MiB</x:v>
      </x:c>
      <x:c r="H260" s="3" t="str">
        <x:v>RES-001</x:v>
      </x:c>
      <x:c r="I260" s="3" t="str">
        <x:v>QTV có quyền tương ứng</x:v>
      </x:c>
      <x:c r="J260" s="3" t="str">
        <x:v>Negative</x:v>
      </x:c>
      <x:c r="K260" s="3" t="str">
        <x:v>High</x:v>
      </x:c>
      <x:c r="L260" s="3" t="str">
        <x:v>High</x:v>
      </x:c>
      <x:c r="M260" s="3" t="str">
        <x:v>Môi trường QA cô lập, DB/MinIO sẵn sàng; dữ liệu fixture đã tạo. Đăng nhập tài khoản ACTIVE, mustChangePassword=false.</x:v>
      </x:c>
      <x:c r="N260" s="3" t="str">
        <x:v>Dữ liệu QA tổng hợp; xem fixture trong README.</x:v>
      </x:c>
      <x:c r="O260" s="3" t="str">
        <x:v>1. Upload file 25 MiB+1 với cấu hình mặc định
2. Gửi metadata fileSize=50 MiB</x:v>
      </x:c>
      <x:c r="P260" s="3" t="str">
        <x:v>Upload route từ chối 413 trong khi metadata cho phép 50 MiB.</x:v>
      </x:c>
      <x:c r="Q260" s="11" t="str"/>
      <x:c r="R260" s="9" t="str">
        <x:v>NEED CONFIRMATION</x:v>
      </x:c>
      <x:c r="S260" s="11" t="str">
        <x:v>QA/UAT — cần điền URL/build</x:v>
      </x:c>
      <x:c r="T260" s="11" t="str">
        <x:v>Cần điền phiên bản thực</x:v>
      </x:c>
      <x:c r="U260" s="11" t="str"/>
      <x:c r="V260" s="12" t="str"/>
      <x:c r="W260" s="11" t="str"/>
      <x:c r="X260" s="11" t="str"/>
      <x:c r="Y260" s="3" t="str">
        <x:v>Nguồn: backend/src/modules/cms/cms.routes.ts; admin/src/app/api/cms/upload-resource/route.ts. Need Confirmation: Chốt ngưỡng triển khai và cấu hình STORAGE_MAX_RESOURCE_FILE_MB?</x:v>
      </x:c>
    </x:row>
    <x:row r="261" ht="62" customHeight="1">
      <x:c r="A261" s="3" t="n">
        <x:v>260</x:v>
      </x:c>
      <x:c r="B261" s="3" t="str">
        <x:v>TC_CONSULT_083</x:v>
      </x:c>
      <x:c r="C261" s="3" t="str">
        <x:v>CONSULT</x:v>
      </x:c>
      <x:c r="D261" s="3" t="str">
        <x:v>Đối chiếu code và đặc tả</x:v>
      </x:c>
      <x:c r="E261" s="3" t="str">
        <x:v>Đối chiếu code và đặc tả</x:v>
      </x:c>
      <x:c r="F261" s="3" t="str">
        <x:v>Negative — Giới hạn tên 80/100/120</x:v>
      </x:c>
      <x:c r="G261" s="3" t="str">
        <x:v>Giới hạn tên 80/100/120</x:v>
      </x:c>
      <x:c r="H261" s="3" t="str">
        <x:v>CON-001</x:v>
      </x:c>
      <x:c r="I261" s="3" t="str">
        <x:v>Khách truy cập</x:v>
      </x:c>
      <x:c r="J261" s="3" t="str">
        <x:v>Negative</x:v>
      </x:c>
      <x:c r="K261" s="3" t="str">
        <x:v>High</x:v>
      </x:c>
      <x:c r="L261" s="3" t="str">
        <x:v>High</x:v>
      </x:c>
      <x:c r="M261" s="3" t="str">
        <x:v>Môi trường QA cô lập, DB/MinIO sẵn sàng; dữ liệu fixture đã tạo. Không đăng nhập.</x:v>
      </x:c>
      <x:c r="N261" s="3" t="str">
        <x:v>Dữ liệu QA tổng hợp; xem fixture trong README.</x:v>
      </x:c>
      <x:c r="O261" s="3" t="str">
        <x:v>1. Nhập tên 101 ký tự qua UI và API
2. So kết quả validator phụ</x:v>
      </x:c>
      <x:c r="P261" s="3" t="str">
        <x:v>UI max100, route max120, helper max80; ghi nhận layer thực sự dùng.</x:v>
      </x:c>
      <x:c r="Q261" s="11" t="str"/>
      <x:c r="R261" s="9" t="str">
        <x:v>NEED CONFIRMATION</x:v>
      </x:c>
      <x:c r="S261" s="11" t="str">
        <x:v>QA/UAT — cần điền URL/build</x:v>
      </x:c>
      <x:c r="T261" s="11" t="str">
        <x:v>Cần điền phiên bản thực</x:v>
      </x:c>
      <x:c r="U261" s="11" t="str"/>
      <x:c r="V261" s="12" t="str"/>
      <x:c r="W261" s="11" t="str"/>
      <x:c r="X261" s="11" t="str"/>
      <x:c r="Y261" s="3" t="str">
        <x:v>Nguồn: backend/src/consultation.ts; frontend/src/features/home/components/ResourcesConsultation.tsx; backend/src/modules/consultations/consultations.routes.ts. Need Confirmation: Giới hạn tên chuẩn cần nghiệm thu là bao nhiêu?</x:v>
      </x:c>
    </x:row>
    <x:row r="262" ht="36" customHeight="1">
      <x:c r="A262" s="3" t="n">
        <x:v>261</x:v>
      </x:c>
      <x:c r="B262" s="3" t="str">
        <x:v>TC_CONSULT_084</x:v>
      </x:c>
      <x:c r="C262" s="3" t="str">
        <x:v>CONSULT</x:v>
      </x:c>
      <x:c r="D262" s="3" t="str">
        <x:v>Đối chiếu code và đặc tả</x:v>
      </x:c>
      <x:c r="E262" s="3" t="str">
        <x:v>Đối chiếu code và đặc tả</x:v>
      </x:c>
      <x:c r="F262" s="3" t="str">
        <x:v>Negative — Phone ký tự chữ qua API</x:v>
      </x:c>
      <x:c r="G262" s="3" t="str">
        <x:v>Phone ký tự chữ qua API</x:v>
      </x:c>
      <x:c r="H262" s="3" t="str">
        <x:v>CON-001</x:v>
      </x:c>
      <x:c r="I262" s="3" t="str">
        <x:v>Khách truy cập</x:v>
      </x:c>
      <x:c r="J262" s="3" t="str">
        <x:v>Negative</x:v>
      </x:c>
      <x:c r="K262" s="3" t="str">
        <x:v>High</x:v>
      </x:c>
      <x:c r="L262" s="3" t="str">
        <x:v>High</x:v>
      </x:c>
      <x:c r="M262" s="3" t="str">
        <x:v>Môi trường QA cô lập, DB/MinIO sẵn sàng; dữ liệu fixture đã tạo. Không đăng nhập.</x:v>
      </x:c>
      <x:c r="N262" s="3" t="str">
        <x:v>Dữ liệu QA tổng hợp; xem fixture trong README.</x:v>
      </x:c>
      <x:c r="O262" s="3" t="str">
        <x:v>1. POST CONSULT phone=abcdefghi</x:v>
      </x:c>
      <x:c r="P262" s="3" t="str">
        <x:v>Validation hiện chỉ min9/max30 và có thể nhận 201.</x:v>
      </x:c>
      <x:c r="Q262" s="11" t="str"/>
      <x:c r="R262" s="9" t="str">
        <x:v>NEED CONFIRMATION</x:v>
      </x:c>
      <x:c r="S262" s="11" t="str">
        <x:v>QA/UAT — cần điền URL/build</x:v>
      </x:c>
      <x:c r="T262" s="11" t="str">
        <x:v>Cần điền phiên bản thực</x:v>
      </x:c>
      <x:c r="U262" s="11" t="str"/>
      <x:c r="V262" s="12" t="str"/>
      <x:c r="W262" s="11" t="str"/>
      <x:c r="X262" s="11" t="str"/>
      <x:c r="Y262" s="3" t="str">
        <x:v>Nguồn: backend/src/modules/consultations/consultations.routes.ts. Need Confirmation: Quy tắc phone quốc gia/regex chuẩn có bắt buộc?</x:v>
      </x:c>
    </x:row>
    <x:row r="263" ht="49" customHeight="1">
      <x:c r="A263" s="3" t="n">
        <x:v>262</x:v>
      </x:c>
      <x:c r="B263" s="3" t="str">
        <x:v>TC_CONSULT_085</x:v>
      </x:c>
      <x:c r="C263" s="3" t="str">
        <x:v>CONSULT</x:v>
      </x:c>
      <x:c r="D263" s="3" t="str">
        <x:v>Đối chiếu code và đặc tả</x:v>
      </x:c>
      <x:c r="E263" s="3" t="str">
        <x:v>Đối chiếu code và đặc tả</x:v>
      </x:c>
      <x:c r="F263" s="3" t="str">
        <x:v>Negative — Consent hidden tự đồng ý</x:v>
      </x:c>
      <x:c r="G263" s="3" t="str">
        <x:v>Consent hidden tự đồng ý</x:v>
      </x:c>
      <x:c r="H263" s="3" t="str">
        <x:v>CON-001</x:v>
      </x:c>
      <x:c r="I263" s="3" t="str">
        <x:v>Khách truy cập</x:v>
      </x:c>
      <x:c r="J263" s="3" t="str">
        <x:v>Negative</x:v>
      </x:c>
      <x:c r="K263" s="3" t="str">
        <x:v>High</x:v>
      </x:c>
      <x:c r="L263" s="3" t="str">
        <x:v>High</x:v>
      </x:c>
      <x:c r="M263" s="3" t="str">
        <x:v>Môi trường QA cô lập, DB/MinIO sẵn sàng; dữ liệu fixture đã tạo. Không đăng nhập.</x:v>
      </x:c>
      <x:c r="N263" s="3" t="str">
        <x:v>Dữ liệu QA tổng hợp; xem fixture trong README.</x:v>
      </x:c>
      <x:c r="O263" s="3" t="str">
        <x:v>1. Mở form
2. Kiểm tra consent trước khi thao tác người dùng</x:v>
      </x:c>
      <x:c r="P263" s="3" t="str">
        <x:v>Code gửi hidden consent=yes; xác định yêu cầu đồng ý chủ động.</x:v>
      </x:c>
      <x:c r="Q263" s="11" t="str"/>
      <x:c r="R263" s="9" t="str">
        <x:v>NEED CONFIRMATION</x:v>
      </x:c>
      <x:c r="S263" s="11" t="str">
        <x:v>QA/UAT — cần điền URL/build</x:v>
      </x:c>
      <x:c r="T263" s="11" t="str">
        <x:v>Cần điền phiên bản thực</x:v>
      </x:c>
      <x:c r="U263" s="11" t="str"/>
      <x:c r="V263" s="12" t="str"/>
      <x:c r="W263" s="11" t="str"/>
      <x:c r="X263" s="11" t="str"/>
      <x:c r="Y263" s="3" t="str">
        <x:v>Nguồn: frontend/src/features/home/components/ResourcesConsultation.tsx. Need Confirmation: Có phải checkbox rõ ràng và lưu phiên bản thông báo consent?</x:v>
      </x:c>
    </x:row>
    <x:row r="264" ht="36" customHeight="1">
      <x:c r="A264" s="3" t="n">
        <x:v>263</x:v>
      </x:c>
      <x:c r="B264" s="3" t="str">
        <x:v>TC_CONSULT_086</x:v>
      </x:c>
      <x:c r="C264" s="3" t="str">
        <x:v>CONSULT</x:v>
      </x:c>
      <x:c r="D264" s="3" t="str">
        <x:v>Đối chiếu code và đặc tả</x:v>
      </x:c>
      <x:c r="E264" s="3" t="str">
        <x:v>Đối chiếu code và đặc tả</x:v>
      </x:c>
      <x:c r="F264" s="3" t="str">
        <x:v>Negative — Danh sách chỉ 100 lead</x:v>
      </x:c>
      <x:c r="G264" s="3" t="str">
        <x:v>Danh sách chỉ 100 lead</x:v>
      </x:c>
      <x:c r="H264" s="3" t="str">
        <x:v>CON-002</x:v>
      </x:c>
      <x:c r="I264" s="3" t="str">
        <x:v>Khách truy cập</x:v>
      </x:c>
      <x:c r="J264" s="3" t="str">
        <x:v>Negative</x:v>
      </x:c>
      <x:c r="K264" s="3" t="str">
        <x:v>High</x:v>
      </x:c>
      <x:c r="L264" s="3" t="str">
        <x:v>High</x:v>
      </x:c>
      <x:c r="M264" s="3" t="str">
        <x:v>Môi trường QA cô lập, DB/MinIO sẵn sàng; dữ liệu fixture đã tạo. Không đăng nhập.</x:v>
      </x:c>
      <x:c r="N264" s="3" t="str">
        <x:v>Dữ liệu QA tổng hợp; xem fixture trong README.</x:v>
      </x:c>
      <x:c r="O264" s="3" t="str">
        <x:v>1. Seed 101 lead
2. Mở danh sách và tìm lead cũ nhất</x:v>
      </x:c>
      <x:c r="P264" s="3" t="str">
        <x:v>API take100; lead thứ 101 không xuất hiện; chưa có phân trang server.</x:v>
      </x:c>
      <x:c r="Q264" s="11" t="str"/>
      <x:c r="R264" s="9" t="str">
        <x:v>NEED CONFIRMATION</x:v>
      </x:c>
      <x:c r="S264" s="11" t="str">
        <x:v>QA/UAT — cần điền URL/build</x:v>
      </x:c>
      <x:c r="T264" s="11" t="str">
        <x:v>Cần điền phiên bản thực</x:v>
      </x:c>
      <x:c r="U264" s="11" t="str"/>
      <x:c r="V264" s="12" t="str"/>
      <x:c r="W264" s="11" t="str"/>
      <x:c r="X264" s="11" t="str"/>
      <x:c r="Y264" s="3" t="str">
        <x:v>Nguồn: backend/src/modules/consultations/consultations.routes.ts. Need Confirmation: Cần phân trang/tìm/lọc đầy đủ hay chỉ 100 mới nhất?</x:v>
      </x:c>
    </x:row>
    <x:row r="265" ht="36" customHeight="1">
      <x:c r="A265" s="3" t="n">
        <x:v>264</x:v>
      </x:c>
      <x:c r="B265" s="3" t="str">
        <x:v>TC_CONSULT_087</x:v>
      </x:c>
      <x:c r="C265" s="3" t="str">
        <x:v>CONSULT</x:v>
      </x:c>
      <x:c r="D265" s="3" t="str">
        <x:v>Đối chiếu code và đặc tả</x:v>
      </x:c>
      <x:c r="E265" s="3" t="str">
        <x:v>Đối chiếu code và đặc tả</x:v>
      </x:c>
      <x:c r="F265" s="3" t="str">
        <x:v>Negative — Phân công và ghi chú mới có model</x:v>
      </x:c>
      <x:c r="G265" s="3" t="str">
        <x:v>Phân công và ghi chú mới có model</x:v>
      </x:c>
      <x:c r="H265" s="3" t="str">
        <x:v>CON-003</x:v>
      </x:c>
      <x:c r="I265" s="3" t="str">
        <x:v>Khách truy cập</x:v>
      </x:c>
      <x:c r="J265" s="3" t="str">
        <x:v>Negative</x:v>
      </x:c>
      <x:c r="K265" s="3" t="str">
        <x:v>High</x:v>
      </x:c>
      <x:c r="L265" s="3" t="str">
        <x:v>High</x:v>
      </x:c>
      <x:c r="M265" s="3" t="str">
        <x:v>Môi trường QA cô lập, DB/MinIO sẵn sàng; dữ liệu fixture đã tạo. Không đăng nhập.</x:v>
      </x:c>
      <x:c r="N265" s="3" t="str">
        <x:v>Dữ liệu QA tổng hợp; xem fixture trong README.</x:v>
      </x:c>
      <x:c r="O265" s="3" t="str">
        <x:v>1. Đối chiếu ConsultationNote/assignedAdminId với route và UI</x:v>
      </x:c>
      <x:c r="P265" s="3" t="str">
        <x:v>Chưa tìm thấy API/UI thao tác phân công/ghi chú trong route hiện tại.</x:v>
      </x:c>
      <x:c r="Q265" s="11" t="str"/>
      <x:c r="R265" s="9" t="str">
        <x:v>NEED CONFIRMATION</x:v>
      </x:c>
      <x:c r="S265" s="11" t="str">
        <x:v>QA/UAT — cần điền URL/build</x:v>
      </x:c>
      <x:c r="T265" s="11" t="str">
        <x:v>Cần điền phiên bản thực</x:v>
      </x:c>
      <x:c r="U265" s="11" t="str"/>
      <x:c r="V265" s="12" t="str"/>
      <x:c r="W265" s="11" t="str"/>
      <x:c r="X265" s="11" t="str"/>
      <x:c r="Y265" s="3" t="str">
        <x:v>Nguồn: backend/prisma/schema.prisma. Need Confirmation: Có thuộc release nghiệm thu? Cần endpoint và rule assignment.</x:v>
      </x:c>
    </x:row>
    <x:row r="266" ht="49" customHeight="1">
      <x:c r="A266" s="3" t="n">
        <x:v>265</x:v>
      </x:c>
      <x:c r="B266" s="3" t="str">
        <x:v>TC_SITE_024</x:v>
      </x:c>
      <x:c r="C266" s="3" t="str">
        <x:v>SITE</x:v>
      </x:c>
      <x:c r="D266" s="3" t="str">
        <x:v>Đối chiếu code và đặc tả</x:v>
      </x:c>
      <x:c r="E266" s="3" t="str">
        <x:v>Đối chiếu code và đặc tả</x:v>
      </x:c>
      <x:c r="F266" s="3" t="str">
        <x:v>Negative — website.view/update thiếu seed</x:v>
      </x:c>
      <x:c r="G266" s="3" t="str">
        <x:v>website.view/update thiếu seed</x:v>
      </x:c>
      <x:c r="H266" s="3" t="str">
        <x:v>SITE-001</x:v>
      </x:c>
      <x:c r="I266" s="3" t="str">
        <x:v>QTV có quyền tương ứng</x:v>
      </x:c>
      <x:c r="J266" s="3" t="str">
        <x:v>Negative</x:v>
      </x:c>
      <x:c r="K266" s="3" t="str">
        <x:v>High</x:v>
      </x:c>
      <x:c r="L266" s="3" t="str">
        <x:v>High</x:v>
      </x:c>
      <x:c r="M266" s="3" t="str">
        <x:v>Môi trường QA cô lập, DB/MinIO sẵn sàng; dữ liệu fixture đã tạo. Đăng nhập tài khoản ACTIVE, mustChangePassword=false.</x:v>
      </x:c>
      <x:c r="N266" s="3" t="str">
        <x:v>Dữ liệu QA tổng hợp; xem fixture trong README.</x:v>
      </x:c>
      <x:c r="O266" s="3" t="str">
        <x:v>1. Bootstrap DB sạch
2. Mở /admin/website và gọi API bằng SUPER_ADMIN</x:v>
      </x:c>
      <x:c r="P266" s="3" t="str">
        <x:v>Guard yêu cầu website.view/update nhưng danh sách seed chưa có.</x:v>
      </x:c>
      <x:c r="Q266" s="11" t="str"/>
      <x:c r="R266" s="9" t="str">
        <x:v>NEED CONFIRMATION</x:v>
      </x:c>
      <x:c r="S266" s="11" t="str">
        <x:v>QA/UAT — cần điền URL/build</x:v>
      </x:c>
      <x:c r="T266" s="11" t="str">
        <x:v>Cần điền phiên bản thực</x:v>
      </x:c>
      <x:c r="U266" s="11" t="str"/>
      <x:c r="V266" s="12" t="str"/>
      <x:c r="W266" s="11" t="str"/>
      <x:c r="X266" s="11" t="str"/>
      <x:c r="Y266" s="3" t="str">
        <x:v>Nguồn: backend/src/modules/cms/cms.routes.ts; backend/prisma/bootstrap-admin.ts. Need Confirmation: Cấp quyền module website bằng migration/seed nào?</x:v>
      </x:c>
    </x:row>
    <x:row r="267" ht="49" customHeight="1">
      <x:c r="A267" s="3" t="n">
        <x:v>266</x:v>
      </x:c>
      <x:c r="B267" s="3" t="str">
        <x:v>TC_APPLICATION_001</x:v>
      </x:c>
      <x:c r="C267" s="3" t="str">
        <x:v>APPLICATION</x:v>
      </x:c>
      <x:c r="D267" s="3" t="str">
        <x:v>Đối chiếu code và đặc tả</x:v>
      </x:c>
      <x:c r="E267" s="3" t="str">
        <x:v>Đối chiếu code và đặc tả</x:v>
      </x:c>
      <x:c r="F267" s="3" t="str">
        <x:v>Negative — Ứng tuyển chưa có luồng tạo</x:v>
      </x:c>
      <x:c r="G267" s="3" t="str">
        <x:v>Ứng tuyển chưa có luồng tạo</x:v>
      </x:c>
      <x:c r="H267" s="3" t="str">
        <x:v>APP-001</x:v>
      </x:c>
      <x:c r="I267" s="3" t="str">
        <x:v>QTV có quyền tương ứng</x:v>
      </x:c>
      <x:c r="J267" s="3" t="str">
        <x:v>Negative</x:v>
      </x:c>
      <x:c r="K267" s="3" t="str">
        <x:v>High</x:v>
      </x:c>
      <x:c r="L267" s="3" t="str">
        <x:v>High</x:v>
      </x:c>
      <x:c r="M267" s="3" t="str">
        <x:v>Môi trường QA cô lập, DB/MinIO sẵn sàng; dữ liệu fixture đã tạo. Đăng nhập tài khoản ACTIVE, mustChangePassword=false.</x:v>
      </x:c>
      <x:c r="N267" s="3" t="str">
        <x:v>Dữ liệu QA tổng hợp; xem fixture trong README.</x:v>
      </x:c>
      <x:c r="O267" s="3" t="str">
        <x:v>1. Mở /admin/applications
2. Đối chiếu API/model</x:v>
      </x:c>
      <x:c r="P267" s="3" t="str">
        <x:v>Có GET take200; không thấy API create, update hay nguồn tích hợp; applications.view không có trong seed.</x:v>
      </x:c>
      <x:c r="Q267" s="11" t="str"/>
      <x:c r="R267" s="9" t="str">
        <x:v>NEED CONFIRMATION</x:v>
      </x:c>
      <x:c r="S267" s="11" t="str">
        <x:v>QA/UAT — cần điền URL/build</x:v>
      </x:c>
      <x:c r="T267" s="11" t="str">
        <x:v>Cần điền phiên bản thực</x:v>
      </x:c>
      <x:c r="U267" s="11" t="str"/>
      <x:c r="V267" s="12" t="str"/>
      <x:c r="W267" s="11" t="str"/>
      <x:c r="X267" s="11" t="str"/>
      <x:c r="Y267" s="3" t="str">
        <x:v>Nguồn: backend/src/modules/cms/cms.routes.ts; backend/prisma/bootstrap-admin.ts. Need Confirmation: Nguồn tạo, workflow, phân trang và người có quyền là ai?</x:v>
      </x:c>
    </x:row>
    <x:row r="268" ht="49" customHeight="1">
      <x:c r="A268" s="3" t="n">
        <x:v>267</x:v>
      </x:c>
      <x:c r="B268" s="3" t="str">
        <x:v>TC_DASH_001</x:v>
      </x:c>
      <x:c r="C268" s="3" t="str">
        <x:v>DASH</x:v>
      </x:c>
      <x:c r="D268" s="3" t="str">
        <x:v>Đối chiếu code và đặc tả</x:v>
      </x:c>
      <x:c r="E268" s="3" t="str">
        <x:v>Đối chiếu code và đặc tả</x:v>
      </x:c>
      <x:c r="F268" s="3" t="str">
        <x:v>Negative — Biểu đồ có dữ liệu mô phỏng</x:v>
      </x:c>
      <x:c r="G268" s="3" t="str">
        <x:v>Biểu đồ có dữ liệu mô phỏng</x:v>
      </x:c>
      <x:c r="H268" s="3" t="str">
        <x:v>DASH-001</x:v>
      </x:c>
      <x:c r="I268" s="3" t="str">
        <x:v>QTV có quyền tương ứng</x:v>
      </x:c>
      <x:c r="J268" s="3" t="str">
        <x:v>Negative</x:v>
      </x:c>
      <x:c r="K268" s="3" t="str">
        <x:v>High</x:v>
      </x:c>
      <x:c r="L268" s="3" t="str">
        <x:v>High</x:v>
      </x:c>
      <x:c r="M268" s="3" t="str">
        <x:v>Môi trường QA cô lập, DB/MinIO sẵn sàng; dữ liệu fixture đã tạo. Đăng nhập tài khoản ACTIVE, mustChangePassword=false.</x:v>
      </x:c>
      <x:c r="N268" s="3" t="str">
        <x:v>Dữ liệu QA tổng hợp; xem fixture trong README.</x:v>
      </x:c>
      <x:c r="O268" s="3" t="str">
        <x:v>1. Seed visits=0
2. Mở biểu đồ lượt truy cập và nhân sự</x:v>
      </x:c>
      <x:c r="P268" s="3" t="str">
        <x:v>Nghiệm thu số liệu thật: các bucket rỗng phải bằng0; không dùng nhánh sin/cos để thay số thật.</x:v>
      </x:c>
      <x:c r="Q268" s="11" t="str"/>
      <x:c r="R268" s="9" t="str">
        <x:v>NEED CONFIRMATION</x:v>
      </x:c>
      <x:c r="S268" s="11" t="str">
        <x:v>QA/UAT — cần điền URL/build</x:v>
      </x:c>
      <x:c r="T268" s="11" t="str">
        <x:v>Cần điền phiên bản thực</x:v>
      </x:c>
      <x:c r="U268" s="11" t="str"/>
      <x:c r="V268" s="12" t="str"/>
      <x:c r="W268" s="11" t="str"/>
      <x:c r="X268" s="11" t="str"/>
      <x:c r="Y268" s="3" t="str">
        <x:v>Nguồn: admin/src/components/dashboard/RealtimeDashboard.tsx. Need Confirmation: Có được hiển thị số mô phỏng? KPI và breakdown nguồn nào?</x:v>
      </x:c>
    </x:row>
    <x:row r="269" ht="62" customHeight="1">
      <x:c r="A269" s="3" t="n">
        <x:v>268</x:v>
      </x:c>
      <x:c r="B269" s="3" t="str">
        <x:v>TC_AUTH_049</x:v>
      </x:c>
      <x:c r="C269" s="3" t="str">
        <x:v>AUTH</x:v>
      </x:c>
      <x:c r="D269" s="3" t="str">
        <x:v>Đối chiếu code và đặc tả</x:v>
      </x:c>
      <x:c r="E269" s="3" t="str">
        <x:v>Đối chiếu code và đặc tả</x:v>
      </x:c>
      <x:c r="F269" s="3" t="str">
        <x:v>Negative — SMTP chưa cấu hình</x:v>
      </x:c>
      <x:c r="G269" s="3" t="str">
        <x:v>SMTP chưa cấu hình</x:v>
      </x:c>
      <x:c r="H269" s="3" t="str">
        <x:v>OBS-RESET</x:v>
      </x:c>
      <x:c r="I269" s="3" t="str">
        <x:v>QTV có quyền tương ứng</x:v>
      </x:c>
      <x:c r="J269" s="3" t="str">
        <x:v>Negative</x:v>
      </x:c>
      <x:c r="K269" s="3" t="str">
        <x:v>High</x:v>
      </x:c>
      <x:c r="L269" s="3" t="str">
        <x:v>High</x:v>
      </x:c>
      <x:c r="M269" s="3" t="str">
        <x:v>QA cô lập; tài khoản fixture với trạng thái nêu trong case; không đăng nhập trước bước login/reset. Chỉ tạo phiên trước nếu Steps kiểm tra refresh/logout/hết hạn. SMTP sandbox cho reset qua email.</x:v>
      </x:c>
      <x:c r="N269" s="3" t="str">
        <x:v>Dữ liệu QA tổng hợp; xem fixture trong README.</x:v>
      </x:c>
      <x:c r="O269" s="3" t="str">
        <x:v>1. Tắt SMTP trên QA
2. Gửi quên mật khẩu</x:v>
      </x:c>
      <x:c r="P269" s="3" t="str">
        <x:v>UI trả generic 200 nhưng thư không gửi; phải có cơ chế hỗ trợ được duyệt.</x:v>
      </x:c>
      <x:c r="Q269" s="11" t="str"/>
      <x:c r="R269" s="9" t="str">
        <x:v>NEED CONFIRMATION</x:v>
      </x:c>
      <x:c r="S269" s="11" t="str">
        <x:v>QA/UAT — cần điền URL/build</x:v>
      </x:c>
      <x:c r="T269" s="11" t="str">
        <x:v>Cần điền phiên bản thực</x:v>
      </x:c>
      <x:c r="U269" s="11" t="str"/>
      <x:c r="V269" s="12" t="str"/>
      <x:c r="W269" s="11" t="str"/>
      <x:c r="X269" s="11" t="str"/>
      <x:c r="Y269" s="3" t="str">
        <x:v>Nguồn: admin/src/lib/auth/email.ts. Need Confirmation: SMTP và người xử lý sự cố có sẵn trong UAT?</x:v>
      </x:c>
    </x:row>
    <x:row r="270" ht="49" customHeight="1">
      <x:c r="A270" s="3" t="n">
        <x:v>269</x:v>
      </x:c>
      <x:c r="B270" s="3" t="str">
        <x:v>TC_USER_036</x:v>
      </x:c>
      <x:c r="C270" s="3" t="str">
        <x:v>USER</x:v>
      </x:c>
      <x:c r="D270" s="3" t="str">
        <x:v>Đối chiếu code và đặc tả</x:v>
      </x:c>
      <x:c r="E270" s="3" t="str">
        <x:v>Đối chiếu code và đặc tả</x:v>
      </x:c>
      <x:c r="F270" s="3" t="str">
        <x:v>Negative — Email VLU UI và schema khác</x:v>
      </x:c>
      <x:c r="G270" s="3" t="str">
        <x:v>Email VLU UI và schema khác</x:v>
      </x:c>
      <x:c r="H270" s="3" t="str">
        <x:v>USR-001</x:v>
      </x:c>
      <x:c r="I270" s="3" t="str">
        <x:v>QTV có quyền tương ứng</x:v>
      </x:c>
      <x:c r="J270" s="3" t="str">
        <x:v>Negative</x:v>
      </x:c>
      <x:c r="K270" s="3" t="str">
        <x:v>High</x:v>
      </x:c>
      <x:c r="L270" s="3" t="str">
        <x:v>High</x:v>
      </x:c>
      <x:c r="M270" s="3" t="str">
        <x:v>Môi trường QA cô lập, DB/MinIO sẵn sàng; dữ liệu fixture đã tạo. Đăng nhập tài khoản ACTIVE, mustChangePassword=false.</x:v>
      </x:c>
      <x:c r="N270" s="3" t="str">
        <x:v>Dữ liệu QA tổng hợp; xem fixture trong README.</x:v>
      </x:c>
      <x:c r="O270" s="3" t="str">
        <x:v>1. Tạo USER email rỗng và email ngoài VLU bằng API</x:v>
      </x:c>
      <x:c r="P270" s="3" t="str">
        <x:v>Schema chấp nhận optional email; UI bắt buộc và gắn nhãn VLU.</x:v>
      </x:c>
      <x:c r="Q270" s="11" t="str"/>
      <x:c r="R270" s="9" t="str">
        <x:v>NEED CONFIRMATION</x:v>
      </x:c>
      <x:c r="S270" s="11" t="str">
        <x:v>QA/UAT — cần điền URL/build</x:v>
      </x:c>
      <x:c r="T270" s="11" t="str">
        <x:v>Cần điền phiên bản thực</x:v>
      </x:c>
      <x:c r="U270" s="11" t="str"/>
      <x:c r="V270" s="12" t="str"/>
      <x:c r="W270" s="11" t="str"/>
      <x:c r="X270" s="11" t="str"/>
      <x:c r="Y270" s="3" t="str">
        <x:v>Nguồn: admin/src/lib/auth/schemas.ts. Need Confirmation: Bắt buộc email không? Có whitelist domain và uniqueness khi tạo?</x:v>
      </x:c>
    </x:row>
    <x:row r="271" ht="49" customHeight="1">
      <x:c r="A271" s="3" t="n">
        <x:v>270</x:v>
      </x:c>
      <x:c r="B271" s="3" t="str">
        <x:v>TC_SITE_025</x:v>
      </x:c>
      <x:c r="C271" s="3" t="str">
        <x:v>SITE</x:v>
      </x:c>
      <x:c r="D271" s="3" t="str">
        <x:v>Đối chiếu code và đặc tả</x:v>
      </x:c>
      <x:c r="E271" s="3" t="str">
        <x:v>Đối chiếu code và đặc tả</x:v>
      </x:c>
      <x:c r="F271" s="3" t="str">
        <x:v>Negative — Key chung cho hai locale</x:v>
      </x:c>
      <x:c r="G271" s="3" t="str">
        <x:v>Key chung cho hai locale</x:v>
      </x:c>
      <x:c r="H271" s="3" t="str">
        <x:v>SITE-001</x:v>
      </x:c>
      <x:c r="I271" s="3" t="str">
        <x:v>QTV có quyền tương ứng</x:v>
      </x:c>
      <x:c r="J271" s="3" t="str">
        <x:v>Negative</x:v>
      </x:c>
      <x:c r="K271" s="3" t="str">
        <x:v>High</x:v>
      </x:c>
      <x:c r="L271" s="3" t="str">
        <x:v>High</x:v>
      </x:c>
      <x:c r="M271" s="3" t="str">
        <x:v>Môi trường QA cô lập, DB/MinIO sẵn sàng; dữ liệu fixture đã tạo. Đăng nhập tài khoản ACTIVE, mustChangePassword=false.</x:v>
      </x:c>
      <x:c r="N271" s="3" t="str">
        <x:v>Dữ liệu QA tổng hợp; xem fixture trong README.</x:v>
      </x:c>
      <x:c r="O271" s="3" t="str">
        <x:v>1. Upsert cùng key với vi rồi en
2. Đọc DB và public hai locale</x:v>
      </x:c>
      <x:c r="P271" s="3" t="str">
        <x:v>Chỉ một record key; dữ liệu VI có thể bị thay bởi EN.</x:v>
      </x:c>
      <x:c r="Q271" s="11" t="str"/>
      <x:c r="R271" s="9" t="str">
        <x:v>NEED CONFIRMATION</x:v>
      </x:c>
      <x:c r="S271" s="11" t="str">
        <x:v>QA/UAT — cần điền URL/build</x:v>
      </x:c>
      <x:c r="T271" s="11" t="str">
        <x:v>Cần điền phiên bản thực</x:v>
      </x:c>
      <x:c r="U271" s="11" t="str"/>
      <x:c r="V271" s="12" t="str"/>
      <x:c r="W271" s="11" t="str"/>
      <x:c r="X271" s="11" t="str"/>
      <x:c r="Y271" s="3" t="str">
        <x:v>Nguồn: backend/src/modules/cms/cms.routes.ts. Need Confirmation: Key phải kèm locale hay duy nhất toàn cục theo thiết kế?</x:v>
      </x:c>
    </x:row>
    <x:row r="272" ht="36" customHeight="1">
      <x:c r="A272" s="3" t="n">
        <x:v>271</x:v>
      </x:c>
      <x:c r="B272" s="3" t="str">
        <x:v>TC_CONSULT_088</x:v>
      </x:c>
      <x:c r="C272" s="3" t="str">
        <x:v>CONSULT</x:v>
      </x:c>
      <x:c r="D272" s="3" t="str">
        <x:v>Đối chiếu code và đặc tả</x:v>
      </x:c>
      <x:c r="E272" s="3" t="str">
        <x:v>Đối chiếu code và đặc tả</x:v>
      </x:c>
      <x:c r="F272" s="3" t="str">
        <x:v>Negative — Idempotency khi timeout sau commit</x:v>
      </x:c>
      <x:c r="G272" s="3" t="str">
        <x:v>Idempotency khi timeout sau commit</x:v>
      </x:c>
      <x:c r="H272" s="3" t="str">
        <x:v>CON-001</x:v>
      </x:c>
      <x:c r="I272" s="3" t="str">
        <x:v>Khách truy cập</x:v>
      </x:c>
      <x:c r="J272" s="3" t="str">
        <x:v>Negative</x:v>
      </x:c>
      <x:c r="K272" s="3" t="str">
        <x:v>High</x:v>
      </x:c>
      <x:c r="L272" s="3" t="str">
        <x:v>High</x:v>
      </x:c>
      <x:c r="M272" s="3" t="str">
        <x:v>Môi trường QA cô lập, DB/MinIO sẵn sàng; dữ liệu fixture đã tạo. Không đăng nhập.</x:v>
      </x:c>
      <x:c r="N272" s="3" t="str">
        <x:v>Dữ liệu QA tổng hợp; xem fixture trong README.</x:v>
      </x:c>
      <x:c r="O272" s="3" t="str">
        <x:v>1. Gửi CONSULT; chặn response sau commit
2. Gửi lại cùng body</x:v>
      </x:c>
      <x:c r="P272" s="3" t="str">
        <x:v>Ghi nhận số lead trùng; chưa có idempotency key hay unique liên hệ.</x:v>
      </x:c>
      <x:c r="Q272" s="11" t="str"/>
      <x:c r="R272" s="9" t="str">
        <x:v>NEED CONFIRMATION</x:v>
      </x:c>
      <x:c r="S272" s="11" t="str">
        <x:v>QA/UAT — cần điền URL/build</x:v>
      </x:c>
      <x:c r="T272" s="11" t="str">
        <x:v>Cần điền phiên bản thực</x:v>
      </x:c>
      <x:c r="U272" s="11" t="str"/>
      <x:c r="V272" s="12" t="str"/>
      <x:c r="W272" s="11" t="str"/>
      <x:c r="X272" s="11" t="str"/>
      <x:c r="Y272" s="3" t="str">
        <x:v>Nguồn: backend/src/modules/consultations/consultations.routes.ts. Need Confirmation: Cho phép gửi lặp hay phải chống trùng trong cửa sổ thời gian nào?</x:v>
      </x:c>
    </x:row>
    <x:row r="273" ht="49" customHeight="1">
      <x:c r="A273" s="3" t="n">
        <x:v>272</x:v>
      </x:c>
      <x:c r="B273" s="3" t="str">
        <x:v>TC_DASH_002</x:v>
      </x:c>
      <x:c r="C273" s="3" t="str">
        <x:v>DASH</x:v>
      </x:c>
      <x:c r="D273" s="3" t="str">
        <x:v>Dashboard</x:v>
      </x:c>
      <x:c r="E273" s="3" t="str">
        <x:v>Dashboard</x:v>
      </x:c>
      <x:c r="F273" s="3" t="str">
        <x:v>Positive — Tổng KPI</x:v>
      </x:c>
      <x:c r="G273" s="3" t="str">
        <x:v>Tổng KPI</x:v>
      </x:c>
      <x:c r="H273" s="3" t="str">
        <x:v>DASH-001</x:v>
      </x:c>
      <x:c r="I273" s="3" t="str">
        <x:v>QTV có quyền tương ứng</x:v>
      </x:c>
      <x:c r="J273" s="3" t="str">
        <x:v>Positive</x:v>
      </x:c>
      <x:c r="K273" s="3" t="str">
        <x:v>High</x:v>
      </x:c>
      <x:c r="L273" s="3" t="str">
        <x:v>High</x:v>
      </x:c>
      <x:c r="M273" s="3" t="str">
        <x:v>Môi trường QA cô lập, DB/MinIO sẵn sàng; dữ liệu fixture đã tạo. Đăng nhập tài khoản ACTIVE, mustChangePassword=false.</x:v>
      </x:c>
      <x:c r="N273" s="3" t="str">
        <x:v>Dữ liệu QA tổng hợp; xem fixture trong README.</x:v>
      </x:c>
      <x:c r="O273" s="3" t="str">
        <x:v>1. Seed 2 active admin, 3 visits, 4 consultations, 5 applications
2. GET dashboard</x:v>
      </x:c>
      <x:c r="P273" s="3" t="str">
        <x:v>totals staff=2, visits=3, consultations=4, applications=5; các tổng toàn kỳ không bị nhầm với số theo bộ lọc.</x:v>
      </x:c>
      <x:c r="Q273" s="11" t="str"/>
      <x:c r="R273" s="8" t="str">
        <x:v>NOT RUN</x:v>
      </x:c>
      <x:c r="S273" s="11" t="str">
        <x:v>QA/UAT — cần điền URL/build</x:v>
      </x:c>
      <x:c r="T273" s="11" t="str">
        <x:v>Cần điền phiên bản thực</x:v>
      </x:c>
      <x:c r="U273" s="11" t="str"/>
      <x:c r="V273" s="12" t="str"/>
      <x:c r="W273" s="11" t="str"/>
      <x:c r="X273" s="11" t="str"/>
      <x:c r="Y273" s="3" t="str">
        <x:v>Nguồn: backend/src/modules/cms/cms.routes.ts; admin/src/components/dashboard/RealtimeDashboard.tsx. </x:v>
      </x:c>
    </x:row>
    <x:row r="274" ht="49" customHeight="1">
      <x:c r="A274" s="3" t="n">
        <x:v>273</x:v>
      </x:c>
      <x:c r="B274" s="3" t="str">
        <x:v>TC_DASH_003</x:v>
      </x:c>
      <x:c r="C274" s="3" t="str">
        <x:v>DASH</x:v>
      </x:c>
      <x:c r="D274" s="3" t="str">
        <x:v>Dashboard</x:v>
      </x:c>
      <x:c r="E274" s="3" t="str">
        <x:v>Dashboard</x:v>
      </x:c>
      <x:c r="F274" s="3" t="str">
        <x:v>Positive — Khoảng ngày tư vấn độc lập</x:v>
      </x:c>
      <x:c r="G274" s="3" t="str">
        <x:v>Khoảng ngày tư vấn độc lập</x:v>
      </x:c>
      <x:c r="H274" s="3" t="str">
        <x:v>DASH-001</x:v>
      </x:c>
      <x:c r="I274" s="3" t="str">
        <x:v>QTV có quyền tương ứng</x:v>
      </x:c>
      <x:c r="J274" s="3" t="str">
        <x:v>Positive</x:v>
      </x:c>
      <x:c r="K274" s="3" t="str">
        <x:v>High</x:v>
      </x:c>
      <x:c r="L274" s="3" t="str">
        <x:v>High</x:v>
      </x:c>
      <x:c r="M274" s="3" t="str">
        <x:v>Môi trường QA cô lập, DB/MinIO sẵn sàng; dữ liệu fixture đã tạo. Đăng nhập tài khoản ACTIVE, mustChangePassword=false.</x:v>
      </x:c>
      <x:c r="N274" s="3" t="str">
        <x:v>Dữ liệu QA tổng hợp; xem fixture trong README.</x:v>
      </x:c>
      <x:c r="O274" s="3" t="str">
        <x:v>1. Đặt from/to khác consultationFrom/To
2. GET dashboard</x:v>
      </x:c>
      <x:c r="P274" s="3" t="str">
        <x:v>visitSeries dùng khoảng chung; consultationSeries/Period dùng khoảng tư vấn.</x:v>
      </x:c>
      <x:c r="Q274" s="11" t="str"/>
      <x:c r="R274" s="8" t="str">
        <x:v>NOT RUN</x:v>
      </x:c>
      <x:c r="S274" s="11" t="str">
        <x:v>QA/UAT — cần điền URL/build</x:v>
      </x:c>
      <x:c r="T274" s="11" t="str">
        <x:v>Cần điền phiên bản thực</x:v>
      </x:c>
      <x:c r="U274" s="11" t="str"/>
      <x:c r="V274" s="12" t="str"/>
      <x:c r="W274" s="11" t="str"/>
      <x:c r="X274" s="11" t="str"/>
      <x:c r="Y274" s="3" t="str">
        <x:v>Nguồn: backend/src/modules/cms/cms.routes.ts; admin/src/components/dashboard/RealtimeDashboard.tsx. </x:v>
      </x:c>
    </x:row>
    <x:row r="275" ht="49" customHeight="1">
      <x:c r="A275" s="3" t="n">
        <x:v>274</x:v>
      </x:c>
      <x:c r="B275" s="3" t="str">
        <x:v>TC_DASH_004</x:v>
      </x:c>
      <x:c r="C275" s="3" t="str">
        <x:v>DASH</x:v>
      </x:c>
      <x:c r="D275" s="3" t="str">
        <x:v>Dashboard</x:v>
      </x:c>
      <x:c r="E275" s="3" t="str">
        <x:v>Dashboard</x:v>
      </x:c>
      <x:c r="F275" s="3" t="str">
        <x:v>Positive — Tăng trưởng kỳ trước bằng0</x:v>
      </x:c>
      <x:c r="G275" s="3" t="str">
        <x:v>Tăng trưởng kỳ trước bằng0</x:v>
      </x:c>
      <x:c r="H275" s="3" t="str">
        <x:v>DASH-001</x:v>
      </x:c>
      <x:c r="I275" s="3" t="str">
        <x:v>QTV có quyền tương ứng</x:v>
      </x:c>
      <x:c r="J275" s="3" t="str">
        <x:v>Positive</x:v>
      </x:c>
      <x:c r="K275" s="3" t="str">
        <x:v>High</x:v>
      </x:c>
      <x:c r="L275" s="3" t="str">
        <x:v>High</x:v>
      </x:c>
      <x:c r="M275" s="3" t="str">
        <x:v>Môi trường QA cô lập, DB/MinIO sẵn sàng; dữ liệu fixture đã tạo. Đăng nhập tài khoản ACTIVE, mustChangePassword=false.</x:v>
      </x:c>
      <x:c r="N275" s="3" t="str">
        <x:v>Dữ liệu QA tổng hợp; xem fixture trong README.</x:v>
      </x:c>
      <x:c r="O275" s="3" t="str">
        <x:v>1. Seed kỳ trước0, kỳ hiện tại3
2. GET dashboard</x:v>
      </x:c>
      <x:c r="P275" s="3" t="str">
        <x:v>consultationDelta=3; consultationGrowthRate=100 theo code.</x:v>
      </x:c>
      <x:c r="Q275" s="11" t="str"/>
      <x:c r="R275" s="8" t="str">
        <x:v>NOT RUN</x:v>
      </x:c>
      <x:c r="S275" s="11" t="str">
        <x:v>QA/UAT — cần điền URL/build</x:v>
      </x:c>
      <x:c r="T275" s="11" t="str">
        <x:v>Cần điền phiên bản thực</x:v>
      </x:c>
      <x:c r="U275" s="11" t="str"/>
      <x:c r="V275" s="12" t="str"/>
      <x:c r="W275" s="11" t="str"/>
      <x:c r="X275" s="11" t="str"/>
      <x:c r="Y275" s="3" t="str">
        <x:v>Nguồn: backend/src/modules/cms/cms.routes.ts; admin/src/components/dashboard/RealtimeDashboard.tsx. </x:v>
      </x:c>
    </x:row>
    <x:row r="276" ht="49" customHeight="1">
      <x:c r="A276" s="3" t="n">
        <x:v>275</x:v>
      </x:c>
      <x:c r="B276" s="3" t="str">
        <x:v>TC_DASH_005</x:v>
      </x:c>
      <x:c r="C276" s="3" t="str">
        <x:v>DASH</x:v>
      </x:c>
      <x:c r="D276" s="3" t="str">
        <x:v>Dashboard</x:v>
      </x:c>
      <x:c r="E276" s="3" t="str">
        <x:v>Dashboard</x:v>
      </x:c>
      <x:c r="F276" s="3" t="str">
        <x:v>Positive — Hai kỳ đều0</x:v>
      </x:c>
      <x:c r="G276" s="3" t="str">
        <x:v>Hai kỳ đều0</x:v>
      </x:c>
      <x:c r="H276" s="3" t="str">
        <x:v>DASH-001</x:v>
      </x:c>
      <x:c r="I276" s="3" t="str">
        <x:v>QTV có quyền tương ứng</x:v>
      </x:c>
      <x:c r="J276" s="3" t="str">
        <x:v>Positive</x:v>
      </x:c>
      <x:c r="K276" s="3" t="str">
        <x:v>High</x:v>
      </x:c>
      <x:c r="L276" s="3" t="str">
        <x:v>High</x:v>
      </x:c>
      <x:c r="M276" s="3" t="str">
        <x:v>Môi trường QA cô lập, DB/MinIO sẵn sàng; dữ liệu fixture đã tạo. Đăng nhập tài khoản ACTIVE, mustChangePassword=false.</x:v>
      </x:c>
      <x:c r="N276" s="3" t="str">
        <x:v>Dữ liệu QA tổng hợp; xem fixture trong README.</x:v>
      </x:c>
      <x:c r="O276" s="3" t="str">
        <x:v>1. Seed hai kỳ không lead
2. GET dashboard</x:v>
      </x:c>
      <x:c r="P276" s="3" t="str">
        <x:v>consultationDelta=0 và growthRate=0; không NaN/Infinity.</x:v>
      </x:c>
      <x:c r="Q276" s="11" t="str"/>
      <x:c r="R276" s="8" t="str">
        <x:v>NOT RUN</x:v>
      </x:c>
      <x:c r="S276" s="11" t="str">
        <x:v>QA/UAT — cần điền URL/build</x:v>
      </x:c>
      <x:c r="T276" s="11" t="str">
        <x:v>Cần điền phiên bản thực</x:v>
      </x:c>
      <x:c r="U276" s="11" t="str"/>
      <x:c r="V276" s="12" t="str"/>
      <x:c r="W276" s="11" t="str"/>
      <x:c r="X276" s="11" t="str"/>
      <x:c r="Y276" s="3" t="str">
        <x:v>Nguồn: backend/src/modules/cms/cms.routes.ts; admin/src/components/dashboard/RealtimeDashboard.tsx. </x:v>
      </x:c>
    </x:row>
    <x:row r="277" ht="49" customHeight="1">
      <x:c r="A277" s="3" t="n">
        <x:v>276</x:v>
      </x:c>
      <x:c r="B277" s="3" t="str">
        <x:v>TC_DASH_006</x:v>
      </x:c>
      <x:c r="C277" s="3" t="str">
        <x:v>DASH</x:v>
      </x:c>
      <x:c r="D277" s="3" t="str">
        <x:v>Dashboard</x:v>
      </x:c>
      <x:c r="E277" s="3" t="str">
        <x:v>Dashboard</x:v>
      </x:c>
      <x:c r="F277" s="3" t="str">
        <x:v>Positive — Tăng trưởng giảm</x:v>
      </x:c>
      <x:c r="G277" s="3" t="str">
        <x:v>Tăng trưởng giảm</x:v>
      </x:c>
      <x:c r="H277" s="3" t="str">
        <x:v>DASH-001</x:v>
      </x:c>
      <x:c r="I277" s="3" t="str">
        <x:v>QTV có quyền tương ứng</x:v>
      </x:c>
      <x:c r="J277" s="3" t="str">
        <x:v>Positive</x:v>
      </x:c>
      <x:c r="K277" s="3" t="str">
        <x:v>High</x:v>
      </x:c>
      <x:c r="L277" s="3" t="str">
        <x:v>High</x:v>
      </x:c>
      <x:c r="M277" s="3" t="str">
        <x:v>Môi trường QA cô lập, DB/MinIO sẵn sàng; dữ liệu fixture đã tạo. Đăng nhập tài khoản ACTIVE, mustChangePassword=false.</x:v>
      </x:c>
      <x:c r="N277" s="3" t="str">
        <x:v>Dữ liệu QA tổng hợp; xem fixture trong README.</x:v>
      </x:c>
      <x:c r="O277" s="3" t="str">
        <x:v>1. Seed trước10, hiện tại7
2. GET dashboard</x:v>
      </x:c>
      <x:c r="P277" s="3" t="str">
        <x:v>consultationDelta=-3; growthRate=-30.</x:v>
      </x:c>
      <x:c r="Q277" s="11" t="str"/>
      <x:c r="R277" s="8" t="str">
        <x:v>NOT RUN</x:v>
      </x:c>
      <x:c r="S277" s="11" t="str">
        <x:v>QA/UAT — cần điền URL/build</x:v>
      </x:c>
      <x:c r="T277" s="11" t="str">
        <x:v>Cần điền phiên bản thực</x:v>
      </x:c>
      <x:c r="U277" s="11" t="str"/>
      <x:c r="V277" s="12" t="str"/>
      <x:c r="W277" s="11" t="str"/>
      <x:c r="X277" s="11" t="str"/>
      <x:c r="Y277" s="3" t="str">
        <x:v>Nguồn: backend/src/modules/cms/cms.routes.ts; admin/src/components/dashboard/RealtimeDashboard.tsx. </x:v>
      </x:c>
    </x:row>
    <x:row r="278" ht="49" customHeight="1">
      <x:c r="A278" s="3" t="n">
        <x:v>277</x:v>
      </x:c>
      <x:c r="B278" s="3" t="str">
        <x:v>TC_DASH_007</x:v>
      </x:c>
      <x:c r="C278" s="3" t="str">
        <x:v>DASH</x:v>
      </x:c>
      <x:c r="D278" s="3" t="str">
        <x:v>Dashboard</x:v>
      </x:c>
      <x:c r="E278" s="3" t="str">
        <x:v>Dashboard</x:v>
      </x:c>
      <x:c r="F278" s="3" t="str">
        <x:v>Positive — Polling dashboard</x:v>
      </x:c>
      <x:c r="G278" s="3" t="str">
        <x:v>Polling dashboard</x:v>
      </x:c>
      <x:c r="H278" s="3" t="str">
        <x:v>DASH-001</x:v>
      </x:c>
      <x:c r="I278" s="3" t="str">
        <x:v>QTV có quyền tương ứng</x:v>
      </x:c>
      <x:c r="J278" s="3" t="str">
        <x:v>Positive</x:v>
      </x:c>
      <x:c r="K278" s="3" t="str">
        <x:v>High</x:v>
      </x:c>
      <x:c r="L278" s="3" t="str">
        <x:v>High</x:v>
      </x:c>
      <x:c r="M278" s="3" t="str">
        <x:v>Môi trường QA cô lập, DB/MinIO sẵn sàng; dữ liệu fixture đã tạo. Đăng nhập tài khoản ACTIVE, mustChangePassword=false.</x:v>
      </x:c>
      <x:c r="N278" s="3" t="str">
        <x:v>Dữ liệu QA tổng hợp; xem fixture trong README.</x:v>
      </x:c>
      <x:c r="O278" s="3" t="str">
        <x:v>1. Mở dashboard
2. Tạo lead mới
3. Chờ hơn5 giây</x:v>
      </x:c>
      <x:c r="P278" s="3" t="str">
        <x:v>Số liệu được fetch lại; updatedAt thay đổi; chỉ số consultation phản ánh DB.</x:v>
      </x:c>
      <x:c r="Q278" s="11" t="str"/>
      <x:c r="R278" s="8" t="str">
        <x:v>NOT RUN</x:v>
      </x:c>
      <x:c r="S278" s="11" t="str">
        <x:v>QA/UAT — cần điền URL/build</x:v>
      </x:c>
      <x:c r="T278" s="11" t="str">
        <x:v>Cần điền phiên bản thực</x:v>
      </x:c>
      <x:c r="U278" s="11" t="str"/>
      <x:c r="V278" s="12" t="str"/>
      <x:c r="W278" s="11" t="str"/>
      <x:c r="X278" s="11" t="str"/>
      <x:c r="Y278" s="3" t="str">
        <x:v>Nguồn: backend/src/modules/cms/cms.routes.ts; admin/src/components/dashboard/RealtimeDashboard.tsx. </x:v>
      </x:c>
    </x:row>
    <x:row r="279" ht="49" customHeight="1">
      <x:c r="A279" s="3" t="n">
        <x:v>278</x:v>
      </x:c>
      <x:c r="B279" s="3" t="str">
        <x:v>TC_DASH_008</x:v>
      </x:c>
      <x:c r="C279" s="3" t="str">
        <x:v>DASH</x:v>
      </x:c>
      <x:c r="D279" s="3" t="str">
        <x:v>Dashboard</x:v>
      </x:c>
      <x:c r="E279" s="3" t="str">
        <x:v>Dashboard</x:v>
      </x:c>
      <x:c r="F279" s="3" t="str">
        <x:v>Positive — Ngày cuối bao gồm hết ngày</x:v>
      </x:c>
      <x:c r="G279" s="3" t="str">
        <x:v>Ngày cuối bao gồm hết ngày</x:v>
      </x:c>
      <x:c r="H279" s="3" t="str">
        <x:v>DASH-001</x:v>
      </x:c>
      <x:c r="I279" s="3" t="str">
        <x:v>QTV có quyền tương ứng</x:v>
      </x:c>
      <x:c r="J279" s="3" t="str">
        <x:v>Positive</x:v>
      </x:c>
      <x:c r="K279" s="3" t="str">
        <x:v>High</x:v>
      </x:c>
      <x:c r="L279" s="3" t="str">
        <x:v>High</x:v>
      </x:c>
      <x:c r="M279" s="3" t="str">
        <x:v>Môi trường QA cô lập, DB/MinIO sẵn sàng; dữ liệu fixture đã tạo. Đăng nhập tài khoản ACTIVE, mustChangePassword=false.</x:v>
      </x:c>
      <x:c r="N279" s="3" t="str">
        <x:v>Dữ liệu QA tổng hợp; xem fixture trong README.</x:v>
      </x:c>
      <x:c r="O279" s="3" t="str">
        <x:v>1. Seed record tại 23:59:59 ngày to và 00:00 ngày kế
2. GET dashboard</x:v>
      </x:c>
      <x:c r="P279" s="3" t="str">
        <x:v>Record ngày to được tính; ngày sau không được tính trong series. Xác nhận timezone server trong fixture.</x:v>
      </x:c>
      <x:c r="Q279" s="11" t="str"/>
      <x:c r="R279" s="8" t="str">
        <x:v>NOT RUN</x:v>
      </x:c>
      <x:c r="S279" s="11" t="str">
        <x:v>QA/UAT — cần điền URL/build</x:v>
      </x:c>
      <x:c r="T279" s="11" t="str">
        <x:v>Cần điền phiên bản thực</x:v>
      </x:c>
      <x:c r="U279" s="11" t="str"/>
      <x:c r="V279" s="12" t="str"/>
      <x:c r="W279" s="11" t="str"/>
      <x:c r="X279" s="11" t="str"/>
      <x:c r="Y279" s="3" t="str">
        <x:v>Nguồn: backend/src/modules/cms/cms.routes.ts; admin/src/components/dashboard/RealtimeDashboard.tsx. </x:v>
      </x:c>
    </x:row>
    <x:row r="280" ht="49" customHeight="1">
      <x:c r="A280" s="3" t="n">
        <x:v>279</x:v>
      </x:c>
      <x:c r="B280" s="3" t="str">
        <x:v>TC_SITE_026</x:v>
      </x:c>
      <x:c r="C280" s="3" t="str">
        <x:v>SITE</x:v>
      </x:c>
      <x:c r="D280" s="3" t="str">
        <x:v>Nội dung website</x:v>
      </x:c>
      <x:c r="E280" s="3" t="str">
        <x:v>Nội dung website</x:v>
      </x:c>
      <x:c r="F280" s="3" t="str">
        <x:v>Positive — Tạo key</x:v>
      </x:c>
      <x:c r="G280" s="3" t="str">
        <x:v>Tạo key</x:v>
      </x:c>
      <x:c r="H280" s="3" t="str">
        <x:v>SITE-001</x:v>
      </x:c>
      <x:c r="I280" s="3" t="str">
        <x:v>QTV có quyền tương ứng</x:v>
      </x:c>
      <x:c r="J280" s="3" t="str">
        <x:v>Positive</x:v>
      </x:c>
      <x:c r="K280" s="3" t="str">
        <x:v>Medium</x:v>
      </x:c>
      <x:c r="L280" s="3" t="str">
        <x:v>Medium</x:v>
      </x:c>
      <x:c r="M280" s="3" t="str">
        <x:v>Môi trường QA cô lập, DB/MinIO sẵn sàng; dữ liệu fixture đã tạo. Đăng nhập tài khoản ACTIVE, mustChangePassword=false.</x:v>
      </x:c>
      <x:c r="N280" s="3" t="str">
        <x:v>Dữ liệu QA tổng hợp; xem fixture trong README.</x:v>
      </x:c>
      <x:c r="O280" s="3" t="str">
        <x:v>1. POST SITE key mới published=false
2. Đọc admin/public</x:v>
      </x:c>
      <x:c r="P280" s="3" t="str">
        <x:v>Admin có record; public không trả key chưa published.</x:v>
      </x:c>
      <x:c r="Q280" s="11" t="str"/>
      <x:c r="R280" s="8" t="str">
        <x:v>NOT RUN</x:v>
      </x:c>
      <x:c r="S280" s="11" t="str">
        <x:v>QA/UAT — cần điền URL/build</x:v>
      </x:c>
      <x:c r="T280" s="11" t="str">
        <x:v>Cần điền phiên bản thực</x:v>
      </x:c>
      <x:c r="U280" s="11" t="str"/>
      <x:c r="V280" s="12" t="str"/>
      <x:c r="W280" s="11" t="str"/>
      <x:c r="X280" s="11" t="str"/>
      <x:c r="Y280" s="3" t="str">
        <x:v>Nguồn: backend/src/modules/cms/cms.routes.ts; admin/src/components/cms/CmsManager.tsx. </x:v>
      </x:c>
    </x:row>
    <x:row r="281" ht="49" customHeight="1">
      <x:c r="A281" s="3" t="n">
        <x:v>280</x:v>
      </x:c>
      <x:c r="B281" s="3" t="str">
        <x:v>TC_SITE_027</x:v>
      </x:c>
      <x:c r="C281" s="3" t="str">
        <x:v>SITE</x:v>
      </x:c>
      <x:c r="D281" s="3" t="str">
        <x:v>Nội dung website</x:v>
      </x:c>
      <x:c r="E281" s="3" t="str">
        <x:v>Nội dung website</x:v>
      </x:c>
      <x:c r="F281" s="3" t="str">
        <x:v>Positive — Cập nhật key</x:v>
      </x:c>
      <x:c r="G281" s="3" t="str">
        <x:v>Cập nhật key</x:v>
      </x:c>
      <x:c r="H281" s="3" t="str">
        <x:v>SITE-001</x:v>
      </x:c>
      <x:c r="I281" s="3" t="str">
        <x:v>QTV có quyền tương ứng</x:v>
      </x:c>
      <x:c r="J281" s="3" t="str">
        <x:v>Positive</x:v>
      </x:c>
      <x:c r="K281" s="3" t="str">
        <x:v>Medium</x:v>
      </x:c>
      <x:c r="L281" s="3" t="str">
        <x:v>Medium</x:v>
      </x:c>
      <x:c r="M281" s="3" t="str">
        <x:v>Môi trường QA cô lập, DB/MinIO sẵn sàng; dữ liệu fixture đã tạo. Đăng nhập tài khoản ACTIVE, mustChangePassword=false.</x:v>
      </x:c>
      <x:c r="N281" s="3" t="str">
        <x:v>Dữ liệu QA tổng hợp; xem fixture trong README.</x:v>
      </x:c>
      <x:c r="O281" s="3" t="str">
        <x:v>1. POST cùng key thay value
2. Đọc DB</x:v>
      </x:c>
      <x:c r="P281" s="3" t="str">
        <x:v>Chỉ1 bản ghi key; value thay bằng JSON mới; authorId=actor.</x:v>
      </x:c>
      <x:c r="Q281" s="11" t="str"/>
      <x:c r="R281" s="8" t="str">
        <x:v>NOT RUN</x:v>
      </x:c>
      <x:c r="S281" s="11" t="str">
        <x:v>QA/UAT — cần điền URL/build</x:v>
      </x:c>
      <x:c r="T281" s="11" t="str">
        <x:v>Cần điền phiên bản thực</x:v>
      </x:c>
      <x:c r="U281" s="11" t="str"/>
      <x:c r="V281" s="12" t="str"/>
      <x:c r="W281" s="11" t="str"/>
      <x:c r="X281" s="11" t="str"/>
      <x:c r="Y281" s="3" t="str">
        <x:v>Nguồn: backend/src/modules/cms/cms.routes.ts; admin/src/components/cms/CmsManager.tsx. </x:v>
      </x:c>
    </x:row>
    <x:row r="282" ht="49" customHeight="1">
      <x:c r="A282" s="3" t="n">
        <x:v>281</x:v>
      </x:c>
      <x:c r="B282" s="3" t="str">
        <x:v>TC_SITE_028</x:v>
      </x:c>
      <x:c r="C282" s="3" t="str">
        <x:v>SITE</x:v>
      </x:c>
      <x:c r="D282" s="3" t="str">
        <x:v>Nội dung website</x:v>
      </x:c>
      <x:c r="E282" s="3" t="str">
        <x:v>Nội dung website</x:v>
      </x:c>
      <x:c r="F282" s="3" t="str">
        <x:v>Positive — Công khai key</x:v>
      </x:c>
      <x:c r="G282" s="3" t="str">
        <x:v>Công khai key</x:v>
      </x:c>
      <x:c r="H282" s="3" t="str">
        <x:v>SITE-001</x:v>
      </x:c>
      <x:c r="I282" s="3" t="str">
        <x:v>QTV có quyền tương ứng</x:v>
      </x:c>
      <x:c r="J282" s="3" t="str">
        <x:v>Positive</x:v>
      </x:c>
      <x:c r="K282" s="3" t="str">
        <x:v>Medium</x:v>
      </x:c>
      <x:c r="L282" s="3" t="str">
        <x:v>Medium</x:v>
      </x:c>
      <x:c r="M282" s="3" t="str">
        <x:v>Môi trường QA cô lập, DB/MinIO sẵn sàng; dữ liệu fixture đã tạo. Đăng nhập tài khoản ACTIVE, mustChangePassword=false.</x:v>
      </x:c>
      <x:c r="N282" s="3" t="str">
        <x:v>Dữ liệu QA tổng hợp; xem fixture trong README.</x:v>
      </x:c>
      <x:c r="O282" s="3" t="str">
        <x:v>1. POST SITE published=true
2. GET public site-content?locale=vi</x:v>
      </x:c>
      <x:c r="P282" s="3" t="str">
        <x:v>Trả record published đúng locale; JSON value giữ kiểu số/boolean/array/object.</x:v>
      </x:c>
      <x:c r="Q282" s="11" t="str"/>
      <x:c r="R282" s="8" t="str">
        <x:v>NOT RUN</x:v>
      </x:c>
      <x:c r="S282" s="11" t="str">
        <x:v>QA/UAT — cần điền URL/build</x:v>
      </x:c>
      <x:c r="T282" s="11" t="str">
        <x:v>Cần điền phiên bản thực</x:v>
      </x:c>
      <x:c r="U282" s="11" t="str"/>
      <x:c r="V282" s="12" t="str"/>
      <x:c r="W282" s="11" t="str"/>
      <x:c r="X282" s="11" t="str"/>
      <x:c r="Y282" s="3" t="str">
        <x:v>Nguồn: backend/src/modules/cms/cms.routes.ts; admin/src/components/cms/CmsManager.tsx. </x:v>
      </x:c>
    </x:row>
    <x:row r="283" ht="49" customHeight="1">
      <x:c r="A283" s="3" t="n">
        <x:v>282</x:v>
      </x:c>
      <x:c r="B283" s="3" t="str">
        <x:v>TC_SITE_029</x:v>
      </x:c>
      <x:c r="C283" s="3" t="str">
        <x:v>SITE</x:v>
      </x:c>
      <x:c r="D283" s="3" t="str">
        <x:v>Nội dung website</x:v>
      </x:c>
      <x:c r="E283" s="3" t="str">
        <x:v>Nội dung website</x:v>
      </x:c>
      <x:c r="F283" s="3" t="str">
        <x:v>Positive — JSON form không hợp lệ</x:v>
      </x:c>
      <x:c r="G283" s="3" t="str">
        <x:v>JSON form không hợp lệ</x:v>
      </x:c>
      <x:c r="H283" s="3" t="str">
        <x:v>SITE-001</x:v>
      </x:c>
      <x:c r="I283" s="3" t="str">
        <x:v>QTV có quyền tương ứng</x:v>
      </x:c>
      <x:c r="J283" s="3" t="str">
        <x:v>Positive</x:v>
      </x:c>
      <x:c r="K283" s="3" t="str">
        <x:v>Medium</x:v>
      </x:c>
      <x:c r="L283" s="3" t="str">
        <x:v>Medium</x:v>
      </x:c>
      <x:c r="M283" s="3" t="str">
        <x:v>Môi trường QA cô lập, DB/MinIO sẵn sàng; dữ liệu fixture đã tạo. Đăng nhập tài khoản ACTIVE, mustChangePassword=false.</x:v>
      </x:c>
      <x:c r="N283" s="3" t="str">
        <x:v>Dữ liệu QA tổng hợp; xem fixture trong README.</x:v>
      </x:c>
      <x:c r="O283" s="3" t="str">
        <x:v>1. Mở /admin/website
2. Nhập JSON {broken
3. Nhấn lưu</x:v>
      </x:c>
      <x:c r="P283" s="3" t="str">
        <x:v>Form báo lỗi JSON; không gửi giá trị không parse được.</x:v>
      </x:c>
      <x:c r="Q283" s="11" t="str"/>
      <x:c r="R283" s="8" t="str">
        <x:v>NOT RUN</x:v>
      </x:c>
      <x:c r="S283" s="11" t="str">
        <x:v>QA/UAT — cần điền URL/build</x:v>
      </x:c>
      <x:c r="T283" s="11" t="str">
        <x:v>Cần điền phiên bản thực</x:v>
      </x:c>
      <x:c r="U283" s="11" t="str"/>
      <x:c r="V283" s="12" t="str"/>
      <x:c r="W283" s="11" t="str"/>
      <x:c r="X283" s="11" t="str"/>
      <x:c r="Y283" s="3" t="str">
        <x:v>Nguồn: backend/src/modules/cms/cms.routes.ts; admin/src/components/cms/CmsManager.tsx. </x:v>
      </x:c>
    </x:row>
    <x:row r="284" ht="49" customHeight="1">
      <x:c r="A284" s="3" t="n">
        <x:v>283</x:v>
      </x:c>
      <x:c r="B284" s="3" t="str">
        <x:v>TC_SITE_030</x:v>
      </x:c>
      <x:c r="C284" s="3" t="str">
        <x:v>SITE</x:v>
      </x:c>
      <x:c r="D284" s="3" t="str">
        <x:v>Nội dung website</x:v>
      </x:c>
      <x:c r="E284" s="3" t="str">
        <x:v>Nội dung website</x:v>
      </x:c>
      <x:c r="F284" s="3" t="str">
        <x:v>Positive — Locale không hỗ trợ</x:v>
      </x:c>
      <x:c r="G284" s="3" t="str">
        <x:v>Locale không hỗ trợ</x:v>
      </x:c>
      <x:c r="H284" s="3" t="str">
        <x:v>SITE-001</x:v>
      </x:c>
      <x:c r="I284" s="3" t="str">
        <x:v>QTV có quyền tương ứng</x:v>
      </x:c>
      <x:c r="J284" s="3" t="str">
        <x:v>Positive</x:v>
      </x:c>
      <x:c r="K284" s="3" t="str">
        <x:v>Medium</x:v>
      </x:c>
      <x:c r="L284" s="3" t="str">
        <x:v>Medium</x:v>
      </x:c>
      <x:c r="M284" s="3" t="str">
        <x:v>Môi trường QA cô lập, DB/MinIO sẵn sàng; dữ liệu fixture đã tạo. Đăng nhập tài khoản ACTIVE, mustChangePassword=false.</x:v>
      </x:c>
      <x:c r="N284" s="3" t="str">
        <x:v>Dữ liệu QA tổng hợp; xem fixture trong README.</x:v>
      </x:c>
      <x:c r="O284" s="3" t="str">
        <x:v>1. POST SITE locale=fr</x:v>
      </x:c>
      <x:c r="P284" s="3" t="str">
        <x:v>Không upsert; lỗi validation, không ghi locale fr.</x:v>
      </x:c>
      <x:c r="Q284" s="11" t="str"/>
      <x:c r="R284" s="8" t="str">
        <x:v>NOT RUN</x:v>
      </x:c>
      <x:c r="S284" s="11" t="str">
        <x:v>QA/UAT — cần điền URL/build</x:v>
      </x:c>
      <x:c r="T284" s="11" t="str">
        <x:v>Cần điền phiên bản thực</x:v>
      </x:c>
      <x:c r="U284" s="11" t="str"/>
      <x:c r="V284" s="12" t="str"/>
      <x:c r="W284" s="11" t="str"/>
      <x:c r="X284" s="11" t="str"/>
      <x:c r="Y284" s="3" t="str">
        <x:v>Nguồn: backend/src/modules/cms/cms.routes.ts; admin/src/components/cms/CmsManager.tsx. </x:v>
      </x:c>
    </x:row>
    <x:row r="285" ht="36" customHeight="1">
      <x:c r="A285" s="3" t="n">
        <x:v>284</x:v>
      </x:c>
      <x:c r="B285" s="3" t="str">
        <x:v>TC_DATA_001</x:v>
      </x:c>
      <x:c r="C285" s="3" t="str">
        <x:v>DATA</x:v>
      </x:c>
      <x:c r="D285" s="3" t="str">
        <x:v>Dữ liệu và vận hành</x:v>
      </x:c>
      <x:c r="E285" s="3" t="str">
        <x:v>Dữ liệu và vận hành</x:v>
      </x:c>
      <x:c r="F285" s="3" t="str">
        <x:v>Integration — Theo dõi route visit</x:v>
      </x:c>
      <x:c r="G285" s="3" t="str">
        <x:v>Theo dõi route visit</x:v>
      </x:c>
      <x:c r="H285" s="3" t="str">
        <x:v>OBS-DATA</x:v>
      </x:c>
      <x:c r="I285" s="3" t="str">
        <x:v>QTV có quyền tương ứng</x:v>
      </x:c>
      <x:c r="J285" s="3" t="str">
        <x:v>Integration</x:v>
      </x:c>
      <x:c r="K285" s="3" t="str">
        <x:v>High</x:v>
      </x:c>
      <x:c r="L285" s="3" t="str">
        <x:v>High</x:v>
      </x:c>
      <x:c r="M285" s="3" t="str">
        <x:v>Chỉ dùng DB/MinIO QA riêng có thể reset; không tác động production.</x:v>
      </x:c>
      <x:c r="N285" s="3" t="str">
        <x:v>Dữ liệu QA tổng hợp; xem fixture trong README.</x:v>
      </x:c>
      <x:c r="O285" s="3" t="str">
        <x:v>1. Mở /vi/admissions
2. Kiểm tra request /api/analytics/visit và page_visits</x:v>
      </x:c>
      <x:c r="P285" s="3" t="str">
        <x:v>Có path/locale tương ứng route; không gửi thông tin mật khẩu/token.</x:v>
      </x:c>
      <x:c r="Q285" s="11" t="str"/>
      <x:c r="R285" s="8" t="str">
        <x:v>NOT RUN</x:v>
      </x:c>
      <x:c r="S285" s="11" t="str">
        <x:v>QA/UAT — cần điền URL/build</x:v>
      </x:c>
      <x:c r="T285" s="11" t="str">
        <x:v>Cần điền phiên bản thực</x:v>
      </x:c>
      <x:c r="U285" s="11" t="str"/>
      <x:c r="V285" s="12" t="str"/>
      <x:c r="W285" s="11" t="str"/>
      <x:c r="X285" s="11" t="str"/>
      <x:c r="Y285" s="3" t="str">
        <x:v>Nguồn: backend/prisma/migrations; backend/src/modules/cms/cms.routes.ts; docs/handover/09_BACKUP_AND_RESTORE.md. </x:v>
      </x:c>
    </x:row>
    <x:row r="286" ht="36" customHeight="1">
      <x:c r="A286" s="3" t="n">
        <x:v>285</x:v>
      </x:c>
      <x:c r="B286" s="3" t="str">
        <x:v>TC_DATA_002</x:v>
      </x:c>
      <x:c r="C286" s="3" t="str">
        <x:v>DATA</x:v>
      </x:c>
      <x:c r="D286" s="3" t="str">
        <x:v>Dữ liệu và vận hành</x:v>
      </x:c>
      <x:c r="E286" s="3" t="str">
        <x:v>Dữ liệu và vận hành</x:v>
      </x:c>
      <x:c r="F286" s="3" t="str">
        <x:v>Integration — Media không tồn tại</x:v>
      </x:c>
      <x:c r="G286" s="3" t="str">
        <x:v>Media không tồn tại</x:v>
      </x:c>
      <x:c r="H286" s="3" t="str">
        <x:v>OBS-DATA</x:v>
      </x:c>
      <x:c r="I286" s="3" t="str">
        <x:v>QTV có quyền tương ứng</x:v>
      </x:c>
      <x:c r="J286" s="3" t="str">
        <x:v>Integration</x:v>
      </x:c>
      <x:c r="K286" s="3" t="str">
        <x:v>High</x:v>
      </x:c>
      <x:c r="L286" s="3" t="str">
        <x:v>High</x:v>
      </x:c>
      <x:c r="M286" s="3" t="str">
        <x:v>Chỉ dùng DB/MinIO QA riêng có thể reset; không tác động production.</x:v>
      </x:c>
      <x:c r="N286" s="3" t="str">
        <x:v>Dữ liệu QA tổng hợp; xem fixture trong README.</x:v>
      </x:c>
      <x:c r="O286" s="3" t="str">
        <x:v>1. GET /api/public/media/qa-missing-file</x:v>
      </x:c>
      <x:c r="P286" s="3" t="str">
        <x:v>HTTP404 MEDIA_NOT_FOUND.</x:v>
      </x:c>
      <x:c r="Q286" s="11" t="str"/>
      <x:c r="R286" s="8" t="str">
        <x:v>NOT RUN</x:v>
      </x:c>
      <x:c r="S286" s="11" t="str">
        <x:v>QA/UAT — cần điền URL/build</x:v>
      </x:c>
      <x:c r="T286" s="11" t="str">
        <x:v>Cần điền phiên bản thực</x:v>
      </x:c>
      <x:c r="U286" s="11" t="str"/>
      <x:c r="V286" s="12" t="str"/>
      <x:c r="W286" s="11" t="str"/>
      <x:c r="X286" s="11" t="str"/>
      <x:c r="Y286" s="3" t="str">
        <x:v>Nguồn: backend/prisma/migrations; backend/src/modules/cms/cms.routes.ts; docs/handover/09_BACKUP_AND_RESTORE.md. </x:v>
      </x:c>
    </x:row>
    <x:row r="287" ht="36" customHeight="1">
      <x:c r="A287" s="3" t="n">
        <x:v>286</x:v>
      </x:c>
      <x:c r="B287" s="3" t="str">
        <x:v>TC_DATA_003</x:v>
      </x:c>
      <x:c r="C287" s="3" t="str">
        <x:v>DATA</x:v>
      </x:c>
      <x:c r="D287" s="3" t="str">
        <x:v>Dữ liệu và vận hành</x:v>
      </x:c>
      <x:c r="E287" s="3" t="str">
        <x:v>Dữ liệu và vận hành</x:v>
      </x:c>
      <x:c r="F287" s="3" t="str">
        <x:v>Integration — Health khi DB lỗi</x:v>
      </x:c>
      <x:c r="G287" s="3" t="str">
        <x:v>Health khi DB lỗi</x:v>
      </x:c>
      <x:c r="H287" s="3" t="str">
        <x:v>OBS-DATA</x:v>
      </x:c>
      <x:c r="I287" s="3" t="str">
        <x:v>QTV có quyền tương ứng</x:v>
      </x:c>
      <x:c r="J287" s="3" t="str">
        <x:v>Integration</x:v>
      </x:c>
      <x:c r="K287" s="3" t="str">
        <x:v>High</x:v>
      </x:c>
      <x:c r="L287" s="3" t="str">
        <x:v>High</x:v>
      </x:c>
      <x:c r="M287" s="3" t="str">
        <x:v>Chỉ dùng DB/MinIO QA riêng có thể reset; không tác động production.</x:v>
      </x:c>
      <x:c r="N287" s="3" t="str">
        <x:v>Dữ liệu QA tổng hợp; xem fixture trong README.</x:v>
      </x:c>
      <x:c r="O287" s="3" t="str">
        <x:v>1. Dừng kết nối DB của QA
2. GET /health và /ready</x:v>
      </x:c>
      <x:c r="P287" s="3" t="str">
        <x:v>health vẫn200 status ok; ready503 DATABASE_UNAVAILABLE.</x:v>
      </x:c>
      <x:c r="Q287" s="11" t="str"/>
      <x:c r="R287" s="8" t="str">
        <x:v>NOT RUN</x:v>
      </x:c>
      <x:c r="S287" s="11" t="str">
        <x:v>QA/UAT — cần điền URL/build</x:v>
      </x:c>
      <x:c r="T287" s="11" t="str">
        <x:v>Cần điền phiên bản thực</x:v>
      </x:c>
      <x:c r="U287" s="11" t="str"/>
      <x:c r="V287" s="12" t="str"/>
      <x:c r="W287" s="11" t="str"/>
      <x:c r="X287" s="11" t="str"/>
      <x:c r="Y287" s="3" t="str">
        <x:v>Nguồn: backend/prisma/migrations; backend/src/modules/cms/cms.routes.ts; docs/handover/09_BACKUP_AND_RESTORE.md. </x:v>
      </x:c>
    </x:row>
    <x:row r="288" ht="36" customHeight="1">
      <x:c r="A288" s="3" t="n">
        <x:v>287</x:v>
      </x:c>
      <x:c r="B288" s="3" t="str">
        <x:v>TC_DATA_004</x:v>
      </x:c>
      <x:c r="C288" s="3" t="str">
        <x:v>DATA</x:v>
      </x:c>
      <x:c r="D288" s="3" t="str">
        <x:v>Dữ liệu và vận hành</x:v>
      </x:c>
      <x:c r="E288" s="3" t="str">
        <x:v>Dữ liệu và vận hành</x:v>
      </x:c>
      <x:c r="F288" s="3" t="str">
        <x:v>Integration — Migration DB mới</x:v>
      </x:c>
      <x:c r="G288" s="3" t="str">
        <x:v>Migration DB mới</x:v>
      </x:c>
      <x:c r="H288" s="3" t="str">
        <x:v>OBS-DATA</x:v>
      </x:c>
      <x:c r="I288" s="3" t="str">
        <x:v>QTV có quyền tương ứng</x:v>
      </x:c>
      <x:c r="J288" s="3" t="str">
        <x:v>Integration</x:v>
      </x:c>
      <x:c r="K288" s="3" t="str">
        <x:v>High</x:v>
      </x:c>
      <x:c r="L288" s="3" t="str">
        <x:v>High</x:v>
      </x:c>
      <x:c r="M288" s="3" t="str">
        <x:v>Chỉ dùng DB/MinIO QA riêng có thể reset; không tác động production.</x:v>
      </x:c>
      <x:c r="N288" s="3" t="str">
        <x:v>Dữ liệu QA tổng hợp; xem fixture trong README.</x:v>
      </x:c>
      <x:c r="O288" s="3" t="str">
        <x:v>1. Trên DB QA trống chạy migration backend theo hướng dẫn
2. Kiểm tra schema</x:v>
      </x:c>
      <x:c r="P288" s="3" t="str">
        <x:v>Các bảng/FK/index/enum khớp schema hiện hành; migration chạy không lỗi.</x:v>
      </x:c>
      <x:c r="Q288" s="11" t="str"/>
      <x:c r="R288" s="8" t="str">
        <x:v>NOT RUN</x:v>
      </x:c>
      <x:c r="S288" s="11" t="str">
        <x:v>QA/UAT — cần điền URL/build</x:v>
      </x:c>
      <x:c r="T288" s="11" t="str">
        <x:v>Cần điền phiên bản thực</x:v>
      </x:c>
      <x:c r="U288" s="11" t="str"/>
      <x:c r="V288" s="12" t="str"/>
      <x:c r="W288" s="11" t="str"/>
      <x:c r="X288" s="11" t="str"/>
      <x:c r="Y288" s="3" t="str">
        <x:v>Nguồn: backend/prisma/migrations; backend/src/modules/cms/cms.routes.ts; docs/handover/09_BACKUP_AND_RESTORE.md. </x:v>
      </x:c>
    </x:row>
    <x:row r="289" ht="49" customHeight="1">
      <x:c r="A289" s="3" t="n">
        <x:v>288</x:v>
      </x:c>
      <x:c r="B289" s="3" t="str">
        <x:v>TC_DATA_005</x:v>
      </x:c>
      <x:c r="C289" s="3" t="str">
        <x:v>DATA</x:v>
      </x:c>
      <x:c r="D289" s="3" t="str">
        <x:v>Dữ liệu và vận hành</x:v>
      </x:c>
      <x:c r="E289" s="3" t="str">
        <x:v>Dữ liệu và vận hành</x:v>
      </x:c>
      <x:c r="F289" s="3" t="str">
        <x:v>Integration — Migration DB có dữ liệu cũ</x:v>
      </x:c>
      <x:c r="G289" s="3" t="str">
        <x:v>Migration DB có dữ liệu cũ</x:v>
      </x:c>
      <x:c r="H289" s="3" t="str">
        <x:v>OBS-DATA</x:v>
      </x:c>
      <x:c r="I289" s="3" t="str">
        <x:v>QTV có quyền tương ứng</x:v>
      </x:c>
      <x:c r="J289" s="3" t="str">
        <x:v>Integration</x:v>
      </x:c>
      <x:c r="K289" s="3" t="str">
        <x:v>High</x:v>
      </x:c>
      <x:c r="L289" s="3" t="str">
        <x:v>High</x:v>
      </x:c>
      <x:c r="M289" s="3" t="str">
        <x:v>Chỉ dùng DB/MinIO QA riêng có thể reset; không tác động production.</x:v>
      </x:c>
      <x:c r="N289" s="3" t="str">
        <x:v>Dữ liệu QA tổng hợp; xem fixture trong README.</x:v>
      </x:c>
      <x:c r="O289" s="3" t="str">
        <x:v>1. Restore DB fixture trước migration resource/reset
2. Áp migration mới
3. Đối chiếu count/FK</x:v>
      </x:c>
      <x:c r="P289" s="3" t="str">
        <x:v>Dữ liệu cũ không mất; resource metadata, category và reset token schema đúng migration.</x:v>
      </x:c>
      <x:c r="Q289" s="11" t="str"/>
      <x:c r="R289" s="8" t="str">
        <x:v>NOT RUN</x:v>
      </x:c>
      <x:c r="S289" s="11" t="str">
        <x:v>QA/UAT — cần điền URL/build</x:v>
      </x:c>
      <x:c r="T289" s="11" t="str">
        <x:v>Cần điền phiên bản thực</x:v>
      </x:c>
      <x:c r="U289" s="11" t="str"/>
      <x:c r="V289" s="12" t="str"/>
      <x:c r="W289" s="11" t="str"/>
      <x:c r="X289" s="11" t="str"/>
      <x:c r="Y289" s="3" t="str">
        <x:v>Nguồn: backend/prisma/migrations; backend/src/modules/cms/cms.routes.ts; docs/handover/09_BACKUP_AND_RESTORE.md. </x:v>
      </x:c>
    </x:row>
    <x:row r="290" ht="36" customHeight="1">
      <x:c r="A290" s="3" t="n">
        <x:v>289</x:v>
      </x:c>
      <x:c r="B290" s="3" t="str">
        <x:v>TC_DATA_006</x:v>
      </x:c>
      <x:c r="C290" s="3" t="str">
        <x:v>DATA</x:v>
      </x:c>
      <x:c r="D290" s="3" t="str">
        <x:v>Dữ liệu và vận hành</x:v>
      </x:c>
      <x:c r="E290" s="3" t="str">
        <x:v>Dữ liệu và vận hành</x:v>
      </x:c>
      <x:c r="F290" s="3" t="str">
        <x:v>Integration — Migration chạy lại</x:v>
      </x:c>
      <x:c r="G290" s="3" t="str">
        <x:v>Migration chạy lại</x:v>
      </x:c>
      <x:c r="H290" s="3" t="str">
        <x:v>OBS-DATA</x:v>
      </x:c>
      <x:c r="I290" s="3" t="str">
        <x:v>QTV có quyền tương ứng</x:v>
      </x:c>
      <x:c r="J290" s="3" t="str">
        <x:v>Integration</x:v>
      </x:c>
      <x:c r="K290" s="3" t="str">
        <x:v>High</x:v>
      </x:c>
      <x:c r="L290" s="3" t="str">
        <x:v>High</x:v>
      </x:c>
      <x:c r="M290" s="3" t="str">
        <x:v>Chỉ dùng DB/MinIO QA riêng có thể reset; không tác động production.</x:v>
      </x:c>
      <x:c r="N290" s="3" t="str">
        <x:v>Dữ liệu QA tổng hợp; xem fixture trong README.</x:v>
      </x:c>
      <x:c r="O290" s="3" t="str">
        <x:v>1. Chạy deploy migration đã áp
2. So schema và counts</x:v>
      </x:c>
      <x:c r="P290" s="3" t="str">
        <x:v>Không chạy lại migration đã ghi nhận; dữ liệu không nhân bản.</x:v>
      </x:c>
      <x:c r="Q290" s="11" t="str"/>
      <x:c r="R290" s="8" t="str">
        <x:v>NOT RUN</x:v>
      </x:c>
      <x:c r="S290" s="11" t="str">
        <x:v>QA/UAT — cần điền URL/build</x:v>
      </x:c>
      <x:c r="T290" s="11" t="str">
        <x:v>Cần điền phiên bản thực</x:v>
      </x:c>
      <x:c r="U290" s="11" t="str"/>
      <x:c r="V290" s="12" t="str"/>
      <x:c r="W290" s="11" t="str"/>
      <x:c r="X290" s="11" t="str"/>
      <x:c r="Y290" s="3" t="str">
        <x:v>Nguồn: backend/prisma/migrations; backend/src/modules/cms/cms.routes.ts; docs/handover/09_BACKUP_AND_RESTORE.md. </x:v>
      </x:c>
    </x:row>
    <x:row r="291" ht="49" customHeight="1">
      <x:c r="A291" s="3" t="n">
        <x:v>290</x:v>
      </x:c>
      <x:c r="B291" s="3" t="str">
        <x:v>TC_DATA_007</x:v>
      </x:c>
      <x:c r="C291" s="3" t="str">
        <x:v>DATA</x:v>
      </x:c>
      <x:c r="D291" s="3" t="str">
        <x:v>Dữ liệu và vận hành</x:v>
      </x:c>
      <x:c r="E291" s="3" t="str">
        <x:v>Dữ liệu và vận hành</x:v>
      </x:c>
      <x:c r="F291" s="3" t="str">
        <x:v>Integration — Backup restore DB và MinIO</x:v>
      </x:c>
      <x:c r="G291" s="3" t="str">
        <x:v>Backup restore DB và MinIO</x:v>
      </x:c>
      <x:c r="H291" s="3" t="str">
        <x:v>NFR-002</x:v>
      </x:c>
      <x:c r="I291" s="3" t="str">
        <x:v>QTV có quyền tương ứng</x:v>
      </x:c>
      <x:c r="J291" s="3" t="str">
        <x:v>Integration</x:v>
      </x:c>
      <x:c r="K291" s="3" t="str">
        <x:v>High</x:v>
      </x:c>
      <x:c r="L291" s="3" t="str">
        <x:v>High</x:v>
      </x:c>
      <x:c r="M291" s="3" t="str">
        <x:v>Chỉ dùng DB/MinIO QA riêng có thể reset; không tác động production.</x:v>
      </x:c>
      <x:c r="N291" s="3" t="str">
        <x:v>Dữ liệu QA tổng hợp; xem fixture trong README.</x:v>
      </x:c>
      <x:c r="O291" s="3" t="str">
        <x:v>1. Tạo news/resource với ảnh và lead QA
2. Backup rồi restore sang môi trường khác
3. So ID/count và SHA256 object</x:v>
      </x:c>
      <x:c r="P291" s="3" t="str">
        <x:v>DB và object khớp snapshot; URL nội bộ đọc được; không mất quan hệ.</x:v>
      </x:c>
      <x:c r="Q291" s="11" t="str"/>
      <x:c r="R291" s="8" t="str">
        <x:v>NOT RUN</x:v>
      </x:c>
      <x:c r="S291" s="11" t="str">
        <x:v>QA/UAT — cần điền URL/build</x:v>
      </x:c>
      <x:c r="T291" s="11" t="str">
        <x:v>Cần điền phiên bản thực</x:v>
      </x:c>
      <x:c r="U291" s="11" t="str"/>
      <x:c r="V291" s="12" t="str"/>
      <x:c r="W291" s="11" t="str"/>
      <x:c r="X291" s="11" t="str"/>
      <x:c r="Y291" s="3" t="str">
        <x:v>Nguồn: backend/prisma/migrations; backend/src/modules/cms/cms.routes.ts; docs/handover/09_BACKUP_AND_RESTORE.md. </x:v>
      </x:c>
    </x:row>
    <x:row r="292" ht="49" customHeight="1">
      <x:c r="A292" s="3" t="n">
        <x:v>291</x:v>
      </x:c>
      <x:c r="B292" s="3" t="str">
        <x:v>TC_SCOPE_001</x:v>
      </x:c>
      <x:c r="C292" s="3" t="str">
        <x:v>SCOPE</x:v>
      </x:c>
      <x:c r="D292" s="3" t="str">
        <x:v>Quyết định nghiệm thu</x:v>
      </x:c>
      <x:c r="E292" s="3" t="str">
        <x:v>Quyết định nghiệm thu</x:v>
      </x:c>
      <x:c r="F292" s="3" t="str">
        <x:v>Review — OQ-001 — Phạm vi</x:v>
      </x:c>
      <x:c r="G292" s="3" t="str">
        <x:v>OQ-001 — Phạm vi</x:v>
      </x:c>
      <x:c r="H292" s="3" t="str">
        <x:v>OBS-SCOPE</x:v>
      </x:c>
      <x:c r="I292" s="3" t="str">
        <x:v>QTV có quyền tương ứng</x:v>
      </x:c>
      <x:c r="J292" s="3" t="str">
        <x:v>Review</x:v>
      </x:c>
      <x:c r="K292" s="3" t="str">
        <x:v>High</x:v>
      </x:c>
      <x:c r="L292" s="3" t="str">
        <x:v>High</x:v>
      </x:c>
      <x:c r="M292" s="3" t="str">
        <x:v>Môi trường QA cô lập, DB/MinIO sẵn sàng; dữ liệu fixture đã tạo. Đăng nhập tài khoản ACTIVE, mustChangePassword=false.</x:v>
      </x:c>
      <x:c r="N292" s="3" t="str">
        <x:v>Dữ liệu QA tổng hợp; xem fixture trong README.</x:v>
      </x:c>
      <x:c r="O292" s="3" t="str">
        <x:v>1. Đọc câu hỏi và nguồn BA
2. Yêu cầu owner ghi quyết định và minh chứng vào Notes
3. Cập nhật các case chịu ảnh hưởng</x:v>
      </x:c>
      <x:c r="P292" s="3" t="str">
        <x:v>Có quyết định nêu rõ owner, phạm vi, tiêu chí có thể kiểm thử; chưa có quyết định thì giữ NEED CONFIRMATION.</x:v>
      </x:c>
      <x:c r="Q292" s="11" t="str"/>
      <x:c r="R292" s="9" t="str">
        <x:v>NEED CONFIRMATION</x:v>
      </x:c>
      <x:c r="S292" s="11" t="str">
        <x:v>QA/UAT — cần điền URL/build</x:v>
      </x:c>
      <x:c r="T292" s="11" t="str">
        <x:v>Cần điền phiên bản thực</x:v>
      </x:c>
      <x:c r="U292" s="11" t="str"/>
      <x:c r="V292" s="12" t="str"/>
      <x:c r="W292" s="11" t="str"/>
      <x:c r="X292" s="11" t="str"/>
      <x:c r="Y292" s="3" t="str">
        <x:v>Nguồn: docs/ba/02-requirements/VGG_REQ-WORKBOOK_v0.1_2026-09-04.xlsx / Open Questions &amp; Decisions. Need Confirmation: Ai là Business Owner và ai có quyền phê duyệt BRD/SRS/UAT?</x:v>
      </x:c>
    </x:row>
    <x:row r="293" ht="49" customHeight="1">
      <x:c r="A293" s="3" t="n">
        <x:v>292</x:v>
      </x:c>
      <x:c r="B293" s="3" t="str">
        <x:v>TC_SCOPE_002</x:v>
      </x:c>
      <x:c r="C293" s="3" t="str">
        <x:v>SCOPE</x:v>
      </x:c>
      <x:c r="D293" s="3" t="str">
        <x:v>Quyết định nghiệm thu</x:v>
      </x:c>
      <x:c r="E293" s="3" t="str">
        <x:v>Quyết định nghiệm thu</x:v>
      </x:c>
      <x:c r="F293" s="3" t="str">
        <x:v>Review — OQ-002 — Nội dung</x:v>
      </x:c>
      <x:c r="G293" s="3" t="str">
        <x:v>OQ-002 — Nội dung</x:v>
      </x:c>
      <x:c r="H293" s="3" t="str">
        <x:v>OBS-SCOPE</x:v>
      </x:c>
      <x:c r="I293" s="3" t="str">
        <x:v>QTV có quyền tương ứng</x:v>
      </x:c>
      <x:c r="J293" s="3" t="str">
        <x:v>Review</x:v>
      </x:c>
      <x:c r="K293" s="3" t="str">
        <x:v>High</x:v>
      </x:c>
      <x:c r="L293" s="3" t="str">
        <x:v>High</x:v>
      </x:c>
      <x:c r="M293" s="3" t="str">
        <x:v>Môi trường QA cô lập, DB/MinIO sẵn sàng; dữ liệu fixture đã tạo. Đăng nhập tài khoản ACTIVE, mustChangePassword=false.</x:v>
      </x:c>
      <x:c r="N293" s="3" t="str">
        <x:v>Dữ liệu QA tổng hợp; xem fixture trong README.</x:v>
      </x:c>
      <x:c r="O293" s="3" t="str">
        <x:v>1. Đọc câu hỏi và nguồn BA
2. Yêu cầu owner ghi quyết định và minh chứng vào Notes
3. Cập nhật các case chịu ảnh hưởng</x:v>
      </x:c>
      <x:c r="P293" s="3" t="str">
        <x:v>Có quyết định nêu rõ owner, phạm vi, tiêu chí có thể kiểm thử; chưa có quyết định thì giữ NEED CONFIRMATION.</x:v>
      </x:c>
      <x:c r="Q293" s="11" t="str"/>
      <x:c r="R293" s="9" t="str">
        <x:v>NEED CONFIRMATION</x:v>
      </x:c>
      <x:c r="S293" s="11" t="str">
        <x:v>QA/UAT — cần điền URL/build</x:v>
      </x:c>
      <x:c r="T293" s="11" t="str">
        <x:v>Cần điền phiên bản thực</x:v>
      </x:c>
      <x:c r="U293" s="11" t="str"/>
      <x:c r="V293" s="12" t="str"/>
      <x:c r="W293" s="11" t="str"/>
      <x:c r="X293" s="11" t="str"/>
      <x:c r="Y293" s="3" t="str">
        <x:v>Nguồn: docs/ba/02-requirements/VGG_REQ-WORKBOOK_v0.1_2026-09-04.xlsx / Open Questions &amp; Decisions. Need Confirmation: Có quy trình duyệt 4 mắt trước khi xuất bản tin/tài nguyên không?</x:v>
      </x:c>
    </x:row>
    <x:row r="294" ht="49" customHeight="1">
      <x:c r="A294" s="3" t="n">
        <x:v>293</x:v>
      </x:c>
      <x:c r="B294" s="3" t="str">
        <x:v>TC_SCOPE_003</x:v>
      </x:c>
      <x:c r="C294" s="3" t="str">
        <x:v>SCOPE</x:v>
      </x:c>
      <x:c r="D294" s="3" t="str">
        <x:v>Quyết định nghiệm thu</x:v>
      </x:c>
      <x:c r="E294" s="3" t="str">
        <x:v>Quyết định nghiệm thu</x:v>
      </x:c>
      <x:c r="F294" s="3" t="str">
        <x:v>Review — OQ-003 — Tư vấn</x:v>
      </x:c>
      <x:c r="G294" s="3" t="str">
        <x:v>OQ-003 — Tư vấn</x:v>
      </x:c>
      <x:c r="H294" s="3" t="str">
        <x:v>OBS-SCOPE</x:v>
      </x:c>
      <x:c r="I294" s="3" t="str">
        <x:v>QTV có quyền tương ứng</x:v>
      </x:c>
      <x:c r="J294" s="3" t="str">
        <x:v>Review</x:v>
      </x:c>
      <x:c r="K294" s="3" t="str">
        <x:v>High</x:v>
      </x:c>
      <x:c r="L294" s="3" t="str">
        <x:v>High</x:v>
      </x:c>
      <x:c r="M294" s="3" t="str">
        <x:v>Môi trường QA cô lập, DB/MinIO sẵn sàng; dữ liệu fixture đã tạo. Đăng nhập tài khoản ACTIVE, mustChangePassword=false.</x:v>
      </x:c>
      <x:c r="N294" s="3" t="str">
        <x:v>Dữ liệu QA tổng hợp; xem fixture trong README.</x:v>
      </x:c>
      <x:c r="O294" s="3" t="str">
        <x:v>1. Đọc câu hỏi và nguồn BA
2. Yêu cầu owner ghi quyết định và minh chứng vào Notes
3. Cập nhật các case chịu ảnh hưởng</x:v>
      </x:c>
      <x:c r="P294" s="3" t="str">
        <x:v>Có quyết định nêu rõ owner, phạm vi, tiêu chí có thể kiểm thử; chưa có quyết định thì giữ NEED CONFIRMATION.</x:v>
      </x:c>
      <x:c r="Q294" s="11" t="str"/>
      <x:c r="R294" s="9" t="str">
        <x:v>NEED CONFIRMATION</x:v>
      </x:c>
      <x:c r="S294" s="11" t="str">
        <x:v>QA/UAT — cần điền URL/build</x:v>
      </x:c>
      <x:c r="T294" s="11" t="str">
        <x:v>Cần điền phiên bản thực</x:v>
      </x:c>
      <x:c r="U294" s="11" t="str"/>
      <x:c r="V294" s="12" t="str"/>
      <x:c r="W294" s="11" t="str"/>
      <x:c r="X294" s="11" t="str"/>
      <x:c r="Y294" s="3" t="str">
        <x:v>Nguồn: docs/ba/02-requirements/VGG_REQ-WORKBOOK_v0.1_2026-09-04.xlsx / Open Questions &amp; Decisions. Need Confirmation: Ma trận chuyển trạng thái, SLA liên hệ và quy tắc phân công là gì?</x:v>
      </x:c>
    </x:row>
    <x:row r="295" ht="49" customHeight="1">
      <x:c r="A295" s="3" t="n">
        <x:v>294</x:v>
      </x:c>
      <x:c r="B295" s="3" t="str">
        <x:v>TC_SCOPE_004</x:v>
      </x:c>
      <x:c r="C295" s="3" t="str">
        <x:v>SCOPE</x:v>
      </x:c>
      <x:c r="D295" s="3" t="str">
        <x:v>Quyết định nghiệm thu</x:v>
      </x:c>
      <x:c r="E295" s="3" t="str">
        <x:v>Quyết định nghiệm thu</x:v>
      </x:c>
      <x:c r="F295" s="3" t="str">
        <x:v>Review — OQ-004 — Dữ liệu cá nhân</x:v>
      </x:c>
      <x:c r="G295" s="3" t="str">
        <x:v>OQ-004 — Dữ liệu cá nhân</x:v>
      </x:c>
      <x:c r="H295" s="3" t="str">
        <x:v>OBS-SCOPE</x:v>
      </x:c>
      <x:c r="I295" s="3" t="str">
        <x:v>QTV có quyền tương ứng</x:v>
      </x:c>
      <x:c r="J295" s="3" t="str">
        <x:v>Review</x:v>
      </x:c>
      <x:c r="K295" s="3" t="str">
        <x:v>High</x:v>
      </x:c>
      <x:c r="L295" s="3" t="str">
        <x:v>High</x:v>
      </x:c>
      <x:c r="M295" s="3" t="str">
        <x:v>Môi trường QA cô lập, DB/MinIO sẵn sàng; dữ liệu fixture đã tạo. Đăng nhập tài khoản ACTIVE, mustChangePassword=false.</x:v>
      </x:c>
      <x:c r="N295" s="3" t="str">
        <x:v>Dữ liệu QA tổng hợp; xem fixture trong README.</x:v>
      </x:c>
      <x:c r="O295" s="3" t="str">
        <x:v>1. Đọc câu hỏi và nguồn BA
2. Yêu cầu owner ghi quyết định và minh chứng vào Notes
3. Cập nhật các case chịu ảnh hưởng</x:v>
      </x:c>
      <x:c r="P295" s="3" t="str">
        <x:v>Có quyết định nêu rõ owner, phạm vi, tiêu chí có thể kiểm thử; chưa có quyết định thì giữ NEED CONFIRMATION.</x:v>
      </x:c>
      <x:c r="Q295" s="11" t="str"/>
      <x:c r="R295" s="9" t="str">
        <x:v>NEED CONFIRMATION</x:v>
      </x:c>
      <x:c r="S295" s="11" t="str">
        <x:v>QA/UAT — cần điền URL/build</x:v>
      </x:c>
      <x:c r="T295" s="11" t="str">
        <x:v>Cần điền phiên bản thực</x:v>
      </x:c>
      <x:c r="U295" s="11" t="str"/>
      <x:c r="V295" s="12" t="str"/>
      <x:c r="W295" s="11" t="str"/>
      <x:c r="X295" s="11" t="str"/>
      <x:c r="Y295" s="3" t="str">
        <x:v>Nguồn: docs/ba/02-requirements/VGG_REQ-WORKBOOK_v0.1_2026-09-04.xlsx / Open Questions &amp; Decisions. Need Confirmation: Cơ sở pháp lý, nội dung consent, retention và quyền xóa/xuất dữ liệu là gì?</x:v>
      </x:c>
    </x:row>
    <x:row r="296" ht="49" customHeight="1">
      <x:c r="A296" s="3" t="n">
        <x:v>295</x:v>
      </x:c>
      <x:c r="B296" s="3" t="str">
        <x:v>TC_SCOPE_005</x:v>
      </x:c>
      <x:c r="C296" s="3" t="str">
        <x:v>SCOPE</x:v>
      </x:c>
      <x:c r="D296" s="3" t="str">
        <x:v>Quyết định nghiệm thu</x:v>
      </x:c>
      <x:c r="E296" s="3" t="str">
        <x:v>Quyết định nghiệm thu</x:v>
      </x:c>
      <x:c r="F296" s="3" t="str">
        <x:v>Review — OQ-005 — Tệp</x:v>
      </x:c>
      <x:c r="G296" s="3" t="str">
        <x:v>OQ-005 — Tệp</x:v>
      </x:c>
      <x:c r="H296" s="3" t="str">
        <x:v>OBS-SCOPE</x:v>
      </x:c>
      <x:c r="I296" s="3" t="str">
        <x:v>QTV có quyền tương ứng</x:v>
      </x:c>
      <x:c r="J296" s="3" t="str">
        <x:v>Review</x:v>
      </x:c>
      <x:c r="K296" s="3" t="str">
        <x:v>High</x:v>
      </x:c>
      <x:c r="L296" s="3" t="str">
        <x:v>High</x:v>
      </x:c>
      <x:c r="M296" s="3" t="str">
        <x:v>Môi trường QA cô lập, DB/MinIO sẵn sàng; dữ liệu fixture đã tạo. Đăng nhập tài khoản ACTIVE, mustChangePassword=false.</x:v>
      </x:c>
      <x:c r="N296" s="3" t="str">
        <x:v>Dữ liệu QA tổng hợp; xem fixture trong README.</x:v>
      </x:c>
      <x:c r="O296" s="3" t="str">
        <x:v>1. Đọc câu hỏi và nguồn BA
2. Yêu cầu owner ghi quyết định và minh chứng vào Notes
3. Cập nhật các case chịu ảnh hưởng</x:v>
      </x:c>
      <x:c r="P296" s="3" t="str">
        <x:v>Có quyết định nêu rõ owner, phạm vi, tiêu chí có thể kiểm thử; chưa có quyết định thì giữ NEED CONFIRMATION.</x:v>
      </x:c>
      <x:c r="Q296" s="11" t="str"/>
      <x:c r="R296" s="9" t="str">
        <x:v>NEED CONFIRMATION</x:v>
      </x:c>
      <x:c r="S296" s="11" t="str">
        <x:v>QA/UAT — cần điền URL/build</x:v>
      </x:c>
      <x:c r="T296" s="11" t="str">
        <x:v>Cần điền phiên bản thực</x:v>
      </x:c>
      <x:c r="U296" s="11" t="str"/>
      <x:c r="V296" s="12" t="str"/>
      <x:c r="W296" s="11" t="str"/>
      <x:c r="X296" s="11" t="str"/>
      <x:c r="Y296" s="3" t="str">
        <x:v>Nguồn: docs/ba/02-requirements/VGG_REQ-WORKBOOK_v0.1_2026-09-04.xlsx / Open Questions &amp; Decisions. Need Confirmation: Chọn ngưỡng upload tài nguyên 25 MB hay 50 MB; có quét malware không?</x:v>
      </x:c>
    </x:row>
    <x:row r="297" ht="49" customHeight="1">
      <x:c r="A297" s="3" t="n">
        <x:v>296</x:v>
      </x:c>
      <x:c r="B297" s="3" t="str">
        <x:v>TC_SCOPE_006</x:v>
      </x:c>
      <x:c r="C297" s="3" t="str">
        <x:v>SCOPE</x:v>
      </x:c>
      <x:c r="D297" s="3" t="str">
        <x:v>Quyết định nghiệm thu</x:v>
      </x:c>
      <x:c r="E297" s="3" t="str">
        <x:v>Quyết định nghiệm thu</x:v>
      </x:c>
      <x:c r="F297" s="3" t="str">
        <x:v>Review — OQ-006 — Xóa</x:v>
      </x:c>
      <x:c r="G297" s="3" t="str">
        <x:v>OQ-006 — Xóa</x:v>
      </x:c>
      <x:c r="H297" s="3" t="str">
        <x:v>OBS-SCOPE</x:v>
      </x:c>
      <x:c r="I297" s="3" t="str">
        <x:v>QTV có quyền tương ứng</x:v>
      </x:c>
      <x:c r="J297" s="3" t="str">
        <x:v>Review</x:v>
      </x:c>
      <x:c r="K297" s="3" t="str">
        <x:v>High</x:v>
      </x:c>
      <x:c r="L297" s="3" t="str">
        <x:v>High</x:v>
      </x:c>
      <x:c r="M297" s="3" t="str">
        <x:v>Môi trường QA cô lập, DB/MinIO sẵn sàng; dữ liệu fixture đã tạo. Đăng nhập tài khoản ACTIVE, mustChangePassword=false.</x:v>
      </x:c>
      <x:c r="N297" s="3" t="str">
        <x:v>Dữ liệu QA tổng hợp; xem fixture trong README.</x:v>
      </x:c>
      <x:c r="O297" s="3" t="str">
        <x:v>1. Đọc câu hỏi và nguồn BA
2. Yêu cầu owner ghi quyết định và minh chứng vào Notes
3. Cập nhật các case chịu ảnh hưởng</x:v>
      </x:c>
      <x:c r="P297" s="3" t="str">
        <x:v>Có quyết định nêu rõ owner, phạm vi, tiêu chí có thể kiểm thử; chưa có quyết định thì giữ NEED CONFIRMATION.</x:v>
      </x:c>
      <x:c r="Q297" s="11" t="str"/>
      <x:c r="R297" s="9" t="str">
        <x:v>NEED CONFIRMATION</x:v>
      </x:c>
      <x:c r="S297" s="11" t="str">
        <x:v>QA/UAT — cần điền URL/build</x:v>
      </x:c>
      <x:c r="T297" s="11" t="str">
        <x:v>Cần điền phiên bản thực</x:v>
      </x:c>
      <x:c r="U297" s="11" t="str"/>
      <x:c r="V297" s="12" t="str"/>
      <x:c r="W297" s="11" t="str"/>
      <x:c r="X297" s="11" t="str"/>
      <x:c r="Y297" s="3" t="str">
        <x:v>Nguồn: docs/ba/02-requirements/VGG_REQ-WORKBOOK_v0.1_2026-09-04.xlsx / Open Questions &amp; Decisions. Need Confirmation: Xóa tài nguyên là soft delete hay hard delete; có xóa object MinIO không?</x:v>
      </x:c>
    </x:row>
    <x:row r="298" ht="49" customHeight="1">
      <x:c r="A298" s="3" t="n">
        <x:v>297</x:v>
      </x:c>
      <x:c r="B298" s="3" t="str">
        <x:v>TC_SCOPE_007</x:v>
      </x:c>
      <x:c r="C298" s="3" t="str">
        <x:v>SCOPE</x:v>
      </x:c>
      <x:c r="D298" s="3" t="str">
        <x:v>Quyết định nghiệm thu</x:v>
      </x:c>
      <x:c r="E298" s="3" t="str">
        <x:v>Quyết định nghiệm thu</x:v>
      </x:c>
      <x:c r="F298" s="3" t="str">
        <x:v>Review — OQ-007 — Hồ sơ</x:v>
      </x:c>
      <x:c r="G298" s="3" t="str">
        <x:v>OQ-007 — Hồ sơ</x:v>
      </x:c>
      <x:c r="H298" s="3" t="str">
        <x:v>OBS-SCOPE</x:v>
      </x:c>
      <x:c r="I298" s="3" t="str">
        <x:v>QTV có quyền tương ứng</x:v>
      </x:c>
      <x:c r="J298" s="3" t="str">
        <x:v>Review</x:v>
      </x:c>
      <x:c r="K298" s="3" t="str">
        <x:v>High</x:v>
      </x:c>
      <x:c r="L298" s="3" t="str">
        <x:v>High</x:v>
      </x:c>
      <x:c r="M298" s="3" t="str">
        <x:v>Môi trường QA cô lập, DB/MinIO sẵn sàng; dữ liệu fixture đã tạo. Đăng nhập tài khoản ACTIVE, mustChangePassword=false.</x:v>
      </x:c>
      <x:c r="N298" s="3" t="str">
        <x:v>Dữ liệu QA tổng hợp; xem fixture trong README.</x:v>
      </x:c>
      <x:c r="O298" s="3" t="str">
        <x:v>1. Đọc câu hỏi và nguồn BA
2. Yêu cầu owner ghi quyết định và minh chứng vào Notes
3. Cập nhật các case chịu ảnh hưởng</x:v>
      </x:c>
      <x:c r="P298" s="3" t="str">
        <x:v>Có quyết định nêu rõ owner, phạm vi, tiêu chí có thể kiểm thử; chưa có quyết định thì giữ NEED CONFIRMATION.</x:v>
      </x:c>
      <x:c r="Q298" s="11" t="str"/>
      <x:c r="R298" s="9" t="str">
        <x:v>NEED CONFIRMATION</x:v>
      </x:c>
      <x:c r="S298" s="11" t="str">
        <x:v>QA/UAT — cần điền URL/build</x:v>
      </x:c>
      <x:c r="T298" s="11" t="str">
        <x:v>Cần điền phiên bản thực</x:v>
      </x:c>
      <x:c r="U298" s="11" t="str"/>
      <x:c r="V298" s="12" t="str"/>
      <x:c r="W298" s="11" t="str"/>
      <x:c r="X298" s="11" t="str"/>
      <x:c r="Y298" s="3" t="str">
        <x:v>Nguồn: docs/ba/02-requirements/VGG_REQ-WORKBOOK_v0.1_2026-09-04.xlsx / Open Questions &amp; Decisions. Need Confirmation: Nguồn tạo Application và quy trình xử lý/nghiệm thu module này?</x:v>
      </x:c>
    </x:row>
    <x:row r="299" ht="49" customHeight="1">
      <x:c r="A299" s="3" t="n">
        <x:v>298</x:v>
      </x:c>
      <x:c r="B299" s="3" t="str">
        <x:v>TC_SCOPE_008</x:v>
      </x:c>
      <x:c r="C299" s="3" t="str">
        <x:v>SCOPE</x:v>
      </x:c>
      <x:c r="D299" s="3" t="str">
        <x:v>Quyết định nghiệm thu</x:v>
      </x:c>
      <x:c r="E299" s="3" t="str">
        <x:v>Quyết định nghiệm thu</x:v>
      </x:c>
      <x:c r="F299" s="3" t="str">
        <x:v>Review — OQ-008 — Vận hành</x:v>
      </x:c>
      <x:c r="G299" s="3" t="str">
        <x:v>OQ-008 — Vận hành</x:v>
      </x:c>
      <x:c r="H299" s="3" t="str">
        <x:v>OBS-SCOPE</x:v>
      </x:c>
      <x:c r="I299" s="3" t="str">
        <x:v>QTV có quyền tương ứng</x:v>
      </x:c>
      <x:c r="J299" s="3" t="str">
        <x:v>Review</x:v>
      </x:c>
      <x:c r="K299" s="3" t="str">
        <x:v>High</x:v>
      </x:c>
      <x:c r="L299" s="3" t="str">
        <x:v>High</x:v>
      </x:c>
      <x:c r="M299" s="3" t="str">
        <x:v>Môi trường QA cô lập, DB/MinIO sẵn sàng; dữ liệu fixture đã tạo. Đăng nhập tài khoản ACTIVE, mustChangePassword=false.</x:v>
      </x:c>
      <x:c r="N299" s="3" t="str">
        <x:v>Dữ liệu QA tổng hợp; xem fixture trong README.</x:v>
      </x:c>
      <x:c r="O299" s="3" t="str">
        <x:v>1. Đọc câu hỏi và nguồn BA
2. Yêu cầu owner ghi quyết định và minh chứng vào Notes
3. Cập nhật các case chịu ảnh hưởng</x:v>
      </x:c>
      <x:c r="P299" s="3" t="str">
        <x:v>Có quyết định nêu rõ owner, phạm vi, tiêu chí có thể kiểm thử; chưa có quyết định thì giữ NEED CONFIRMATION.</x:v>
      </x:c>
      <x:c r="Q299" s="11" t="str"/>
      <x:c r="R299" s="9" t="str">
        <x:v>NEED CONFIRMATION</x:v>
      </x:c>
      <x:c r="S299" s="11" t="str">
        <x:v>QA/UAT — cần điền URL/build</x:v>
      </x:c>
      <x:c r="T299" s="11" t="str">
        <x:v>Cần điền phiên bản thực</x:v>
      </x:c>
      <x:c r="U299" s="11" t="str"/>
      <x:c r="V299" s="12" t="str"/>
      <x:c r="W299" s="11" t="str"/>
      <x:c r="X299" s="11" t="str"/>
      <x:c r="Y299" s="3" t="str">
        <x:v>Nguồn: docs/ba/02-requirements/VGG_REQ-WORKBOOK_v0.1_2026-09-04.xlsx / Open Questions &amp; Decisions. Need Confirmation: RPO, RTO, uptime, tải đồng thời, retention log và người trực vận hành?</x:v>
      </x:c>
    </x:row>
    <x:row r="300" ht="49" customHeight="1">
      <x:c r="A300" s="3" t="n">
        <x:v>299</x:v>
      </x:c>
      <x:c r="B300" s="3" t="str">
        <x:v>TC_SCOPE_009</x:v>
      </x:c>
      <x:c r="C300" s="3" t="str">
        <x:v>SCOPE</x:v>
      </x:c>
      <x:c r="D300" s="3" t="str">
        <x:v>Quyết định nghiệm thu</x:v>
      </x:c>
      <x:c r="E300" s="3" t="str">
        <x:v>Quyết định nghiệm thu</x:v>
      </x:c>
      <x:c r="F300" s="3" t="str">
        <x:v>Review — OQ-009 — Tích hợp</x:v>
      </x:c>
      <x:c r="G300" s="3" t="str">
        <x:v>OQ-009 — Tích hợp</x:v>
      </x:c>
      <x:c r="H300" s="3" t="str">
        <x:v>OBS-SCOPE</x:v>
      </x:c>
      <x:c r="I300" s="3" t="str">
        <x:v>QTV có quyền tương ứng</x:v>
      </x:c>
      <x:c r="J300" s="3" t="str">
        <x:v>Review</x:v>
      </x:c>
      <x:c r="K300" s="3" t="str">
        <x:v>High</x:v>
      </x:c>
      <x:c r="L300" s="3" t="str">
        <x:v>High</x:v>
      </x:c>
      <x:c r="M300" s="3" t="str">
        <x:v>Môi trường QA cô lập, DB/MinIO sẵn sàng; dữ liệu fixture đã tạo. Đăng nhập tài khoản ACTIVE, mustChangePassword=false.</x:v>
      </x:c>
      <x:c r="N300" s="3" t="str">
        <x:v>Dữ liệu QA tổng hợp; xem fixture trong README.</x:v>
      </x:c>
      <x:c r="O300" s="3" t="str">
        <x:v>1. Đọc câu hỏi và nguồn BA
2. Yêu cầu owner ghi quyết định và minh chứng vào Notes
3. Cập nhật các case chịu ảnh hưởng</x:v>
      </x:c>
      <x:c r="P300" s="3" t="str">
        <x:v>Có quyết định nêu rõ owner, phạm vi, tiêu chí có thể kiểm thử; chưa có quyết định thì giữ NEED CONFIRMATION.</x:v>
      </x:c>
      <x:c r="Q300" s="11" t="str"/>
      <x:c r="R300" s="9" t="str">
        <x:v>NEED CONFIRMATION</x:v>
      </x:c>
      <x:c r="S300" s="11" t="str">
        <x:v>QA/UAT — cần điền URL/build</x:v>
      </x:c>
      <x:c r="T300" s="11" t="str">
        <x:v>Cần điền phiên bản thực</x:v>
      </x:c>
      <x:c r="U300" s="11" t="str"/>
      <x:c r="V300" s="12" t="str"/>
      <x:c r="W300" s="11" t="str"/>
      <x:c r="X300" s="11" t="str"/>
      <x:c r="Y300" s="3" t="str">
        <x:v>Nguồn: docs/ba/02-requirements/VGG_REQ-WORKBOOK_v0.1_2026-09-04.xlsx / Open Questions &amp; Decisions. Need Confirmation: SMTP, CRM webhook, Redis, CDN/domain production nào bắt buộc?</x:v>
      </x:c>
    </x:row>
    <x:row r="301" ht="49" customHeight="1">
      <x:c r="A301" s="3" t="n">
        <x:v>300</x:v>
      </x:c>
      <x:c r="B301" s="3" t="str">
        <x:v>TC_SCOPE_010</x:v>
      </x:c>
      <x:c r="C301" s="3" t="str">
        <x:v>SCOPE</x:v>
      </x:c>
      <x:c r="D301" s="3" t="str">
        <x:v>Quyết định nghiệm thu</x:v>
      </x:c>
      <x:c r="E301" s="3" t="str">
        <x:v>Quyết định nghiệm thu</x:v>
      </x:c>
      <x:c r="F301" s="3" t="str">
        <x:v>Review — OQ-010 — Nghiệm thu</x:v>
      </x:c>
      <x:c r="G301" s="3" t="str">
        <x:v>OQ-010 — Nghiệm thu</x:v>
      </x:c>
      <x:c r="H301" s="3" t="str">
        <x:v>OBS-SCOPE</x:v>
      </x:c>
      <x:c r="I301" s="3" t="str">
        <x:v>QTV có quyền tương ứng</x:v>
      </x:c>
      <x:c r="J301" s="3" t="str">
        <x:v>Review</x:v>
      </x:c>
      <x:c r="K301" s="3" t="str">
        <x:v>High</x:v>
      </x:c>
      <x:c r="L301" s="3" t="str">
        <x:v>High</x:v>
      </x:c>
      <x:c r="M301" s="3" t="str">
        <x:v>Môi trường QA cô lập, DB/MinIO sẵn sàng; dữ liệu fixture đã tạo. Đăng nhập tài khoản ACTIVE, mustChangePassword=false.</x:v>
      </x:c>
      <x:c r="N301" s="3" t="str">
        <x:v>Dữ liệu QA tổng hợp; xem fixture trong README.</x:v>
      </x:c>
      <x:c r="O301" s="3" t="str">
        <x:v>1. Đọc câu hỏi và nguồn BA
2. Yêu cầu owner ghi quyết định và minh chứng vào Notes
3. Cập nhật các case chịu ảnh hưởng</x:v>
      </x:c>
      <x:c r="P301" s="3" t="str">
        <x:v>Có quyết định nêu rõ owner, phạm vi, tiêu chí có thể kiểm thử; chưa có quyết định thì giữ NEED CONFIRMATION.</x:v>
      </x:c>
      <x:c r="Q301" s="11" t="str"/>
      <x:c r="R301" s="9" t="str">
        <x:v>NEED CONFIRMATION</x:v>
      </x:c>
      <x:c r="S301" s="11" t="str">
        <x:v>QA/UAT — cần điền URL/build</x:v>
      </x:c>
      <x:c r="T301" s="11" t="str">
        <x:v>Cần điền phiên bản thực</x:v>
      </x:c>
      <x:c r="U301" s="11" t="str"/>
      <x:c r="V301" s="12" t="str"/>
      <x:c r="W301" s="11" t="str"/>
      <x:c r="X301" s="11" t="str"/>
      <x:c r="Y301" s="3" t="str">
        <x:v>Nguồn: docs/ba/02-requirements/VGG_REQ-WORKBOOK_v0.1_2026-09-04.xlsx / Open Questions &amp; Decisions. Need Confirmation: Môi trường UAT, bộ dữ liệu mẫu, thiết bị/trình duyệt và người ký nghiệm thu?</x:v>
      </x:c>
    </x:row>
    <x:row r="302" ht="49" customHeight="1">
      <x:c r="A302" s="3" t="n">
        <x:v>301</x:v>
      </x:c>
      <x:c r="B302" s="3" t="str">
        <x:v>TC_RESOURCE_080</x:v>
      </x:c>
      <x:c r="C302" s="3" t="str">
        <x:v>RESOURCE</x:v>
      </x:c>
      <x:c r="D302" s="3" t="str">
        <x:v>Số lượng phân trang</x:v>
      </x:c>
      <x:c r="E302" s="3" t="str">
        <x:v>Số lượng phân trang</x:v>
      </x:c>
      <x:c r="F302" s="3" t="str">
        <x:v>Boundary — /vi/resources có 0 bản ghi</x:v>
      </x:c>
      <x:c r="G302" s="3" t="str">
        <x:v>/vi/resources có 0 bản ghi</x:v>
      </x:c>
      <x:c r="H302" s="3" t="str">
        <x:v>PUB-004</x:v>
      </x:c>
      <x:c r="I302" s="3" t="str">
        <x:v>QTV có quyền tương ứng</x:v>
      </x:c>
      <x:c r="J302" s="3" t="str">
        <x:v>Boundary</x:v>
      </x:c>
      <x:c r="K302" s="3" t="str">
        <x:v>Medium</x:v>
      </x:c>
      <x:c r="L302" s="3" t="str">
        <x:v>Medium</x:v>
      </x:c>
      <x:c r="M302" s="3" t="str">
        <x:v>Môi trường QA cô lập, DB/MinIO sẵn sàng; dữ liệu fixture đã tạo. Đăng nhập tài khoản ACTIVE, mustChangePassword=false.</x:v>
      </x:c>
      <x:c r="N302" s="3" t="str">
        <x:v>Demo resource=false; fixture các ID riêng.</x:v>
      </x:c>
      <x:c r="O302" s="3" t="str">
        <x:v>1. Seed chính xác 0 resource phù hợp
2. Mở /vi/resources
3. Duyệt hết trang và quay lại</x:v>
      </x:c>
      <x:c r="P302" s="3" t="str">
        <x:v>Tổng 0 bản ghi; mỗi trang tối đa5; không trùng/mất ID; empty state không có nút trang kế tiếp.</x:v>
      </x:c>
      <x:c r="Q302" s="11" t="str"/>
      <x:c r="R302" s="8" t="str">
        <x:v>NOT RUN</x:v>
      </x:c>
      <x:c r="S302" s="11" t="str">
        <x:v>QA/UAT — cần điền URL/build</x:v>
      </x:c>
      <x:c r="T302" s="11" t="str">
        <x:v>Cần điền phiên bản thực</x:v>
      </x:c>
      <x:c r="U302" s="11" t="str"/>
      <x:c r="V302" s="12" t="str"/>
      <x:c r="W302" s="11" t="str"/>
      <x:c r="X302" s="11" t="str"/>
      <x:c r="Y302" s="3" t="str">
        <x:v>Nguồn: frontend/src/features/resources/components/ResourcesExplorer.tsx. </x:v>
      </x:c>
    </x:row>
    <x:row r="303" ht="49" customHeight="1">
      <x:c r="A303" s="3" t="n">
        <x:v>302</x:v>
      </x:c>
      <x:c r="B303" s="3" t="str">
        <x:v>TC_RESOURCE_081</x:v>
      </x:c>
      <x:c r="C303" s="3" t="str">
        <x:v>RESOURCE</x:v>
      </x:c>
      <x:c r="D303" s="3" t="str">
        <x:v>Số lượng phân trang</x:v>
      </x:c>
      <x:c r="E303" s="3" t="str">
        <x:v>Số lượng phân trang</x:v>
      </x:c>
      <x:c r="F303" s="3" t="str">
        <x:v>Boundary — /vi/resources có 1 bản ghi</x:v>
      </x:c>
      <x:c r="G303" s="3" t="str">
        <x:v>/vi/resources có 1 bản ghi</x:v>
      </x:c>
      <x:c r="H303" s="3" t="str">
        <x:v>PUB-004</x:v>
      </x:c>
      <x:c r="I303" s="3" t="str">
        <x:v>QTV có quyền tương ứng</x:v>
      </x:c>
      <x:c r="J303" s="3" t="str">
        <x:v>Boundary</x:v>
      </x:c>
      <x:c r="K303" s="3" t="str">
        <x:v>Medium</x:v>
      </x:c>
      <x:c r="L303" s="3" t="str">
        <x:v>Medium</x:v>
      </x:c>
      <x:c r="M303" s="3" t="str">
        <x:v>Môi trường QA cô lập, DB/MinIO sẵn sàng; dữ liệu fixture đã tạo. Đăng nhập tài khoản ACTIVE, mustChangePassword=false.</x:v>
      </x:c>
      <x:c r="N303" s="3" t="str">
        <x:v>Demo resource=false; fixture các ID riêng.</x:v>
      </x:c>
      <x:c r="O303" s="3" t="str">
        <x:v>1. Seed chính xác 1 resource phù hợp
2. Mở /vi/resources
3. Duyệt hết trang và quay lại</x:v>
      </x:c>
      <x:c r="P303" s="3" t="str">
        <x:v>Tổng 1 bản ghi; mỗi trang tối đa5; không trùng/mất ID; 1 trang dữ liệu.</x:v>
      </x:c>
      <x:c r="Q303" s="11" t="str"/>
      <x:c r="R303" s="8" t="str">
        <x:v>NOT RUN</x:v>
      </x:c>
      <x:c r="S303" s="11" t="str">
        <x:v>QA/UAT — cần điền URL/build</x:v>
      </x:c>
      <x:c r="T303" s="11" t="str">
        <x:v>Cần điền phiên bản thực</x:v>
      </x:c>
      <x:c r="U303" s="11" t="str"/>
      <x:c r="V303" s="12" t="str"/>
      <x:c r="W303" s="11" t="str"/>
      <x:c r="X303" s="11" t="str"/>
      <x:c r="Y303" s="3" t="str">
        <x:v>Nguồn: frontend/src/features/resources/components/ResourcesExplorer.tsx. </x:v>
      </x:c>
    </x:row>
    <x:row r="304" ht="49" customHeight="1">
      <x:c r="A304" s="3" t="n">
        <x:v>303</x:v>
      </x:c>
      <x:c r="B304" s="3" t="str">
        <x:v>TC_RESOURCE_082</x:v>
      </x:c>
      <x:c r="C304" s="3" t="str">
        <x:v>RESOURCE</x:v>
      </x:c>
      <x:c r="D304" s="3" t="str">
        <x:v>Số lượng phân trang</x:v>
      </x:c>
      <x:c r="E304" s="3" t="str">
        <x:v>Số lượng phân trang</x:v>
      </x:c>
      <x:c r="F304" s="3" t="str">
        <x:v>Boundary — /vi/resources có 4 bản ghi</x:v>
      </x:c>
      <x:c r="G304" s="3" t="str">
        <x:v>/vi/resources có 4 bản ghi</x:v>
      </x:c>
      <x:c r="H304" s="3" t="str">
        <x:v>PUB-004</x:v>
      </x:c>
      <x:c r="I304" s="3" t="str">
        <x:v>QTV có quyền tương ứng</x:v>
      </x:c>
      <x:c r="J304" s="3" t="str">
        <x:v>Boundary</x:v>
      </x:c>
      <x:c r="K304" s="3" t="str">
        <x:v>Medium</x:v>
      </x:c>
      <x:c r="L304" s="3" t="str">
        <x:v>Medium</x:v>
      </x:c>
      <x:c r="M304" s="3" t="str">
        <x:v>Môi trường QA cô lập, DB/MinIO sẵn sàng; dữ liệu fixture đã tạo. Đăng nhập tài khoản ACTIVE, mustChangePassword=false.</x:v>
      </x:c>
      <x:c r="N304" s="3" t="str">
        <x:v>Demo resource=false; fixture các ID riêng.</x:v>
      </x:c>
      <x:c r="O304" s="3" t="str">
        <x:v>1. Seed chính xác 4 resource phù hợp
2. Mở /vi/resources
3. Duyệt hết trang và quay lại</x:v>
      </x:c>
      <x:c r="P304" s="3" t="str">
        <x:v>Tổng 4 bản ghi; mỗi trang tối đa5; không trùng/mất ID; 1 trang dữ liệu.</x:v>
      </x:c>
      <x:c r="Q304" s="11" t="str"/>
      <x:c r="R304" s="8" t="str">
        <x:v>NOT RUN</x:v>
      </x:c>
      <x:c r="S304" s="11" t="str">
        <x:v>QA/UAT — cần điền URL/build</x:v>
      </x:c>
      <x:c r="T304" s="11" t="str">
        <x:v>Cần điền phiên bản thực</x:v>
      </x:c>
      <x:c r="U304" s="11" t="str"/>
      <x:c r="V304" s="12" t="str"/>
      <x:c r="W304" s="11" t="str"/>
      <x:c r="X304" s="11" t="str"/>
      <x:c r="Y304" s="3" t="str">
        <x:v>Nguồn: frontend/src/features/resources/components/ResourcesExplorer.tsx. </x:v>
      </x:c>
    </x:row>
    <x:row r="305" ht="49" customHeight="1">
      <x:c r="A305" s="3" t="n">
        <x:v>304</x:v>
      </x:c>
      <x:c r="B305" s="3" t="str">
        <x:v>TC_RESOURCE_083</x:v>
      </x:c>
      <x:c r="C305" s="3" t="str">
        <x:v>RESOURCE</x:v>
      </x:c>
      <x:c r="D305" s="3" t="str">
        <x:v>Số lượng phân trang</x:v>
      </x:c>
      <x:c r="E305" s="3" t="str">
        <x:v>Số lượng phân trang</x:v>
      </x:c>
      <x:c r="F305" s="3" t="str">
        <x:v>Boundary — /vi/resources có 5 bản ghi</x:v>
      </x:c>
      <x:c r="G305" s="3" t="str">
        <x:v>/vi/resources có 5 bản ghi</x:v>
      </x:c>
      <x:c r="H305" s="3" t="str">
        <x:v>PUB-004</x:v>
      </x:c>
      <x:c r="I305" s="3" t="str">
        <x:v>QTV có quyền tương ứng</x:v>
      </x:c>
      <x:c r="J305" s="3" t="str">
        <x:v>Boundary</x:v>
      </x:c>
      <x:c r="K305" s="3" t="str">
        <x:v>Medium</x:v>
      </x:c>
      <x:c r="L305" s="3" t="str">
        <x:v>Medium</x:v>
      </x:c>
      <x:c r="M305" s="3" t="str">
        <x:v>Môi trường QA cô lập, DB/MinIO sẵn sàng; dữ liệu fixture đã tạo. Đăng nhập tài khoản ACTIVE, mustChangePassword=false.</x:v>
      </x:c>
      <x:c r="N305" s="3" t="str">
        <x:v>Demo resource=false; fixture các ID riêng.</x:v>
      </x:c>
      <x:c r="O305" s="3" t="str">
        <x:v>1. Seed chính xác 5 resource phù hợp
2. Mở /vi/resources
3. Duyệt hết trang và quay lại</x:v>
      </x:c>
      <x:c r="P305" s="3" t="str">
        <x:v>Tổng 5 bản ghi; mỗi trang tối đa5; không trùng/mất ID; 1 trang dữ liệu.</x:v>
      </x:c>
      <x:c r="Q305" s="11" t="str"/>
      <x:c r="R305" s="8" t="str">
        <x:v>NOT RUN</x:v>
      </x:c>
      <x:c r="S305" s="11" t="str">
        <x:v>QA/UAT — cần điền URL/build</x:v>
      </x:c>
      <x:c r="T305" s="11" t="str">
        <x:v>Cần điền phiên bản thực</x:v>
      </x:c>
      <x:c r="U305" s="11" t="str"/>
      <x:c r="V305" s="12" t="str"/>
      <x:c r="W305" s="11" t="str"/>
      <x:c r="X305" s="11" t="str"/>
      <x:c r="Y305" s="3" t="str">
        <x:v>Nguồn: frontend/src/features/resources/components/ResourcesExplorer.tsx. </x:v>
      </x:c>
    </x:row>
    <x:row r="306" ht="49" customHeight="1">
      <x:c r="A306" s="3" t="n">
        <x:v>305</x:v>
      </x:c>
      <x:c r="B306" s="3" t="str">
        <x:v>TC_RESOURCE_084</x:v>
      </x:c>
      <x:c r="C306" s="3" t="str">
        <x:v>RESOURCE</x:v>
      </x:c>
      <x:c r="D306" s="3" t="str">
        <x:v>Số lượng phân trang</x:v>
      </x:c>
      <x:c r="E306" s="3" t="str">
        <x:v>Số lượng phân trang</x:v>
      </x:c>
      <x:c r="F306" s="3" t="str">
        <x:v>Boundary — /vi/resources có 6 bản ghi</x:v>
      </x:c>
      <x:c r="G306" s="3" t="str">
        <x:v>/vi/resources có 6 bản ghi</x:v>
      </x:c>
      <x:c r="H306" s="3" t="str">
        <x:v>PUB-004</x:v>
      </x:c>
      <x:c r="I306" s="3" t="str">
        <x:v>QTV có quyền tương ứng</x:v>
      </x:c>
      <x:c r="J306" s="3" t="str">
        <x:v>Boundary</x:v>
      </x:c>
      <x:c r="K306" s="3" t="str">
        <x:v>Medium</x:v>
      </x:c>
      <x:c r="L306" s="3" t="str">
        <x:v>Medium</x:v>
      </x:c>
      <x:c r="M306" s="3" t="str">
        <x:v>Môi trường QA cô lập, DB/MinIO sẵn sàng; dữ liệu fixture đã tạo. Đăng nhập tài khoản ACTIVE, mustChangePassword=false.</x:v>
      </x:c>
      <x:c r="N306" s="3" t="str">
        <x:v>Demo resource=false; fixture các ID riêng.</x:v>
      </x:c>
      <x:c r="O306" s="3" t="str">
        <x:v>1. Seed chính xác 6 resource phù hợp
2. Mở /vi/resources
3. Duyệt hết trang và quay lại</x:v>
      </x:c>
      <x:c r="P306" s="3" t="str">
        <x:v>Tổng 6 bản ghi; mỗi trang tối đa5; không trùng/mất ID; 2 trang dữ liệu.</x:v>
      </x:c>
      <x:c r="Q306" s="11" t="str"/>
      <x:c r="R306" s="8" t="str">
        <x:v>NOT RUN</x:v>
      </x:c>
      <x:c r="S306" s="11" t="str">
        <x:v>QA/UAT — cần điền URL/build</x:v>
      </x:c>
      <x:c r="T306" s="11" t="str">
        <x:v>Cần điền phiên bản thực</x:v>
      </x:c>
      <x:c r="U306" s="11" t="str"/>
      <x:c r="V306" s="12" t="str"/>
      <x:c r="W306" s="11" t="str"/>
      <x:c r="X306" s="11" t="str"/>
      <x:c r="Y306" s="3" t="str">
        <x:v>Nguồn: frontend/src/features/resources/components/ResourcesExplorer.tsx. </x:v>
      </x:c>
    </x:row>
    <x:row r="307" ht="49" customHeight="1">
      <x:c r="A307" s="3" t="n">
        <x:v>306</x:v>
      </x:c>
      <x:c r="B307" s="3" t="str">
        <x:v>TC_RESOURCE_085</x:v>
      </x:c>
      <x:c r="C307" s="3" t="str">
        <x:v>RESOURCE</x:v>
      </x:c>
      <x:c r="D307" s="3" t="str">
        <x:v>Số lượng phân trang</x:v>
      </x:c>
      <x:c r="E307" s="3" t="str">
        <x:v>Số lượng phân trang</x:v>
      </x:c>
      <x:c r="F307" s="3" t="str">
        <x:v>Boundary — /vi/resources có 11 bản ghi</x:v>
      </x:c>
      <x:c r="G307" s="3" t="str">
        <x:v>/vi/resources có 11 bản ghi</x:v>
      </x:c>
      <x:c r="H307" s="3" t="str">
        <x:v>PUB-004</x:v>
      </x:c>
      <x:c r="I307" s="3" t="str">
        <x:v>QTV có quyền tương ứng</x:v>
      </x:c>
      <x:c r="J307" s="3" t="str">
        <x:v>Boundary</x:v>
      </x:c>
      <x:c r="K307" s="3" t="str">
        <x:v>Medium</x:v>
      </x:c>
      <x:c r="L307" s="3" t="str">
        <x:v>Medium</x:v>
      </x:c>
      <x:c r="M307" s="3" t="str">
        <x:v>Môi trường QA cô lập, DB/MinIO sẵn sàng; dữ liệu fixture đã tạo. Đăng nhập tài khoản ACTIVE, mustChangePassword=false.</x:v>
      </x:c>
      <x:c r="N307" s="3" t="str">
        <x:v>Demo resource=false; fixture các ID riêng.</x:v>
      </x:c>
      <x:c r="O307" s="3" t="str">
        <x:v>1. Seed chính xác 11 resource phù hợp
2. Mở /vi/resources
3. Duyệt hết trang và quay lại</x:v>
      </x:c>
      <x:c r="P307" s="3" t="str">
        <x:v>Tổng 11 bản ghi; mỗi trang tối đa5; không trùng/mất ID; 3 trang dữ liệu.</x:v>
      </x:c>
      <x:c r="Q307" s="11" t="str"/>
      <x:c r="R307" s="8" t="str">
        <x:v>NOT RUN</x:v>
      </x:c>
      <x:c r="S307" s="11" t="str">
        <x:v>QA/UAT — cần điền URL/build</x:v>
      </x:c>
      <x:c r="T307" s="11" t="str">
        <x:v>Cần điền phiên bản thực</x:v>
      </x:c>
      <x:c r="U307" s="11" t="str"/>
      <x:c r="V307" s="12" t="str"/>
      <x:c r="W307" s="11" t="str"/>
      <x:c r="X307" s="11" t="str"/>
      <x:c r="Y307" s="3" t="str">
        <x:v>Nguồn: frontend/src/features/resources/components/ResourcesExplorer.tsx. </x:v>
      </x:c>
    </x:row>
    <x:row r="308" ht="49" customHeight="1">
      <x:c r="A308" s="3" t="n">
        <x:v>307</x:v>
      </x:c>
      <x:c r="B308" s="3" t="str">
        <x:v>TC_RESOURCE_086</x:v>
      </x:c>
      <x:c r="C308" s="3" t="str">
        <x:v>RESOURCE</x:v>
      </x:c>
      <x:c r="D308" s="3" t="str">
        <x:v>Số lượng phân trang</x:v>
      </x:c>
      <x:c r="E308" s="3" t="str">
        <x:v>Số lượng phân trang</x:v>
      </x:c>
      <x:c r="F308" s="3" t="str">
        <x:v>Boundary — /admin/resources có 0 bản ghi</x:v>
      </x:c>
      <x:c r="G308" s="3" t="str">
        <x:v>/admin/resources có 0 bản ghi</x:v>
      </x:c>
      <x:c r="H308" s="3" t="str">
        <x:v>RES-001</x:v>
      </x:c>
      <x:c r="I308" s="3" t="str">
        <x:v>QTV có quyền tương ứng</x:v>
      </x:c>
      <x:c r="J308" s="3" t="str">
        <x:v>Boundary</x:v>
      </x:c>
      <x:c r="K308" s="3" t="str">
        <x:v>Medium</x:v>
      </x:c>
      <x:c r="L308" s="3" t="str">
        <x:v>Medium</x:v>
      </x:c>
      <x:c r="M308" s="3" t="str">
        <x:v>Môi trường QA cô lập, DB/MinIO sẵn sàng; dữ liệu fixture đã tạo. Đăng nhập tài khoản ACTIVE, mustChangePassword=false.</x:v>
      </x:c>
      <x:c r="N308" s="3" t="str">
        <x:v>Demo resource=false; fixture các ID riêng.</x:v>
      </x:c>
      <x:c r="O308" s="3" t="str">
        <x:v>1. Seed chính xác 0 resource phù hợp
2. Mở /admin/resources
3. Duyệt hết trang và quay lại</x:v>
      </x:c>
      <x:c r="P308" s="3" t="str">
        <x:v>Tổng 0 bản ghi; mỗi trang tối đa10; không trùng/mất ID; empty state không có nút trang kế tiếp.</x:v>
      </x:c>
      <x:c r="Q308" s="11" t="str"/>
      <x:c r="R308" s="8" t="str">
        <x:v>NOT RUN</x:v>
      </x:c>
      <x:c r="S308" s="11" t="str">
        <x:v>QA/UAT — cần điền URL/build</x:v>
      </x:c>
      <x:c r="T308" s="11" t="str">
        <x:v>Cần điền phiên bản thực</x:v>
      </x:c>
      <x:c r="U308" s="11" t="str"/>
      <x:c r="V308" s="12" t="str"/>
      <x:c r="W308" s="11" t="str"/>
      <x:c r="X308" s="11" t="str"/>
      <x:c r="Y308" s="3" t="str">
        <x:v>Nguồn: admin/src/components/cms/ResourceManager.tsx. </x:v>
      </x:c>
    </x:row>
    <x:row r="309" ht="49" customHeight="1">
      <x:c r="A309" s="3" t="n">
        <x:v>308</x:v>
      </x:c>
      <x:c r="B309" s="3" t="str">
        <x:v>TC_RESOURCE_087</x:v>
      </x:c>
      <x:c r="C309" s="3" t="str">
        <x:v>RESOURCE</x:v>
      </x:c>
      <x:c r="D309" s="3" t="str">
        <x:v>Số lượng phân trang</x:v>
      </x:c>
      <x:c r="E309" s="3" t="str">
        <x:v>Số lượng phân trang</x:v>
      </x:c>
      <x:c r="F309" s="3" t="str">
        <x:v>Boundary — /admin/resources có 1 bản ghi</x:v>
      </x:c>
      <x:c r="G309" s="3" t="str">
        <x:v>/admin/resources có 1 bản ghi</x:v>
      </x:c>
      <x:c r="H309" s="3" t="str">
        <x:v>RES-001</x:v>
      </x:c>
      <x:c r="I309" s="3" t="str">
        <x:v>QTV có quyền tương ứng</x:v>
      </x:c>
      <x:c r="J309" s="3" t="str">
        <x:v>Boundary</x:v>
      </x:c>
      <x:c r="K309" s="3" t="str">
        <x:v>Medium</x:v>
      </x:c>
      <x:c r="L309" s="3" t="str">
        <x:v>Medium</x:v>
      </x:c>
      <x:c r="M309" s="3" t="str">
        <x:v>Môi trường QA cô lập, DB/MinIO sẵn sàng; dữ liệu fixture đã tạo. Đăng nhập tài khoản ACTIVE, mustChangePassword=false.</x:v>
      </x:c>
      <x:c r="N309" s="3" t="str">
        <x:v>Demo resource=false; fixture các ID riêng.</x:v>
      </x:c>
      <x:c r="O309" s="3" t="str">
        <x:v>1. Seed chính xác 1 resource phù hợp
2. Mở /admin/resources
3. Duyệt hết trang và quay lại</x:v>
      </x:c>
      <x:c r="P309" s="3" t="str">
        <x:v>Tổng 1 bản ghi; mỗi trang tối đa10; không trùng/mất ID; 1 trang dữ liệu.</x:v>
      </x:c>
      <x:c r="Q309" s="11" t="str"/>
      <x:c r="R309" s="8" t="str">
        <x:v>NOT RUN</x:v>
      </x:c>
      <x:c r="S309" s="11" t="str">
        <x:v>QA/UAT — cần điền URL/build</x:v>
      </x:c>
      <x:c r="T309" s="11" t="str">
        <x:v>Cần điền phiên bản thực</x:v>
      </x:c>
      <x:c r="U309" s="11" t="str"/>
      <x:c r="V309" s="12" t="str"/>
      <x:c r="W309" s="11" t="str"/>
      <x:c r="X309" s="11" t="str"/>
      <x:c r="Y309" s="3" t="str">
        <x:v>Nguồn: admin/src/components/cms/ResourceManager.tsx. </x:v>
      </x:c>
    </x:row>
    <x:row r="310" ht="49" customHeight="1">
      <x:c r="A310" s="3" t="n">
        <x:v>309</x:v>
      </x:c>
      <x:c r="B310" s="3" t="str">
        <x:v>TC_RESOURCE_088</x:v>
      </x:c>
      <x:c r="C310" s="3" t="str">
        <x:v>RESOURCE</x:v>
      </x:c>
      <x:c r="D310" s="3" t="str">
        <x:v>Số lượng phân trang</x:v>
      </x:c>
      <x:c r="E310" s="3" t="str">
        <x:v>Số lượng phân trang</x:v>
      </x:c>
      <x:c r="F310" s="3" t="str">
        <x:v>Boundary — /admin/resources có 9 bản ghi</x:v>
      </x:c>
      <x:c r="G310" s="3" t="str">
        <x:v>/admin/resources có 9 bản ghi</x:v>
      </x:c>
      <x:c r="H310" s="3" t="str">
        <x:v>RES-001</x:v>
      </x:c>
      <x:c r="I310" s="3" t="str">
        <x:v>QTV có quyền tương ứng</x:v>
      </x:c>
      <x:c r="J310" s="3" t="str">
        <x:v>Boundary</x:v>
      </x:c>
      <x:c r="K310" s="3" t="str">
        <x:v>Medium</x:v>
      </x:c>
      <x:c r="L310" s="3" t="str">
        <x:v>Medium</x:v>
      </x:c>
      <x:c r="M310" s="3" t="str">
        <x:v>Môi trường QA cô lập, DB/MinIO sẵn sàng; dữ liệu fixture đã tạo. Đăng nhập tài khoản ACTIVE, mustChangePassword=false.</x:v>
      </x:c>
      <x:c r="N310" s="3" t="str">
        <x:v>Demo resource=false; fixture các ID riêng.</x:v>
      </x:c>
      <x:c r="O310" s="3" t="str">
        <x:v>1. Seed chính xác 9 resource phù hợp
2. Mở /admin/resources
3. Duyệt hết trang và quay lại</x:v>
      </x:c>
      <x:c r="P310" s="3" t="str">
        <x:v>Tổng 9 bản ghi; mỗi trang tối đa10; không trùng/mất ID; 1 trang dữ liệu.</x:v>
      </x:c>
      <x:c r="Q310" s="11" t="str"/>
      <x:c r="R310" s="8" t="str">
        <x:v>NOT RUN</x:v>
      </x:c>
      <x:c r="S310" s="11" t="str">
        <x:v>QA/UAT — cần điền URL/build</x:v>
      </x:c>
      <x:c r="T310" s="11" t="str">
        <x:v>Cần điền phiên bản thực</x:v>
      </x:c>
      <x:c r="U310" s="11" t="str"/>
      <x:c r="V310" s="12" t="str"/>
      <x:c r="W310" s="11" t="str"/>
      <x:c r="X310" s="11" t="str"/>
      <x:c r="Y310" s="3" t="str">
        <x:v>Nguồn: admin/src/components/cms/ResourceManager.tsx. </x:v>
      </x:c>
    </x:row>
    <x:row r="311" ht="49" customHeight="1">
      <x:c r="A311" s="3" t="n">
        <x:v>310</x:v>
      </x:c>
      <x:c r="B311" s="3" t="str">
        <x:v>TC_RESOURCE_089</x:v>
      </x:c>
      <x:c r="C311" s="3" t="str">
        <x:v>RESOURCE</x:v>
      </x:c>
      <x:c r="D311" s="3" t="str">
        <x:v>Số lượng phân trang</x:v>
      </x:c>
      <x:c r="E311" s="3" t="str">
        <x:v>Số lượng phân trang</x:v>
      </x:c>
      <x:c r="F311" s="3" t="str">
        <x:v>Boundary — /admin/resources có 10 bản ghi</x:v>
      </x:c>
      <x:c r="G311" s="3" t="str">
        <x:v>/admin/resources có 10 bản ghi</x:v>
      </x:c>
      <x:c r="H311" s="3" t="str">
        <x:v>RES-001</x:v>
      </x:c>
      <x:c r="I311" s="3" t="str">
        <x:v>QTV có quyền tương ứng</x:v>
      </x:c>
      <x:c r="J311" s="3" t="str">
        <x:v>Boundary</x:v>
      </x:c>
      <x:c r="K311" s="3" t="str">
        <x:v>Medium</x:v>
      </x:c>
      <x:c r="L311" s="3" t="str">
        <x:v>Medium</x:v>
      </x:c>
      <x:c r="M311" s="3" t="str">
        <x:v>Môi trường QA cô lập, DB/MinIO sẵn sàng; dữ liệu fixture đã tạo. Đăng nhập tài khoản ACTIVE, mustChangePassword=false.</x:v>
      </x:c>
      <x:c r="N311" s="3" t="str">
        <x:v>Demo resource=false; fixture các ID riêng.</x:v>
      </x:c>
      <x:c r="O311" s="3" t="str">
        <x:v>1. Seed chính xác 10 resource phù hợp
2. Mở /admin/resources
3. Duyệt hết trang và quay lại</x:v>
      </x:c>
      <x:c r="P311" s="3" t="str">
        <x:v>Tổng 10 bản ghi; mỗi trang tối đa10; không trùng/mất ID; 1 trang dữ liệu.</x:v>
      </x:c>
      <x:c r="Q311" s="11" t="str"/>
      <x:c r="R311" s="8" t="str">
        <x:v>NOT RUN</x:v>
      </x:c>
      <x:c r="S311" s="11" t="str">
        <x:v>QA/UAT — cần điền URL/build</x:v>
      </x:c>
      <x:c r="T311" s="11" t="str">
        <x:v>Cần điền phiên bản thực</x:v>
      </x:c>
      <x:c r="U311" s="11" t="str"/>
      <x:c r="V311" s="12" t="str"/>
      <x:c r="W311" s="11" t="str"/>
      <x:c r="X311" s="11" t="str"/>
      <x:c r="Y311" s="3" t="str">
        <x:v>Nguồn: admin/src/components/cms/ResourceManager.tsx. </x:v>
      </x:c>
    </x:row>
    <x:row r="312" ht="49" customHeight="1">
      <x:c r="A312" s="3" t="n">
        <x:v>311</x:v>
      </x:c>
      <x:c r="B312" s="3" t="str">
        <x:v>TC_RESOURCE_090</x:v>
      </x:c>
      <x:c r="C312" s="3" t="str">
        <x:v>RESOURCE</x:v>
      </x:c>
      <x:c r="D312" s="3" t="str">
        <x:v>Số lượng phân trang</x:v>
      </x:c>
      <x:c r="E312" s="3" t="str">
        <x:v>Số lượng phân trang</x:v>
      </x:c>
      <x:c r="F312" s="3" t="str">
        <x:v>Boundary — /admin/resources có 11 bản ghi</x:v>
      </x:c>
      <x:c r="G312" s="3" t="str">
        <x:v>/admin/resources có 11 bản ghi</x:v>
      </x:c>
      <x:c r="H312" s="3" t="str">
        <x:v>RES-001</x:v>
      </x:c>
      <x:c r="I312" s="3" t="str">
        <x:v>QTV có quyền tương ứng</x:v>
      </x:c>
      <x:c r="J312" s="3" t="str">
        <x:v>Boundary</x:v>
      </x:c>
      <x:c r="K312" s="3" t="str">
        <x:v>Medium</x:v>
      </x:c>
      <x:c r="L312" s="3" t="str">
        <x:v>Medium</x:v>
      </x:c>
      <x:c r="M312" s="3" t="str">
        <x:v>Môi trường QA cô lập, DB/MinIO sẵn sàng; dữ liệu fixture đã tạo. Đăng nhập tài khoản ACTIVE, mustChangePassword=false.</x:v>
      </x:c>
      <x:c r="N312" s="3" t="str">
        <x:v>Demo resource=false; fixture các ID riêng.</x:v>
      </x:c>
      <x:c r="O312" s="3" t="str">
        <x:v>1. Seed chính xác 11 resource phù hợp
2. Mở /admin/resources
3. Duyệt hết trang và quay lại</x:v>
      </x:c>
      <x:c r="P312" s="3" t="str">
        <x:v>Tổng 11 bản ghi; mỗi trang tối đa10; không trùng/mất ID; 2 trang dữ liệu.</x:v>
      </x:c>
      <x:c r="Q312" s="11" t="str"/>
      <x:c r="R312" s="8" t="str">
        <x:v>NOT RUN</x:v>
      </x:c>
      <x:c r="S312" s="11" t="str">
        <x:v>QA/UAT — cần điền URL/build</x:v>
      </x:c>
      <x:c r="T312" s="11" t="str">
        <x:v>Cần điền phiên bản thực</x:v>
      </x:c>
      <x:c r="U312" s="11" t="str"/>
      <x:c r="V312" s="12" t="str"/>
      <x:c r="W312" s="11" t="str"/>
      <x:c r="X312" s="11" t="str"/>
      <x:c r="Y312" s="3" t="str">
        <x:v>Nguồn: admin/src/components/cms/ResourceManager.tsx. </x:v>
      </x:c>
    </x:row>
    <x:row r="313" ht="49" customHeight="1">
      <x:c r="A313" s="3" t="n">
        <x:v>312</x:v>
      </x:c>
      <x:c r="B313" s="3" t="str">
        <x:v>TC_RESOURCE_091</x:v>
      </x:c>
      <x:c r="C313" s="3" t="str">
        <x:v>RESOURCE</x:v>
      </x:c>
      <x:c r="D313" s="3" t="str">
        <x:v>Số lượng phân trang</x:v>
      </x:c>
      <x:c r="E313" s="3" t="str">
        <x:v>Số lượng phân trang</x:v>
      </x:c>
      <x:c r="F313" s="3" t="str">
        <x:v>Boundary — /admin/resources có 21 bản ghi</x:v>
      </x:c>
      <x:c r="G313" s="3" t="str">
        <x:v>/admin/resources có 21 bản ghi</x:v>
      </x:c>
      <x:c r="H313" s="3" t="str">
        <x:v>RES-001</x:v>
      </x:c>
      <x:c r="I313" s="3" t="str">
        <x:v>QTV có quyền tương ứng</x:v>
      </x:c>
      <x:c r="J313" s="3" t="str">
        <x:v>Boundary</x:v>
      </x:c>
      <x:c r="K313" s="3" t="str">
        <x:v>Medium</x:v>
      </x:c>
      <x:c r="L313" s="3" t="str">
        <x:v>Medium</x:v>
      </x:c>
      <x:c r="M313" s="3" t="str">
        <x:v>Môi trường QA cô lập, DB/MinIO sẵn sàng; dữ liệu fixture đã tạo. Đăng nhập tài khoản ACTIVE, mustChangePassword=false.</x:v>
      </x:c>
      <x:c r="N313" s="3" t="str">
        <x:v>Demo resource=false; fixture các ID riêng.</x:v>
      </x:c>
      <x:c r="O313" s="3" t="str">
        <x:v>1. Seed chính xác 21 resource phù hợp
2. Mở /admin/resources
3. Duyệt hết trang và quay lại</x:v>
      </x:c>
      <x:c r="P313" s="3" t="str">
        <x:v>Tổng 21 bản ghi; mỗi trang tối đa10; không trùng/mất ID; 3 trang dữ liệu.</x:v>
      </x:c>
      <x:c r="Q313" s="11" t="str"/>
      <x:c r="R313" s="8" t="str">
        <x:v>NOT RUN</x:v>
      </x:c>
      <x:c r="S313" s="11" t="str">
        <x:v>QA/UAT — cần điền URL/build</x:v>
      </x:c>
      <x:c r="T313" s="11" t="str">
        <x:v>Cần điền phiên bản thực</x:v>
      </x:c>
      <x:c r="U313" s="11" t="str"/>
      <x:c r="V313" s="12" t="str"/>
      <x:c r="W313" s="11" t="str"/>
      <x:c r="X313" s="11" t="str"/>
      <x:c r="Y313" s="3" t="str">
        <x:v>Nguồn: admin/src/components/cms/ResourceManager.tsx. </x:v>
      </x:c>
    </x:row>
    <x:row r="314" ht="49" customHeight="1">
      <x:c r="A314" s="3" t="n">
        <x:v>313</x:v>
      </x:c>
      <x:c r="B314" s="3" t="str">
        <x:v>TC_NEWS_072</x:v>
      </x:c>
      <x:c r="C314" s="3" t="str">
        <x:v>NEWS</x:v>
      </x:c>
      <x:c r="D314" s="3" t="str">
        <x:v>Gửi lặp UI</x:v>
      </x:c>
      <x:c r="E314" s="3" t="str">
        <x:v>Gửi lặp UI</x:v>
      </x:c>
      <x:c r="F314" s="3" t="str">
        <x:v>Negative — Double click Lưu /admin/news</x:v>
      </x:c>
      <x:c r="G314" s="3" t="str">
        <x:v>Double click Lưu /admin/news</x:v>
      </x:c>
      <x:c r="H314" s="3" t="str">
        <x:v>NEWS-001</x:v>
      </x:c>
      <x:c r="I314" s="3" t="str">
        <x:v>QTV có quyền tương ứng</x:v>
      </x:c>
      <x:c r="J314" s="3" t="str">
        <x:v>Negative</x:v>
      </x:c>
      <x:c r="K314" s="3" t="str">
        <x:v>High</x:v>
      </x:c>
      <x:c r="L314" s="3" t="str">
        <x:v>High</x:v>
      </x:c>
      <x:c r="M314" s="3" t="str">
        <x:v>Môi trường QA cô lập, DB/MinIO sẵn sàng; dữ liệu fixture đã tạo. Đăng nhập tài khoản ACTIVE, mustChangePassword=false.</x:v>
      </x:c>
      <x:c r="N314" s="3" t="str">
        <x:v>Dữ liệu QA tổng hợp; xem fixture trong README.</x:v>
      </x:c>
      <x:c r="O314" s="3" t="str">
        <x:v>1. Mở /admin/news
2. Điền fixture hợp lệ
3. Throttle network và double click Lưu</x:v>
      </x:c>
      <x:c r="P314" s="3" t="str">
        <x:v>Chỉ1 request tạo từ UI; nút bị khóa trong pending; 1 bản ghi mới.</x:v>
      </x:c>
      <x:c r="Q314" s="11" t="str"/>
      <x:c r="R314" s="8" t="str">
        <x:v>NOT RUN</x:v>
      </x:c>
      <x:c r="S314" s="11" t="str">
        <x:v>QA/UAT — cần điền URL/build</x:v>
      </x:c>
      <x:c r="T314" s="11" t="str">
        <x:v>Cần điền phiên bản thực</x:v>
      </x:c>
      <x:c r="U314" s="11" t="str"/>
      <x:c r="V314" s="12" t="str"/>
      <x:c r="W314" s="11" t="str"/>
      <x:c r="X314" s="11" t="str"/>
      <x:c r="Y314" s="3" t="str">
        <x:v>Nguồn: admin/src/components/cms/NewsManager.tsx. </x:v>
      </x:c>
    </x:row>
    <x:row r="315" ht="49" customHeight="1">
      <x:c r="A315" s="3" t="n">
        <x:v>314</x:v>
      </x:c>
      <x:c r="B315" s="3" t="str">
        <x:v>TC_NEWS_073</x:v>
      </x:c>
      <x:c r="C315" s="3" t="str">
        <x:v>NEWS</x:v>
      </x:c>
      <x:c r="D315" s="3" t="str">
        <x:v>Đồng thời</x:v>
      </x:c>
      <x:c r="E315" s="3" t="str">
        <x:v>Đồng thời</x:v>
      </x:c>
      <x:c r="F315" s="3" t="str">
        <x:v>Concurrency — Hai người tạo khóa trùng /admin/news</x:v>
      </x:c>
      <x:c r="G315" s="3" t="str">
        <x:v>Hai người tạo khóa trùng /admin/news</x:v>
      </x:c>
      <x:c r="H315" s="3" t="str">
        <x:v>NEWS-001</x:v>
      </x:c>
      <x:c r="I315" s="3" t="str">
        <x:v>QTV có quyền tương ứng</x:v>
      </x:c>
      <x:c r="J315" s="3" t="str">
        <x:v>Concurrency</x:v>
      </x:c>
      <x:c r="K315" s="3" t="str">
        <x:v>High</x:v>
      </x:c>
      <x:c r="L315" s="3" t="str">
        <x:v>High</x:v>
      </x:c>
      <x:c r="M315" s="3" t="str">
        <x:v>Môi trường QA cô lập, DB/MinIO sẵn sàng; dữ liệu fixture đã tạo. Đăng nhập tài khoản ACTIVE, mustChangePassword=false.</x:v>
      </x:c>
      <x:c r="N315" s="3" t="str">
        <x:v>Dữ liệu QA tổng hợp; xem fixture trong README.</x:v>
      </x:c>
      <x:c r="O315" s="3" t="str">
        <x:v>1. Hai phiên QA điền cùng username/slug/title duy nhất tương ứng
2. Gửi đồng thời
3. So DB và response</x:v>
      </x:c>
      <x:c r="P315" s="3" t="str">
        <x:v>Không ghi đè bản ghi của người kia; DB không có khóa unique trùng; xử lý xung đột bằng hậu tố hoặc409 theo module, không lộ stack.</x:v>
      </x:c>
      <x:c r="Q315" s="11" t="str"/>
      <x:c r="R315" s="8" t="str">
        <x:v>NOT RUN</x:v>
      </x:c>
      <x:c r="S315" s="11" t="str">
        <x:v>QA/UAT — cần điền URL/build</x:v>
      </x:c>
      <x:c r="T315" s="11" t="str">
        <x:v>Cần điền phiên bản thực</x:v>
      </x:c>
      <x:c r="U315" s="11" t="str"/>
      <x:c r="V315" s="12" t="str"/>
      <x:c r="W315" s="11" t="str"/>
      <x:c r="X315" s="11" t="str"/>
      <x:c r="Y315" s="3" t="str">
        <x:v>Nguồn: admin/src/components/cms/NewsManager.tsx; backend/prisma/schema.prisma. </x:v>
      </x:c>
    </x:row>
    <x:row r="316" ht="49" customHeight="1">
      <x:c r="A316" s="3" t="n">
        <x:v>315</x:v>
      </x:c>
      <x:c r="B316" s="3" t="str">
        <x:v>TC_NEWS_074</x:v>
      </x:c>
      <x:c r="C316" s="3" t="str">
        <x:v>NEWS</x:v>
      </x:c>
      <x:c r="D316" s="3" t="str">
        <x:v>Dữ liệu bị đổi</x:v>
      </x:c>
      <x:c r="E316" s="3" t="str">
        <x:v>Dữ liệu bị đổi</x:v>
      </x:c>
      <x:c r="F316" s="3" t="str">
        <x:v>Concurrency — Sửa record đã bị người khác xóa /admin/news</x:v>
      </x:c>
      <x:c r="G316" s="3" t="str">
        <x:v>Sửa record đã bị người khác xóa /admin/news</x:v>
      </x:c>
      <x:c r="H316" s="3" t="str">
        <x:v>NEWS-001</x:v>
      </x:c>
      <x:c r="I316" s="3" t="str">
        <x:v>QTV có quyền tương ứng</x:v>
      </x:c>
      <x:c r="J316" s="3" t="str">
        <x:v>Concurrency</x:v>
      </x:c>
      <x:c r="K316" s="3" t="str">
        <x:v>High</x:v>
      </x:c>
      <x:c r="L316" s="3" t="str">
        <x:v>High</x:v>
      </x:c>
      <x:c r="M316" s="3" t="str">
        <x:v>Môi trường QA cô lập, DB/MinIO sẵn sàng; dữ liệu fixture đã tạo. Đăng nhập tài khoản ACTIVE, mustChangePassword=false.</x:v>
      </x:c>
      <x:c r="N316" s="3" t="str">
        <x:v>Dữ liệu QA tổng hợp; xem fixture trong README.</x:v>
      </x:c>
      <x:c r="O316" s="3" t="str">
        <x:v>1. A mở record để sửa
2. B xóa/lưu trữ record đó
3. A gửi cập nhật</x:v>
      </x:c>
      <x:c r="P316" s="3" t="str">
        <x:v>Tài nguyên/user đã xóa: từ chối404, không tái tạo âm thầm. Tin archived: theo chính sách cập nhật đã duyệt; giữ dấu vết và không mất nội dung không có cảnh báo.</x:v>
      </x:c>
      <x:c r="Q316" s="11" t="str"/>
      <x:c r="R316" s="9" t="str">
        <x:v>NEED CONFIRMATION</x:v>
      </x:c>
      <x:c r="S316" s="11" t="str">
        <x:v>QA/UAT — cần điền URL/build</x:v>
      </x:c>
      <x:c r="T316" s="11" t="str">
        <x:v>Cần điền phiên bản thực</x:v>
      </x:c>
      <x:c r="U316" s="11" t="str"/>
      <x:c r="V316" s="12" t="str"/>
      <x:c r="W316" s="11" t="str"/>
      <x:c r="X316" s="11" t="str"/>
      <x:c r="Y316" s="3" t="str">
        <x:v>Nguồn: admin/src/components/cms/NewsManager.tsx. Need Confirmation: Tin dùng soft archive; chốt quyền phục hồi khi đang mở bản sửa.</x:v>
      </x:c>
    </x:row>
    <x:row r="317" ht="49" customHeight="1">
      <x:c r="A317" s="3" t="n">
        <x:v>316</x:v>
      </x:c>
      <x:c r="B317" s="3" t="str">
        <x:v>TC_RESOURCE_092</x:v>
      </x:c>
      <x:c r="C317" s="3" t="str">
        <x:v>RESOURCE</x:v>
      </x:c>
      <x:c r="D317" s="3" t="str">
        <x:v>Gửi lặp UI</x:v>
      </x:c>
      <x:c r="E317" s="3" t="str">
        <x:v>Gửi lặp UI</x:v>
      </x:c>
      <x:c r="F317" s="3" t="str">
        <x:v>Negative — Double click Lưu /admin/resources</x:v>
      </x:c>
      <x:c r="G317" s="3" t="str">
        <x:v>Double click Lưu /admin/resources</x:v>
      </x:c>
      <x:c r="H317" s="3" t="str">
        <x:v>RES-001</x:v>
      </x:c>
      <x:c r="I317" s="3" t="str">
        <x:v>QTV có quyền tương ứng</x:v>
      </x:c>
      <x:c r="J317" s="3" t="str">
        <x:v>Negative</x:v>
      </x:c>
      <x:c r="K317" s="3" t="str">
        <x:v>High</x:v>
      </x:c>
      <x:c r="L317" s="3" t="str">
        <x:v>High</x:v>
      </x:c>
      <x:c r="M317" s="3" t="str">
        <x:v>Môi trường QA cô lập, DB/MinIO sẵn sàng; dữ liệu fixture đã tạo. Đăng nhập tài khoản ACTIVE, mustChangePassword=false.</x:v>
      </x:c>
      <x:c r="N317" s="3" t="str">
        <x:v>Dữ liệu QA tổng hợp; xem fixture trong README.</x:v>
      </x:c>
      <x:c r="O317" s="3" t="str">
        <x:v>1. Mở /admin/resources
2. Điền fixture hợp lệ
3. Throttle network và double click Lưu</x:v>
      </x:c>
      <x:c r="P317" s="3" t="str">
        <x:v>Chỉ1 request tạo từ UI; nút bị khóa trong pending; 1 bản ghi mới.</x:v>
      </x:c>
      <x:c r="Q317" s="11" t="str"/>
      <x:c r="R317" s="8" t="str">
        <x:v>NOT RUN</x:v>
      </x:c>
      <x:c r="S317" s="11" t="str">
        <x:v>QA/UAT — cần điền URL/build</x:v>
      </x:c>
      <x:c r="T317" s="11" t="str">
        <x:v>Cần điền phiên bản thực</x:v>
      </x:c>
      <x:c r="U317" s="11" t="str"/>
      <x:c r="V317" s="12" t="str"/>
      <x:c r="W317" s="11" t="str"/>
      <x:c r="X317" s="11" t="str"/>
      <x:c r="Y317" s="3" t="str">
        <x:v>Nguồn: admin/src/components/cms/ResourceManager.tsx. </x:v>
      </x:c>
    </x:row>
    <x:row r="318" ht="49" customHeight="1">
      <x:c r="A318" s="3" t="n">
        <x:v>317</x:v>
      </x:c>
      <x:c r="B318" s="3" t="str">
        <x:v>TC_RESOURCE_093</x:v>
      </x:c>
      <x:c r="C318" s="3" t="str">
        <x:v>RESOURCE</x:v>
      </x:c>
      <x:c r="D318" s="3" t="str">
        <x:v>Đồng thời</x:v>
      </x:c>
      <x:c r="E318" s="3" t="str">
        <x:v>Đồng thời</x:v>
      </x:c>
      <x:c r="F318" s="3" t="str">
        <x:v>Concurrency — Hai người tạo khóa trùng /admin/resources</x:v>
      </x:c>
      <x:c r="G318" s="3" t="str">
        <x:v>Hai người tạo khóa trùng /admin/resources</x:v>
      </x:c>
      <x:c r="H318" s="3" t="str">
        <x:v>RES-001</x:v>
      </x:c>
      <x:c r="I318" s="3" t="str">
        <x:v>QTV có quyền tương ứng</x:v>
      </x:c>
      <x:c r="J318" s="3" t="str">
        <x:v>Concurrency</x:v>
      </x:c>
      <x:c r="K318" s="3" t="str">
        <x:v>High</x:v>
      </x:c>
      <x:c r="L318" s="3" t="str">
        <x:v>High</x:v>
      </x:c>
      <x:c r="M318" s="3" t="str">
        <x:v>Môi trường QA cô lập, DB/MinIO sẵn sàng; dữ liệu fixture đã tạo. Đăng nhập tài khoản ACTIVE, mustChangePassword=false.</x:v>
      </x:c>
      <x:c r="N318" s="3" t="str">
        <x:v>Dữ liệu QA tổng hợp; xem fixture trong README.</x:v>
      </x:c>
      <x:c r="O318" s="3" t="str">
        <x:v>1. Hai phiên QA điền cùng username/slug/title duy nhất tương ứng
2. Gửi đồng thời
3. So DB và response</x:v>
      </x:c>
      <x:c r="P318" s="3" t="str">
        <x:v>Không ghi đè bản ghi của người kia; DB không có khóa unique trùng; xử lý xung đột bằng hậu tố hoặc409 theo module, không lộ stack.</x:v>
      </x:c>
      <x:c r="Q318" s="11" t="str"/>
      <x:c r="R318" s="8" t="str">
        <x:v>NOT RUN</x:v>
      </x:c>
      <x:c r="S318" s="11" t="str">
        <x:v>QA/UAT — cần điền URL/build</x:v>
      </x:c>
      <x:c r="T318" s="11" t="str">
        <x:v>Cần điền phiên bản thực</x:v>
      </x:c>
      <x:c r="U318" s="11" t="str"/>
      <x:c r="V318" s="12" t="str"/>
      <x:c r="W318" s="11" t="str"/>
      <x:c r="X318" s="11" t="str"/>
      <x:c r="Y318" s="3" t="str">
        <x:v>Nguồn: admin/src/components/cms/ResourceManager.tsx; backend/prisma/schema.prisma. </x:v>
      </x:c>
    </x:row>
    <x:row r="319" ht="49" customHeight="1">
      <x:c r="A319" s="3" t="n">
        <x:v>318</x:v>
      </x:c>
      <x:c r="B319" s="3" t="str">
        <x:v>TC_RESOURCE_094</x:v>
      </x:c>
      <x:c r="C319" s="3" t="str">
        <x:v>RESOURCE</x:v>
      </x:c>
      <x:c r="D319" s="3" t="str">
        <x:v>Dữ liệu bị đổi</x:v>
      </x:c>
      <x:c r="E319" s="3" t="str">
        <x:v>Dữ liệu bị đổi</x:v>
      </x:c>
      <x:c r="F319" s="3" t="str">
        <x:v>Concurrency — Sửa record đã bị người khác xóa /admin/resources</x:v>
      </x:c>
      <x:c r="G319" s="3" t="str">
        <x:v>Sửa record đã bị người khác xóa /admin/resources</x:v>
      </x:c>
      <x:c r="H319" s="3" t="str">
        <x:v>RES-001</x:v>
      </x:c>
      <x:c r="I319" s="3" t="str">
        <x:v>QTV có quyền tương ứng</x:v>
      </x:c>
      <x:c r="J319" s="3" t="str">
        <x:v>Concurrency</x:v>
      </x:c>
      <x:c r="K319" s="3" t="str">
        <x:v>High</x:v>
      </x:c>
      <x:c r="L319" s="3" t="str">
        <x:v>High</x:v>
      </x:c>
      <x:c r="M319" s="3" t="str">
        <x:v>Môi trường QA cô lập, DB/MinIO sẵn sàng; dữ liệu fixture đã tạo. Đăng nhập tài khoản ACTIVE, mustChangePassword=false.</x:v>
      </x:c>
      <x:c r="N319" s="3" t="str">
        <x:v>Dữ liệu QA tổng hợp; xem fixture trong README.</x:v>
      </x:c>
      <x:c r="O319" s="3" t="str">
        <x:v>1. A mở record để sửa
2. B xóa/lưu trữ record đó
3. A gửi cập nhật</x:v>
      </x:c>
      <x:c r="P319" s="3" t="str">
        <x:v>Tài nguyên/user đã xóa: từ chối404, không tái tạo âm thầm. Tin archived: theo chính sách cập nhật đã duyệt; giữ dấu vết và không mất nội dung không có cảnh báo.</x:v>
      </x:c>
      <x:c r="Q319" s="11" t="str"/>
      <x:c r="R319" s="8" t="str">
        <x:v>NOT RUN</x:v>
      </x:c>
      <x:c r="S319" s="11" t="str">
        <x:v>QA/UAT — cần điền URL/build</x:v>
      </x:c>
      <x:c r="T319" s="11" t="str">
        <x:v>Cần điền phiên bản thực</x:v>
      </x:c>
      <x:c r="U319" s="11" t="str"/>
      <x:c r="V319" s="12" t="str"/>
      <x:c r="W319" s="11" t="str"/>
      <x:c r="X319" s="11" t="str"/>
      <x:c r="Y319" s="3" t="str">
        <x:v>Nguồn: admin/src/components/cms/ResourceManager.tsx. </x:v>
      </x:c>
    </x:row>
    <x:row r="320" ht="49" customHeight="1">
      <x:c r="A320" s="3" t="n">
        <x:v>319</x:v>
      </x:c>
      <x:c r="B320" s="3" t="str">
        <x:v>TC_USER_037</x:v>
      </x:c>
      <x:c r="C320" s="3" t="str">
        <x:v>USER</x:v>
      </x:c>
      <x:c r="D320" s="3" t="str">
        <x:v>Gửi lặp UI</x:v>
      </x:c>
      <x:c r="E320" s="3" t="str">
        <x:v>Gửi lặp UI</x:v>
      </x:c>
      <x:c r="F320" s="3" t="str">
        <x:v>Negative — Double click Lưu /admin/users/create</x:v>
      </x:c>
      <x:c r="G320" s="3" t="str">
        <x:v>Double click Lưu /admin/users/create</x:v>
      </x:c>
      <x:c r="H320" s="3" t="str">
        <x:v>USR-001</x:v>
      </x:c>
      <x:c r="I320" s="3" t="str">
        <x:v>QTV có quyền tương ứng</x:v>
      </x:c>
      <x:c r="J320" s="3" t="str">
        <x:v>Negative</x:v>
      </x:c>
      <x:c r="K320" s="3" t="str">
        <x:v>High</x:v>
      </x:c>
      <x:c r="L320" s="3" t="str">
        <x:v>High</x:v>
      </x:c>
      <x:c r="M320" s="3" t="str">
        <x:v>Môi trường QA cô lập, DB/MinIO sẵn sàng; dữ liệu fixture đã tạo. Đăng nhập tài khoản ACTIVE, mustChangePassword=false.</x:v>
      </x:c>
      <x:c r="N320" s="3" t="str">
        <x:v>Dữ liệu QA tổng hợp; xem fixture trong README.</x:v>
      </x:c>
      <x:c r="O320" s="3" t="str">
        <x:v>1. Mở /admin/users/create
2. Điền fixture hợp lệ
3. Throttle network và double click Lưu</x:v>
      </x:c>
      <x:c r="P320" s="3" t="str">
        <x:v>Chỉ1 request tạo từ UI; nút bị khóa trong pending; 1 bản ghi mới.</x:v>
      </x:c>
      <x:c r="Q320" s="11" t="str"/>
      <x:c r="R320" s="8" t="str">
        <x:v>NOT RUN</x:v>
      </x:c>
      <x:c r="S320" s="11" t="str">
        <x:v>QA/UAT — cần điền URL/build</x:v>
      </x:c>
      <x:c r="T320" s="11" t="str">
        <x:v>Cần điền phiên bản thực</x:v>
      </x:c>
      <x:c r="U320" s="11" t="str"/>
      <x:c r="V320" s="12" t="str"/>
      <x:c r="W320" s="11" t="str"/>
      <x:c r="X320" s="11" t="str"/>
      <x:c r="Y320" s="3" t="str">
        <x:v>Nguồn: admin/src/components/users/CreateAdminForm.tsx. </x:v>
      </x:c>
    </x:row>
    <x:row r="321" ht="49" customHeight="1">
      <x:c r="A321" s="3" t="n">
        <x:v>320</x:v>
      </x:c>
      <x:c r="B321" s="3" t="str">
        <x:v>TC_USER_038</x:v>
      </x:c>
      <x:c r="C321" s="3" t="str">
        <x:v>USER</x:v>
      </x:c>
      <x:c r="D321" s="3" t="str">
        <x:v>Đồng thời</x:v>
      </x:c>
      <x:c r="E321" s="3" t="str">
        <x:v>Đồng thời</x:v>
      </x:c>
      <x:c r="F321" s="3" t="str">
        <x:v>Concurrency — Hai người tạo khóa trùng /admin/users/create</x:v>
      </x:c>
      <x:c r="G321" s="3" t="str">
        <x:v>Hai người tạo khóa trùng /admin/users/create</x:v>
      </x:c>
      <x:c r="H321" s="3" t="str">
        <x:v>USR-001</x:v>
      </x:c>
      <x:c r="I321" s="3" t="str">
        <x:v>QTV có quyền tương ứng</x:v>
      </x:c>
      <x:c r="J321" s="3" t="str">
        <x:v>Concurrency</x:v>
      </x:c>
      <x:c r="K321" s="3" t="str">
        <x:v>High</x:v>
      </x:c>
      <x:c r="L321" s="3" t="str">
        <x:v>High</x:v>
      </x:c>
      <x:c r="M321" s="3" t="str">
        <x:v>Môi trường QA cô lập, DB/MinIO sẵn sàng; dữ liệu fixture đã tạo. Đăng nhập tài khoản ACTIVE, mustChangePassword=false.</x:v>
      </x:c>
      <x:c r="N321" s="3" t="str">
        <x:v>Dữ liệu QA tổng hợp; xem fixture trong README.</x:v>
      </x:c>
      <x:c r="O321" s="3" t="str">
        <x:v>1. Hai phiên QA điền cùng username/slug/title duy nhất tương ứng
2. Gửi đồng thời
3. So DB và response</x:v>
      </x:c>
      <x:c r="P321" s="3" t="str">
        <x:v>Không ghi đè bản ghi của người kia; DB không có khóa unique trùng; xử lý xung đột bằng hậu tố hoặc409 theo module, không lộ stack.</x:v>
      </x:c>
      <x:c r="Q321" s="11" t="str"/>
      <x:c r="R321" s="8" t="str">
        <x:v>NOT RUN</x:v>
      </x:c>
      <x:c r="S321" s="11" t="str">
        <x:v>QA/UAT — cần điền URL/build</x:v>
      </x:c>
      <x:c r="T321" s="11" t="str">
        <x:v>Cần điền phiên bản thực</x:v>
      </x:c>
      <x:c r="U321" s="11" t="str"/>
      <x:c r="V321" s="12" t="str"/>
      <x:c r="W321" s="11" t="str"/>
      <x:c r="X321" s="11" t="str"/>
      <x:c r="Y321" s="3" t="str">
        <x:v>Nguồn: admin/src/components/users/CreateAdminForm.tsx; backend/prisma/schema.prisma. </x:v>
      </x:c>
    </x:row>
    <x:row r="322" ht="49" customHeight="1">
      <x:c r="A322" s="3" t="n">
        <x:v>321</x:v>
      </x:c>
      <x:c r="B322" s="3" t="str">
        <x:v>TC_USER_039</x:v>
      </x:c>
      <x:c r="C322" s="3" t="str">
        <x:v>USER</x:v>
      </x:c>
      <x:c r="D322" s="3" t="str">
        <x:v>Dữ liệu bị đổi</x:v>
      </x:c>
      <x:c r="E322" s="3" t="str">
        <x:v>Dữ liệu bị đổi</x:v>
      </x:c>
      <x:c r="F322" s="3" t="str">
        <x:v>Concurrency — Sửa record đã bị người khác xóa /admin/users/create</x:v>
      </x:c>
      <x:c r="G322" s="3" t="str">
        <x:v>Sửa record đã bị người khác xóa /admin/users/create</x:v>
      </x:c>
      <x:c r="H322" s="3" t="str">
        <x:v>USR-001</x:v>
      </x:c>
      <x:c r="I322" s="3" t="str">
        <x:v>QTV có quyền tương ứng</x:v>
      </x:c>
      <x:c r="J322" s="3" t="str">
        <x:v>Concurrency</x:v>
      </x:c>
      <x:c r="K322" s="3" t="str">
        <x:v>High</x:v>
      </x:c>
      <x:c r="L322" s="3" t="str">
        <x:v>High</x:v>
      </x:c>
      <x:c r="M322" s="3" t="str">
        <x:v>Môi trường QA cô lập, DB/MinIO sẵn sàng; dữ liệu fixture đã tạo. Đăng nhập tài khoản ACTIVE, mustChangePassword=false.</x:v>
      </x:c>
      <x:c r="N322" s="3" t="str">
        <x:v>Dữ liệu QA tổng hợp; xem fixture trong README.</x:v>
      </x:c>
      <x:c r="O322" s="3" t="str">
        <x:v>1. A mở record để sửa
2. B xóa/lưu trữ record đó
3. A gửi cập nhật</x:v>
      </x:c>
      <x:c r="P322" s="3" t="str">
        <x:v>Tài nguyên/user đã xóa: từ chối404, không tái tạo âm thầm. Tin archived: theo chính sách cập nhật đã duyệt; giữ dấu vết và không mất nội dung không có cảnh báo.</x:v>
      </x:c>
      <x:c r="Q322" s="11" t="str"/>
      <x:c r="R322" s="8" t="str">
        <x:v>NOT RUN</x:v>
      </x:c>
      <x:c r="S322" s="11" t="str">
        <x:v>QA/UAT — cần điền URL/build</x:v>
      </x:c>
      <x:c r="T322" s="11" t="str">
        <x:v>Cần điền phiên bản thực</x:v>
      </x:c>
      <x:c r="U322" s="11" t="str"/>
      <x:c r="V322" s="12" t="str"/>
      <x:c r="W322" s="11" t="str"/>
      <x:c r="X322" s="11" t="str"/>
      <x:c r="Y322" s="3" t="str">
        <x:v>Nguồn: admin/src/components/users/CreateAdminForm.tsx. </x:v>
      </x:c>
    </x:row>
    <x:row r="323" ht="49" customHeight="1">
      <x:c r="A323" s="3" t="n">
        <x:v>322</x:v>
      </x:c>
      <x:c r="B323" s="3" t="str">
        <x:v>TC_CONSULT_095</x:v>
      </x:c>
      <x:c r="C323" s="3" t="str">
        <x:v>CONSULT</x:v>
      </x:c>
      <x:c r="D323" s="3" t="str">
        <x:v>Biên form UI</x:v>
      </x:c>
      <x:c r="E323" s="3" t="str">
        <x:v>Biên form UI</x:v>
      </x:c>
      <x:c r="F323" s="3" t="str">
        <x:v>Boundary — UI name dài1</x:v>
      </x:c>
      <x:c r="G323" s="3" t="str">
        <x:v>UI name dài1</x:v>
      </x:c>
      <x:c r="H323" s="3" t="str">
        <x:v>CON-001</x:v>
      </x:c>
      <x:c r="I323" s="3" t="str">
        <x:v>Khách truy cập</x:v>
      </x:c>
      <x:c r="J323" s="3" t="str">
        <x:v>Boundary</x:v>
      </x:c>
      <x:c r="K323" s="3" t="str">
        <x:v>Medium</x:v>
      </x:c>
      <x:c r="L323" s="3" t="str">
        <x:v>Medium</x:v>
      </x:c>
      <x:c r="M323" s="3" t="str">
        <x:v>Môi trường QA cô lập, DB/MinIO sẵn sàng; dữ liệu fixture đã tạo. Không đăng nhập.</x:v>
      </x:c>
      <x:c r="N323" s="3" t="str">
        <x:v>1 ký tự ASCII cho tên hoặc 1 chữ số cho phone.</x:v>
      </x:c>
      <x:c r="O323" s="3" t="str">
        <x:v>1. Mở form /vi
2. Dán chuỗi Test Data vào name
3. Điền các trường khác hợp lệ và gửi</x:v>
      </x:c>
      <x:c r="P323" s="3" t="str">
        <x:v>Không tạo lead với dữ liệu ngắn hơn min backend; hiển thị thông báo lỗi.</x:v>
      </x:c>
      <x:c r="Q323" s="11" t="str"/>
      <x:c r="R323" s="8" t="str">
        <x:v>NOT RUN</x:v>
      </x:c>
      <x:c r="S323" s="11" t="str">
        <x:v>QA/UAT — cần điền URL/build</x:v>
      </x:c>
      <x:c r="T323" s="11" t="str">
        <x:v>Cần điền phiên bản thực</x:v>
      </x:c>
      <x:c r="U323" s="11" t="str"/>
      <x:c r="V323" s="12" t="str"/>
      <x:c r="W323" s="11" t="str"/>
      <x:c r="X323" s="11" t="str"/>
      <x:c r="Y323" s="3" t="str">
        <x:v>Nguồn: frontend/src/features/home/components/ResourcesConsultation.tsx. </x:v>
      </x:c>
    </x:row>
    <x:row r="324" ht="49" customHeight="1">
      <x:c r="A324" s="3" t="n">
        <x:v>323</x:v>
      </x:c>
      <x:c r="B324" s="3" t="str">
        <x:v>TC_CONSULT_096</x:v>
      </x:c>
      <x:c r="C324" s="3" t="str">
        <x:v>CONSULT</x:v>
      </x:c>
      <x:c r="D324" s="3" t="str">
        <x:v>Biên form UI</x:v>
      </x:c>
      <x:c r="E324" s="3" t="str">
        <x:v>Biên form UI</x:v>
      </x:c>
      <x:c r="F324" s="3" t="str">
        <x:v>Boundary — UI name dài2</x:v>
      </x:c>
      <x:c r="G324" s="3" t="str">
        <x:v>UI name dài2</x:v>
      </x:c>
      <x:c r="H324" s="3" t="str">
        <x:v>CON-001</x:v>
      </x:c>
      <x:c r="I324" s="3" t="str">
        <x:v>Khách truy cập</x:v>
      </x:c>
      <x:c r="J324" s="3" t="str">
        <x:v>Boundary</x:v>
      </x:c>
      <x:c r="K324" s="3" t="str">
        <x:v>Medium</x:v>
      </x:c>
      <x:c r="L324" s="3" t="str">
        <x:v>Medium</x:v>
      </x:c>
      <x:c r="M324" s="3" t="str">
        <x:v>Môi trường QA cô lập, DB/MinIO sẵn sàng; dữ liệu fixture đã tạo. Không đăng nhập.</x:v>
      </x:c>
      <x:c r="N324" s="3" t="str">
        <x:v>2 ký tự ASCII cho tên hoặc 2 chữ số cho phone.</x:v>
      </x:c>
      <x:c r="O324" s="3" t="str">
        <x:v>1. Mở form /vi
2. Dán chuỗi Test Data vào name
3. Điền các trường khác hợp lệ và gửi</x:v>
      </x:c>
      <x:c r="P324" s="3" t="str">
        <x:v>Kiểm tra native validation và payload thực gửi; dữ liệu đạt min của backend có thể được tạo201.</x:v>
      </x:c>
      <x:c r="Q324" s="11" t="str"/>
      <x:c r="R324" s="8" t="str">
        <x:v>NOT RUN</x:v>
      </x:c>
      <x:c r="S324" s="11" t="str">
        <x:v>QA/UAT — cần điền URL/build</x:v>
      </x:c>
      <x:c r="T324" s="11" t="str">
        <x:v>Cần điền phiên bản thực</x:v>
      </x:c>
      <x:c r="U324" s="11" t="str"/>
      <x:c r="V324" s="12" t="str"/>
      <x:c r="W324" s="11" t="str"/>
      <x:c r="X324" s="11" t="str"/>
      <x:c r="Y324" s="3" t="str">
        <x:v>Nguồn: frontend/src/features/home/components/ResourcesConsultation.tsx. </x:v>
      </x:c>
    </x:row>
    <x:row r="325" ht="49" customHeight="1">
      <x:c r="A325" s="3" t="n">
        <x:v>324</x:v>
      </x:c>
      <x:c r="B325" s="3" t="str">
        <x:v>TC_CONSULT_097</x:v>
      </x:c>
      <x:c r="C325" s="3" t="str">
        <x:v>CONSULT</x:v>
      </x:c>
      <x:c r="D325" s="3" t="str">
        <x:v>Biên form UI</x:v>
      </x:c>
      <x:c r="E325" s="3" t="str">
        <x:v>Biên form UI</x:v>
      </x:c>
      <x:c r="F325" s="3" t="str">
        <x:v>Boundary — UI name dài3</x:v>
      </x:c>
      <x:c r="G325" s="3" t="str">
        <x:v>UI name dài3</x:v>
      </x:c>
      <x:c r="H325" s="3" t="str">
        <x:v>CON-001</x:v>
      </x:c>
      <x:c r="I325" s="3" t="str">
        <x:v>Khách truy cập</x:v>
      </x:c>
      <x:c r="J325" s="3" t="str">
        <x:v>Boundary</x:v>
      </x:c>
      <x:c r="K325" s="3" t="str">
        <x:v>Medium</x:v>
      </x:c>
      <x:c r="L325" s="3" t="str">
        <x:v>Medium</x:v>
      </x:c>
      <x:c r="M325" s="3" t="str">
        <x:v>Môi trường QA cô lập, DB/MinIO sẵn sàng; dữ liệu fixture đã tạo. Không đăng nhập.</x:v>
      </x:c>
      <x:c r="N325" s="3" t="str">
        <x:v>3 ký tự ASCII cho tên hoặc 3 chữ số cho phone.</x:v>
      </x:c>
      <x:c r="O325" s="3" t="str">
        <x:v>1. Mở form /vi
2. Dán chuỗi Test Data vào name
3. Điền các trường khác hợp lệ và gửi</x:v>
      </x:c>
      <x:c r="P325" s="3" t="str">
        <x:v>Kiểm tra native validation và payload thực gửi; dữ liệu đạt min của backend có thể được tạo201.</x:v>
      </x:c>
      <x:c r="Q325" s="11" t="str"/>
      <x:c r="R325" s="8" t="str">
        <x:v>NOT RUN</x:v>
      </x:c>
      <x:c r="S325" s="11" t="str">
        <x:v>QA/UAT — cần điền URL/build</x:v>
      </x:c>
      <x:c r="T325" s="11" t="str">
        <x:v>Cần điền phiên bản thực</x:v>
      </x:c>
      <x:c r="U325" s="11" t="str"/>
      <x:c r="V325" s="12" t="str"/>
      <x:c r="W325" s="11" t="str"/>
      <x:c r="X325" s="11" t="str"/>
      <x:c r="Y325" s="3" t="str">
        <x:v>Nguồn: frontend/src/features/home/components/ResourcesConsultation.tsx. </x:v>
      </x:c>
    </x:row>
    <x:row r="326" ht="49" customHeight="1">
      <x:c r="A326" s="3" t="n">
        <x:v>325</x:v>
      </x:c>
      <x:c r="B326" s="3" t="str">
        <x:v>TC_CONSULT_098</x:v>
      </x:c>
      <x:c r="C326" s="3" t="str">
        <x:v>CONSULT</x:v>
      </x:c>
      <x:c r="D326" s="3" t="str">
        <x:v>Biên form UI</x:v>
      </x:c>
      <x:c r="E326" s="3" t="str">
        <x:v>Biên form UI</x:v>
      </x:c>
      <x:c r="F326" s="3" t="str">
        <x:v>Boundary — UI name dài99</x:v>
      </x:c>
      <x:c r="G326" s="3" t="str">
        <x:v>UI name dài99</x:v>
      </x:c>
      <x:c r="H326" s="3" t="str">
        <x:v>CON-001</x:v>
      </x:c>
      <x:c r="I326" s="3" t="str">
        <x:v>Khách truy cập</x:v>
      </x:c>
      <x:c r="J326" s="3" t="str">
        <x:v>Boundary</x:v>
      </x:c>
      <x:c r="K326" s="3" t="str">
        <x:v>Medium</x:v>
      </x:c>
      <x:c r="L326" s="3" t="str">
        <x:v>Medium</x:v>
      </x:c>
      <x:c r="M326" s="3" t="str">
        <x:v>Môi trường QA cô lập, DB/MinIO sẵn sàng; dữ liệu fixture đã tạo. Không đăng nhập.</x:v>
      </x:c>
      <x:c r="N326" s="3" t="str">
        <x:v>99 ký tự ASCII cho tên hoặc 99 chữ số cho phone.</x:v>
      </x:c>
      <x:c r="O326" s="3" t="str">
        <x:v>1. Mở form /vi
2. Dán chuỗi Test Data vào name
3. Điền các trường khác hợp lệ và gửi</x:v>
      </x:c>
      <x:c r="P326" s="3" t="str">
        <x:v>Kiểm tra native validation và payload thực gửi; dữ liệu đạt min của backend có thể được tạo201.</x:v>
      </x:c>
      <x:c r="Q326" s="11" t="str"/>
      <x:c r="R326" s="8" t="str">
        <x:v>NOT RUN</x:v>
      </x:c>
      <x:c r="S326" s="11" t="str">
        <x:v>QA/UAT — cần điền URL/build</x:v>
      </x:c>
      <x:c r="T326" s="11" t="str">
        <x:v>Cần điền phiên bản thực</x:v>
      </x:c>
      <x:c r="U326" s="11" t="str"/>
      <x:c r="V326" s="12" t="str"/>
      <x:c r="W326" s="11" t="str"/>
      <x:c r="X326" s="11" t="str"/>
      <x:c r="Y326" s="3" t="str">
        <x:v>Nguồn: frontend/src/features/home/components/ResourcesConsultation.tsx. </x:v>
      </x:c>
    </x:row>
    <x:row r="327" ht="49" customHeight="1">
      <x:c r="A327" s="3" t="n">
        <x:v>326</x:v>
      </x:c>
      <x:c r="B327" s="3" t="str">
        <x:v>TC_CONSULT_099</x:v>
      </x:c>
      <x:c r="C327" s="3" t="str">
        <x:v>CONSULT</x:v>
      </x:c>
      <x:c r="D327" s="3" t="str">
        <x:v>Biên form UI</x:v>
      </x:c>
      <x:c r="E327" s="3" t="str">
        <x:v>Biên form UI</x:v>
      </x:c>
      <x:c r="F327" s="3" t="str">
        <x:v>Boundary — UI name dài100</x:v>
      </x:c>
      <x:c r="G327" s="3" t="str">
        <x:v>UI name dài100</x:v>
      </x:c>
      <x:c r="H327" s="3" t="str">
        <x:v>CON-001</x:v>
      </x:c>
      <x:c r="I327" s="3" t="str">
        <x:v>Khách truy cập</x:v>
      </x:c>
      <x:c r="J327" s="3" t="str">
        <x:v>Boundary</x:v>
      </x:c>
      <x:c r="K327" s="3" t="str">
        <x:v>Medium</x:v>
      </x:c>
      <x:c r="L327" s="3" t="str">
        <x:v>Medium</x:v>
      </x:c>
      <x:c r="M327" s="3" t="str">
        <x:v>Môi trường QA cô lập, DB/MinIO sẵn sàng; dữ liệu fixture đã tạo. Không đăng nhập.</x:v>
      </x:c>
      <x:c r="N327" s="3" t="str">
        <x:v>100 ký tự ASCII cho tên hoặc 100 chữ số cho phone.</x:v>
      </x:c>
      <x:c r="O327" s="3" t="str">
        <x:v>1. Mở form /vi
2. Dán chuỗi Test Data vào name
3. Điền các trường khác hợp lệ và gửi</x:v>
      </x:c>
      <x:c r="P327" s="3" t="str">
        <x:v>Kiểm tra native validation và payload thực gửi; dữ liệu đạt min của backend có thể được tạo201.</x:v>
      </x:c>
      <x:c r="Q327" s="11" t="str"/>
      <x:c r="R327" s="8" t="str">
        <x:v>NOT RUN</x:v>
      </x:c>
      <x:c r="S327" s="11" t="str">
        <x:v>QA/UAT — cần điền URL/build</x:v>
      </x:c>
      <x:c r="T327" s="11" t="str">
        <x:v>Cần điền phiên bản thực</x:v>
      </x:c>
      <x:c r="U327" s="11" t="str"/>
      <x:c r="V327" s="12" t="str"/>
      <x:c r="W327" s="11" t="str"/>
      <x:c r="X327" s="11" t="str"/>
      <x:c r="Y327" s="3" t="str">
        <x:v>Nguồn: frontend/src/features/home/components/ResourcesConsultation.tsx. </x:v>
      </x:c>
    </x:row>
    <x:row r="328" ht="49" customHeight="1">
      <x:c r="A328" s="3" t="n">
        <x:v>327</x:v>
      </x:c>
      <x:c r="B328" s="3" t="str">
        <x:v>TC_CONSULT_100</x:v>
      </x:c>
      <x:c r="C328" s="3" t="str">
        <x:v>CONSULT</x:v>
      </x:c>
      <x:c r="D328" s="3" t="str">
        <x:v>Biên form UI</x:v>
      </x:c>
      <x:c r="E328" s="3" t="str">
        <x:v>Biên form UI</x:v>
      </x:c>
      <x:c r="F328" s="3" t="str">
        <x:v>Boundary — UI name dài101</x:v>
      </x:c>
      <x:c r="G328" s="3" t="str">
        <x:v>UI name dài101</x:v>
      </x:c>
      <x:c r="H328" s="3" t="str">
        <x:v>CON-001</x:v>
      </x:c>
      <x:c r="I328" s="3" t="str">
        <x:v>Khách truy cập</x:v>
      </x:c>
      <x:c r="J328" s="3" t="str">
        <x:v>Boundary</x:v>
      </x:c>
      <x:c r="K328" s="3" t="str">
        <x:v>Medium</x:v>
      </x:c>
      <x:c r="L328" s="3" t="str">
        <x:v>Medium</x:v>
      </x:c>
      <x:c r="M328" s="3" t="str">
        <x:v>Môi trường QA cô lập, DB/MinIO sẵn sàng; dữ liệu fixture đã tạo. Không đăng nhập.</x:v>
      </x:c>
      <x:c r="N328" s="3" t="str">
        <x:v>101 ký tự ASCII cho tên hoặc 101 chữ số cho phone.</x:v>
      </x:c>
      <x:c r="O328" s="3" t="str">
        <x:v>1. Mở form /vi
2. Dán chuỗi Test Data vào name
3. Điền các trường khác hợp lệ và gửi</x:v>
      </x:c>
      <x:c r="P328" s="3" t="str">
        <x:v>UI không nhận quá maxLength; số ký tự tối đa giữ lại=100.</x:v>
      </x:c>
      <x:c r="Q328" s="11" t="str"/>
      <x:c r="R328" s="8" t="str">
        <x:v>NOT RUN</x:v>
      </x:c>
      <x:c r="S328" s="11" t="str">
        <x:v>QA/UAT — cần điền URL/build</x:v>
      </x:c>
      <x:c r="T328" s="11" t="str">
        <x:v>Cần điền phiên bản thực</x:v>
      </x:c>
      <x:c r="U328" s="11" t="str"/>
      <x:c r="V328" s="12" t="str"/>
      <x:c r="W328" s="11" t="str"/>
      <x:c r="X328" s="11" t="str"/>
      <x:c r="Y328" s="3" t="str">
        <x:v>Nguồn: frontend/src/features/home/components/ResourcesConsultation.tsx. </x:v>
      </x:c>
    </x:row>
    <x:row r="329" ht="49" customHeight="1">
      <x:c r="A329" s="3" t="n">
        <x:v>328</x:v>
      </x:c>
      <x:c r="B329" s="3" t="str">
        <x:v>TC_CONSULT_101</x:v>
      </x:c>
      <x:c r="C329" s="3" t="str">
        <x:v>CONSULT</x:v>
      </x:c>
      <x:c r="D329" s="3" t="str">
        <x:v>Biên form UI</x:v>
      </x:c>
      <x:c r="E329" s="3" t="str">
        <x:v>Biên form UI</x:v>
      </x:c>
      <x:c r="F329" s="3" t="str">
        <x:v>Boundary — UI phone dài8</x:v>
      </x:c>
      <x:c r="G329" s="3" t="str">
        <x:v>UI phone dài8</x:v>
      </x:c>
      <x:c r="H329" s="3" t="str">
        <x:v>CON-001</x:v>
      </x:c>
      <x:c r="I329" s="3" t="str">
        <x:v>Khách truy cập</x:v>
      </x:c>
      <x:c r="J329" s="3" t="str">
        <x:v>Boundary</x:v>
      </x:c>
      <x:c r="K329" s="3" t="str">
        <x:v>Medium</x:v>
      </x:c>
      <x:c r="L329" s="3" t="str">
        <x:v>Medium</x:v>
      </x:c>
      <x:c r="M329" s="3" t="str">
        <x:v>Môi trường QA cô lập, DB/MinIO sẵn sàng; dữ liệu fixture đã tạo. Không đăng nhập.</x:v>
      </x:c>
      <x:c r="N329" s="3" t="str">
        <x:v>8 ký tự ASCII cho tên hoặc 8 chữ số cho phone.</x:v>
      </x:c>
      <x:c r="O329" s="3" t="str">
        <x:v>1. Mở form /vi
2. Dán chuỗi Test Data vào phone
3. Điền các trường khác hợp lệ và gửi</x:v>
      </x:c>
      <x:c r="P329" s="3" t="str">
        <x:v>Không tạo lead với dữ liệu ngắn hơn min backend; hiển thị thông báo lỗi.</x:v>
      </x:c>
      <x:c r="Q329" s="11" t="str"/>
      <x:c r="R329" s="8" t="str">
        <x:v>NOT RUN</x:v>
      </x:c>
      <x:c r="S329" s="11" t="str">
        <x:v>QA/UAT — cần điền URL/build</x:v>
      </x:c>
      <x:c r="T329" s="11" t="str">
        <x:v>Cần điền phiên bản thực</x:v>
      </x:c>
      <x:c r="U329" s="11" t="str"/>
      <x:c r="V329" s="12" t="str"/>
      <x:c r="W329" s="11" t="str"/>
      <x:c r="X329" s="11" t="str"/>
      <x:c r="Y329" s="3" t="str">
        <x:v>Nguồn: frontend/src/features/home/components/ResourcesConsultation.tsx. </x:v>
      </x:c>
    </x:row>
    <x:row r="330" ht="49" customHeight="1">
      <x:c r="A330" s="3" t="n">
        <x:v>329</x:v>
      </x:c>
      <x:c r="B330" s="3" t="str">
        <x:v>TC_CONSULT_102</x:v>
      </x:c>
      <x:c r="C330" s="3" t="str">
        <x:v>CONSULT</x:v>
      </x:c>
      <x:c r="D330" s="3" t="str">
        <x:v>Biên form UI</x:v>
      </x:c>
      <x:c r="E330" s="3" t="str">
        <x:v>Biên form UI</x:v>
      </x:c>
      <x:c r="F330" s="3" t="str">
        <x:v>Boundary — UI phone dài9</x:v>
      </x:c>
      <x:c r="G330" s="3" t="str">
        <x:v>UI phone dài9</x:v>
      </x:c>
      <x:c r="H330" s="3" t="str">
        <x:v>CON-001</x:v>
      </x:c>
      <x:c r="I330" s="3" t="str">
        <x:v>Khách truy cập</x:v>
      </x:c>
      <x:c r="J330" s="3" t="str">
        <x:v>Boundary</x:v>
      </x:c>
      <x:c r="K330" s="3" t="str">
        <x:v>Medium</x:v>
      </x:c>
      <x:c r="L330" s="3" t="str">
        <x:v>Medium</x:v>
      </x:c>
      <x:c r="M330" s="3" t="str">
        <x:v>Môi trường QA cô lập, DB/MinIO sẵn sàng; dữ liệu fixture đã tạo. Không đăng nhập.</x:v>
      </x:c>
      <x:c r="N330" s="3" t="str">
        <x:v>9 ký tự ASCII cho tên hoặc 9 chữ số cho phone.</x:v>
      </x:c>
      <x:c r="O330" s="3" t="str">
        <x:v>1. Mở form /vi
2. Dán chuỗi Test Data vào phone
3. Điền các trường khác hợp lệ và gửi</x:v>
      </x:c>
      <x:c r="P330" s="3" t="str">
        <x:v>Kiểm tra native validation và payload thực gửi; dữ liệu đạt min của backend có thể được tạo201.</x:v>
      </x:c>
      <x:c r="Q330" s="11" t="str"/>
      <x:c r="R330" s="8" t="str">
        <x:v>NOT RUN</x:v>
      </x:c>
      <x:c r="S330" s="11" t="str">
        <x:v>QA/UAT — cần điền URL/build</x:v>
      </x:c>
      <x:c r="T330" s="11" t="str">
        <x:v>Cần điền phiên bản thực</x:v>
      </x:c>
      <x:c r="U330" s="11" t="str"/>
      <x:c r="V330" s="12" t="str"/>
      <x:c r="W330" s="11" t="str"/>
      <x:c r="X330" s="11" t="str"/>
      <x:c r="Y330" s="3" t="str">
        <x:v>Nguồn: frontend/src/features/home/components/ResourcesConsultation.tsx. </x:v>
      </x:c>
    </x:row>
    <x:row r="331" ht="49" customHeight="1">
      <x:c r="A331" s="3" t="n">
        <x:v>330</x:v>
      </x:c>
      <x:c r="B331" s="3" t="str">
        <x:v>TC_CONSULT_103</x:v>
      </x:c>
      <x:c r="C331" s="3" t="str">
        <x:v>CONSULT</x:v>
      </x:c>
      <x:c r="D331" s="3" t="str">
        <x:v>Biên form UI</x:v>
      </x:c>
      <x:c r="E331" s="3" t="str">
        <x:v>Biên form UI</x:v>
      </x:c>
      <x:c r="F331" s="3" t="str">
        <x:v>Boundary — UI phone dài10</x:v>
      </x:c>
      <x:c r="G331" s="3" t="str">
        <x:v>UI phone dài10</x:v>
      </x:c>
      <x:c r="H331" s="3" t="str">
        <x:v>CON-001</x:v>
      </x:c>
      <x:c r="I331" s="3" t="str">
        <x:v>Khách truy cập</x:v>
      </x:c>
      <x:c r="J331" s="3" t="str">
        <x:v>Boundary</x:v>
      </x:c>
      <x:c r="K331" s="3" t="str">
        <x:v>Medium</x:v>
      </x:c>
      <x:c r="L331" s="3" t="str">
        <x:v>Medium</x:v>
      </x:c>
      <x:c r="M331" s="3" t="str">
        <x:v>Môi trường QA cô lập, DB/MinIO sẵn sàng; dữ liệu fixture đã tạo. Không đăng nhập.</x:v>
      </x:c>
      <x:c r="N331" s="3" t="str">
        <x:v>10 ký tự ASCII cho tên hoặc 10 chữ số cho phone.</x:v>
      </x:c>
      <x:c r="O331" s="3" t="str">
        <x:v>1. Mở form /vi
2. Dán chuỗi Test Data vào phone
3. Điền các trường khác hợp lệ và gửi</x:v>
      </x:c>
      <x:c r="P331" s="3" t="str">
        <x:v>Kiểm tra native validation và payload thực gửi; dữ liệu đạt min của backend có thể được tạo201.</x:v>
      </x:c>
      <x:c r="Q331" s="11" t="str"/>
      <x:c r="R331" s="8" t="str">
        <x:v>NOT RUN</x:v>
      </x:c>
      <x:c r="S331" s="11" t="str">
        <x:v>QA/UAT — cần điền URL/build</x:v>
      </x:c>
      <x:c r="T331" s="11" t="str">
        <x:v>Cần điền phiên bản thực</x:v>
      </x:c>
      <x:c r="U331" s="11" t="str"/>
      <x:c r="V331" s="12" t="str"/>
      <x:c r="W331" s="11" t="str"/>
      <x:c r="X331" s="11" t="str"/>
      <x:c r="Y331" s="3" t="str">
        <x:v>Nguồn: frontend/src/features/home/components/ResourcesConsultation.tsx. </x:v>
      </x:c>
    </x:row>
    <x:row r="332" ht="49" customHeight="1">
      <x:c r="A332" s="3" t="n">
        <x:v>331</x:v>
      </x:c>
      <x:c r="B332" s="3" t="str">
        <x:v>TC_CONSULT_104</x:v>
      </x:c>
      <x:c r="C332" s="3" t="str">
        <x:v>CONSULT</x:v>
      </x:c>
      <x:c r="D332" s="3" t="str">
        <x:v>Biên form UI</x:v>
      </x:c>
      <x:c r="E332" s="3" t="str">
        <x:v>Biên form UI</x:v>
      </x:c>
      <x:c r="F332" s="3" t="str">
        <x:v>Boundary — UI phone dài17</x:v>
      </x:c>
      <x:c r="G332" s="3" t="str">
        <x:v>UI phone dài17</x:v>
      </x:c>
      <x:c r="H332" s="3" t="str">
        <x:v>CON-001</x:v>
      </x:c>
      <x:c r="I332" s="3" t="str">
        <x:v>Khách truy cập</x:v>
      </x:c>
      <x:c r="J332" s="3" t="str">
        <x:v>Boundary</x:v>
      </x:c>
      <x:c r="K332" s="3" t="str">
        <x:v>Medium</x:v>
      </x:c>
      <x:c r="L332" s="3" t="str">
        <x:v>Medium</x:v>
      </x:c>
      <x:c r="M332" s="3" t="str">
        <x:v>Môi trường QA cô lập, DB/MinIO sẵn sàng; dữ liệu fixture đã tạo. Không đăng nhập.</x:v>
      </x:c>
      <x:c r="N332" s="3" t="str">
        <x:v>17 ký tự ASCII cho tên hoặc 17 chữ số cho phone.</x:v>
      </x:c>
      <x:c r="O332" s="3" t="str">
        <x:v>1. Mở form /vi
2. Dán chuỗi Test Data vào phone
3. Điền các trường khác hợp lệ và gửi</x:v>
      </x:c>
      <x:c r="P332" s="3" t="str">
        <x:v>Kiểm tra native validation và payload thực gửi; dữ liệu đạt min của backend có thể được tạo201.</x:v>
      </x:c>
      <x:c r="Q332" s="11" t="str"/>
      <x:c r="R332" s="8" t="str">
        <x:v>NOT RUN</x:v>
      </x:c>
      <x:c r="S332" s="11" t="str">
        <x:v>QA/UAT — cần điền URL/build</x:v>
      </x:c>
      <x:c r="T332" s="11" t="str">
        <x:v>Cần điền phiên bản thực</x:v>
      </x:c>
      <x:c r="U332" s="11" t="str"/>
      <x:c r="V332" s="12" t="str"/>
      <x:c r="W332" s="11" t="str"/>
      <x:c r="X332" s="11" t="str"/>
      <x:c r="Y332" s="3" t="str">
        <x:v>Nguồn: frontend/src/features/home/components/ResourcesConsultation.tsx. </x:v>
      </x:c>
    </x:row>
    <x:row r="333" ht="49" customHeight="1">
      <x:c r="A333" s="3" t="n">
        <x:v>332</x:v>
      </x:c>
      <x:c r="B333" s="3" t="str">
        <x:v>TC_CONSULT_105</x:v>
      </x:c>
      <x:c r="C333" s="3" t="str">
        <x:v>CONSULT</x:v>
      </x:c>
      <x:c r="D333" s="3" t="str">
        <x:v>Biên form UI</x:v>
      </x:c>
      <x:c r="E333" s="3" t="str">
        <x:v>Biên form UI</x:v>
      </x:c>
      <x:c r="F333" s="3" t="str">
        <x:v>Boundary — UI phone dài18</x:v>
      </x:c>
      <x:c r="G333" s="3" t="str">
        <x:v>UI phone dài18</x:v>
      </x:c>
      <x:c r="H333" s="3" t="str">
        <x:v>CON-001</x:v>
      </x:c>
      <x:c r="I333" s="3" t="str">
        <x:v>Khách truy cập</x:v>
      </x:c>
      <x:c r="J333" s="3" t="str">
        <x:v>Boundary</x:v>
      </x:c>
      <x:c r="K333" s="3" t="str">
        <x:v>Medium</x:v>
      </x:c>
      <x:c r="L333" s="3" t="str">
        <x:v>Medium</x:v>
      </x:c>
      <x:c r="M333" s="3" t="str">
        <x:v>Môi trường QA cô lập, DB/MinIO sẵn sàng; dữ liệu fixture đã tạo. Không đăng nhập.</x:v>
      </x:c>
      <x:c r="N333" s="3" t="str">
        <x:v>18 ký tự ASCII cho tên hoặc 18 chữ số cho phone.</x:v>
      </x:c>
      <x:c r="O333" s="3" t="str">
        <x:v>1. Mở form /vi
2. Dán chuỗi Test Data vào phone
3. Điền các trường khác hợp lệ và gửi</x:v>
      </x:c>
      <x:c r="P333" s="3" t="str">
        <x:v>Kiểm tra native validation và payload thực gửi; dữ liệu đạt min của backend có thể được tạo201.</x:v>
      </x:c>
      <x:c r="Q333" s="11" t="str"/>
      <x:c r="R333" s="8" t="str">
        <x:v>NOT RUN</x:v>
      </x:c>
      <x:c r="S333" s="11" t="str">
        <x:v>QA/UAT — cần điền URL/build</x:v>
      </x:c>
      <x:c r="T333" s="11" t="str">
        <x:v>Cần điền phiên bản thực</x:v>
      </x:c>
      <x:c r="U333" s="11" t="str"/>
      <x:c r="V333" s="12" t="str"/>
      <x:c r="W333" s="11" t="str"/>
      <x:c r="X333" s="11" t="str"/>
      <x:c r="Y333" s="3" t="str">
        <x:v>Nguồn: frontend/src/features/home/components/ResourcesConsultation.tsx. </x:v>
      </x:c>
    </x:row>
    <x:row r="334" ht="49" customHeight="1">
      <x:c r="A334" s="3" t="n">
        <x:v>333</x:v>
      </x:c>
      <x:c r="B334" s="3" t="str">
        <x:v>TC_CONSULT_106</x:v>
      </x:c>
      <x:c r="C334" s="3" t="str">
        <x:v>CONSULT</x:v>
      </x:c>
      <x:c r="D334" s="3" t="str">
        <x:v>Biên form UI</x:v>
      </x:c>
      <x:c r="E334" s="3" t="str">
        <x:v>Biên form UI</x:v>
      </x:c>
      <x:c r="F334" s="3" t="str">
        <x:v>Boundary — UI phone dài19</x:v>
      </x:c>
      <x:c r="G334" s="3" t="str">
        <x:v>UI phone dài19</x:v>
      </x:c>
      <x:c r="H334" s="3" t="str">
        <x:v>CON-001</x:v>
      </x:c>
      <x:c r="I334" s="3" t="str">
        <x:v>Khách truy cập</x:v>
      </x:c>
      <x:c r="J334" s="3" t="str">
        <x:v>Boundary</x:v>
      </x:c>
      <x:c r="K334" s="3" t="str">
        <x:v>Medium</x:v>
      </x:c>
      <x:c r="L334" s="3" t="str">
        <x:v>Medium</x:v>
      </x:c>
      <x:c r="M334" s="3" t="str">
        <x:v>Môi trường QA cô lập, DB/MinIO sẵn sàng; dữ liệu fixture đã tạo. Không đăng nhập.</x:v>
      </x:c>
      <x:c r="N334" s="3" t="str">
        <x:v>19 ký tự ASCII cho tên hoặc 19 chữ số cho phone.</x:v>
      </x:c>
      <x:c r="O334" s="3" t="str">
        <x:v>1. Mở form /vi
2. Dán chuỗi Test Data vào phone
3. Điền các trường khác hợp lệ và gửi</x:v>
      </x:c>
      <x:c r="P334" s="3" t="str">
        <x:v>UI không nhận quá maxLength; số ký tự tối đa giữ lại=18.</x:v>
      </x:c>
      <x:c r="Q334" s="11" t="str"/>
      <x:c r="R334" s="8" t="str">
        <x:v>NOT RUN</x:v>
      </x:c>
      <x:c r="S334" s="11" t="str">
        <x:v>QA/UAT — cần điền URL/build</x:v>
      </x:c>
      <x:c r="T334" s="11" t="str">
        <x:v>Cần điền phiên bản thực</x:v>
      </x:c>
      <x:c r="U334" s="11" t="str"/>
      <x:c r="V334" s="12" t="str"/>
      <x:c r="W334" s="11" t="str"/>
      <x:c r="X334" s="11" t="str"/>
      <x:c r="Y334" s="3" t="str">
        <x:v>Nguồn: frontend/src/features/home/components/ResourcesConsultation.tsx. </x:v>
      </x:c>
    </x:row>
    <x:row r="335" ht="49" customHeight="1">
      <x:c r="A335" s="3" t="n">
        <x:v>334</x:v>
      </x:c>
      <x:c r="B335" s="3" t="str">
        <x:v>TC_PROGRAMME_008</x:v>
      </x:c>
      <x:c r="C335" s="3" t="str">
        <x:v>PROGRAMME</x:v>
      </x:c>
      <x:c r="D335" s="3" t="str">
        <x:v>Tra cứu</x:v>
      </x:c>
      <x:c r="E335" s="3" t="str">
        <x:v>Tra cứu</x:v>
      </x:c>
      <x:c r="F335" s="3" t="str">
        <x:v>Positive — Lọc định hướng chương trình</x:v>
      </x:c>
      <x:c r="G335" s="3" t="str">
        <x:v>Lọc định hướng chương trình</x:v>
      </x:c>
      <x:c r="H335" s="3" t="str">
        <x:v>PUB-002</x:v>
      </x:c>
      <x:c r="I335" s="3" t="str">
        <x:v>Khách truy cập</x:v>
      </x:c>
      <x:c r="J335" s="3" t="str">
        <x:v>Positive</x:v>
      </x:c>
      <x:c r="K335" s="3" t="str">
        <x:v>Medium</x:v>
      </x:c>
      <x:c r="L335" s="3" t="str">
        <x:v>Medium</x:v>
      </x:c>
      <x:c r="M335" s="3" t="str">
        <x:v>Môi trường QA cô lập, DB/MinIO sẵn sàng; dữ liệu fixture đã tạo. Không đăng nhập.</x:v>
      </x:c>
      <x:c r="N335" s="3" t="str">
        <x:v>Dữ liệu QA tổng hợp; xem fixture trong README.</x:v>
      </x:c>
      <x:c r="O335" s="3" t="str">
        <x:v>1. Mở /vi/programmes
2. Chọn orientation đang có trong data/programmes.ts
3. Tìm</x:v>
      </x:c>
      <x:c r="P335" s="3" t="str">
        <x:v>Query orientation tương ứng lựa chọn; danh mục chỉ gồm chương trình cùng định hướng.</x:v>
      </x:c>
      <x:c r="Q335" s="11" t="str"/>
      <x:c r="R335" s="8" t="str">
        <x:v>NOT RUN</x:v>
      </x:c>
      <x:c r="S335" s="11" t="str">
        <x:v>QA/UAT — cần điền URL/build</x:v>
      </x:c>
      <x:c r="T335" s="11" t="str">
        <x:v>Cần điền phiên bản thực</x:v>
      </x:c>
      <x:c r="U335" s="11" t="str"/>
      <x:c r="V335" s="12" t="str"/>
      <x:c r="W335" s="11" t="str"/>
      <x:c r="X335" s="11" t="str"/>
      <x:c r="Y335" s="3" t="str">
        <x:v>Nguồn: frontend/src/features/programmes/components/ProgrammeSearch.tsx. </x:v>
      </x:c>
    </x:row>
    <x:row r="336" ht="36" customHeight="1">
      <x:c r="A336" s="3" t="n">
        <x:v>335</x:v>
      </x:c>
      <x:c r="B336" s="3" t="str">
        <x:v>TC_RESEARCH_009</x:v>
      </x:c>
      <x:c r="C336" s="3" t="str">
        <x:v>RESEARCH</x:v>
      </x:c>
      <x:c r="D336" s="3" t="str">
        <x:v>Tra cứu</x:v>
      </x:c>
      <x:c r="E336" s="3" t="str">
        <x:v>Tra cứu</x:v>
      </x:c>
      <x:c r="F336" s="3" t="str">
        <x:v>Positive — Lọc công bố theo type</x:v>
      </x:c>
      <x:c r="G336" s="3" t="str">
        <x:v>Lọc công bố theo type</x:v>
      </x:c>
      <x:c r="H336" s="3" t="str">
        <x:v>OBS-RESEARCH</x:v>
      </x:c>
      <x:c r="I336" s="3" t="str">
        <x:v>Khách truy cập</x:v>
      </x:c>
      <x:c r="J336" s="3" t="str">
        <x:v>Positive</x:v>
      </x:c>
      <x:c r="K336" s="3" t="str">
        <x:v>Medium</x:v>
      </x:c>
      <x:c r="L336" s="3" t="str">
        <x:v>Medium</x:v>
      </x:c>
      <x:c r="M336" s="3" t="str">
        <x:v>Môi trường QA cô lập, DB/MinIO sẵn sàng; dữ liệu fixture đã tạo. Không đăng nhập.</x:v>
      </x:c>
      <x:c r="N336" s="3" t="str">
        <x:v>Dữ liệu QA tổng hợp; xem fixture trong README.</x:v>
      </x:c>
      <x:c r="O336" s="3" t="str">
        <x:v>1. Mở /vi/research#cong-bo
2. Chọn radio type từ danh sách hiện có</x:v>
      </x:c>
      <x:c r="P336" s="3" t="str">
        <x:v>Các kết quả có trường type đúng giá trị đã chọn; đếm kết quả khớp.</x:v>
      </x:c>
      <x:c r="Q336" s="11" t="str"/>
      <x:c r="R336" s="8" t="str">
        <x:v>NOT RUN</x:v>
      </x:c>
      <x:c r="S336" s="11" t="str">
        <x:v>QA/UAT — cần điền URL/build</x:v>
      </x:c>
      <x:c r="T336" s="11" t="str">
        <x:v>Cần điền phiên bản thực</x:v>
      </x:c>
      <x:c r="U336" s="11" t="str"/>
      <x:c r="V336" s="12" t="str"/>
      <x:c r="W336" s="11" t="str"/>
      <x:c r="X336" s="11" t="str"/>
      <x:c r="Y336" s="3" t="str">
        <x:v>Nguồn: frontend/src/features/research/components/PublicationsSearch.tsx. </x:v>
      </x:c>
    </x:row>
    <x:row r="337" ht="36" customHeight="1">
      <x:c r="A337" s="3" t="n">
        <x:v>336</x:v>
      </x:c>
      <x:c r="B337" s="3" t="str">
        <x:v>TC_RESEARCH_010</x:v>
      </x:c>
      <x:c r="C337" s="3" t="str">
        <x:v>RESEARCH</x:v>
      </x:c>
      <x:c r="D337" s="3" t="str">
        <x:v>Tra cứu</x:v>
      </x:c>
      <x:c r="E337" s="3" t="str">
        <x:v>Tra cứu</x:v>
      </x:c>
      <x:c r="F337" s="3" t="str">
        <x:v>Positive — Lọc công bố theo language</x:v>
      </x:c>
      <x:c r="G337" s="3" t="str">
        <x:v>Lọc công bố theo language</x:v>
      </x:c>
      <x:c r="H337" s="3" t="str">
        <x:v>OBS-RESEARCH</x:v>
      </x:c>
      <x:c r="I337" s="3" t="str">
        <x:v>Khách truy cập</x:v>
      </x:c>
      <x:c r="J337" s="3" t="str">
        <x:v>Positive</x:v>
      </x:c>
      <x:c r="K337" s="3" t="str">
        <x:v>Medium</x:v>
      </x:c>
      <x:c r="L337" s="3" t="str">
        <x:v>Medium</x:v>
      </x:c>
      <x:c r="M337" s="3" t="str">
        <x:v>Môi trường QA cô lập, DB/MinIO sẵn sàng; dữ liệu fixture đã tạo. Không đăng nhập.</x:v>
      </x:c>
      <x:c r="N337" s="3" t="str">
        <x:v>Dữ liệu QA tổng hợp; xem fixture trong README.</x:v>
      </x:c>
      <x:c r="O337" s="3" t="str">
        <x:v>1. Mở /vi/research#cong-bo
2. Chọn radio language từ danh sách hiện có</x:v>
      </x:c>
      <x:c r="P337" s="3" t="str">
        <x:v>Các kết quả có trường language đúng giá trị đã chọn; đếm kết quả khớp.</x:v>
      </x:c>
      <x:c r="Q337" s="11" t="str"/>
      <x:c r="R337" s="8" t="str">
        <x:v>NOT RUN</x:v>
      </x:c>
      <x:c r="S337" s="11" t="str">
        <x:v>QA/UAT — cần điền URL/build</x:v>
      </x:c>
      <x:c r="T337" s="11" t="str">
        <x:v>Cần điền phiên bản thực</x:v>
      </x:c>
      <x:c r="U337" s="11" t="str"/>
      <x:c r="V337" s="12" t="str"/>
      <x:c r="W337" s="11" t="str"/>
      <x:c r="X337" s="11" t="str"/>
      <x:c r="Y337" s="3" t="str">
        <x:v>Nguồn: frontend/src/features/research/components/PublicationsSearch.tsx. </x:v>
      </x:c>
    </x:row>
  </x:sheetData>
  <x:conditionalFormatting sqref="R2:R337">
    <x:cfRule type="cellIs" dxfId="0" priority="1" operator="equal">
      <x:formula>"PASS"</x:formula>
    </x:cfRule>
    <x:cfRule type="cellIs" dxfId="1" priority="2" operator="equal">
      <x:formula>"FAIL"</x:formula>
    </x:cfRule>
    <x:cfRule type="cellIs" dxfId="2" priority="3" operator="equal">
      <x:formula>"BLOCKED"</x:formula>
    </x:cfRule>
    <x:cfRule type="cellIs" dxfId="3" priority="4" operator="equal">
      <x:formula>"NOT RUN"</x:formula>
    </x:cfRule>
    <x:cfRule type="cellIs" dxfId="4" priority="5" operator="equal">
      <x:formula>"NEED CONFIRMATION"</x:formula>
    </x:cfRule>
  </x:conditionalFormatting>
  <x:dataValidations count="4">
    <x:dataValidation type="list" sqref="J2:J337">
      <x:formula1>"Accessibility,Alternative,Boundary,Compatibility,Concurrency,Integration,Localization,Negative,Performance,Positive,Responsive,Review,Security,UI"</x:formula1>
    </x:dataValidation>
    <x:dataValidation type="list" sqref="K2:K337">
      <x:formula1>"Critical,High,Medium,Low"</x:formula1>
    </x:dataValidation>
    <x:dataValidation type="list" sqref="L2:L337">
      <x:formula1>"Critical,High,Medium,Low"</x:formula1>
    </x:dataValidation>
    <x:dataValidation type="list" sqref="R2:R337">
      <x:formula1>"PASS,FAIL,BLOCKED,NOT RUN,NEED CONFIRMATION"</x:formula1>
    </x:dataValidation>
  </x:dataValidations>
  <x:pageMargins left="0.7" right="0.7" top="0.75" bottom="0.75" header="0.3" footer="0.3"/>
  <x:tableParts count="1">
    <x:tablePart xmlns:r="http://schemas.openxmlformats.org/officeDocument/2006/relationships" r:id="R85a9ee1b63d44516"/>
  </x:tableParts>
</x:worksheet>
</file>

<file path=xl/worksheets/sheet4.xml><?xml version="1.0" encoding="utf-8"?>
<x:worksheet xmlns:x="http://schemas.openxmlformats.org/spreadsheetml/2006/main">
  <x:sheetPr>
    <x:tabColor rgb="FF547394"/>
  </x:sheetPr>
  <x:sheetViews>
    <x:sheetView showGridLines="0" workbookViewId="0">
      <x:pane xSplit="2" ySplit="1" topLeftCell="C2" activePane="bottomRight" state="frozen"/>
    </x:sheetView>
  </x:sheetViews>
  <x:sheetFormatPr defaultRowHeight="15"/>
  <x:cols>
    <x:col min="1" max="1" width="7" hidden="0" customWidth="1"/>
    <x:col min="2" max="2" width="23" hidden="0" customWidth="1"/>
    <x:col min="3" max="3" width="18" hidden="0" customWidth="1"/>
    <x:col min="4" max="4" width="27" hidden="0" customWidth="1"/>
    <x:col min="5" max="5" width="27" hidden="0" customWidth="1"/>
    <x:col min="6" max="6" width="38" hidden="0" customWidth="1"/>
    <x:col min="7" max="7" width="42" hidden="0" customWidth="1"/>
    <x:col min="8" max="8" width="24" hidden="0" customWidth="1"/>
    <x:col min="9" max="9" width="30" hidden="0" customWidth="1"/>
    <x:col min="10" max="10" width="20" hidden="0" customWidth="1"/>
    <x:col min="11" max="11" width="15" hidden="0" customWidth="1"/>
    <x:col min="12" max="12" width="15" hidden="0" customWidth="1"/>
    <x:col min="13" max="13" width="58" hidden="0" customWidth="1"/>
    <x:col min="14" max="14" width="62" hidden="0" customWidth="1"/>
    <x:col min="15" max="15" width="72" hidden="0" customWidth="1"/>
    <x:col min="16" max="16" width="74" hidden="0" customWidth="1"/>
    <x:col min="17" max="17" width="55" hidden="0" customWidth="1"/>
    <x:col min="18" max="18" width="24" hidden="0" customWidth="1"/>
    <x:col min="19" max="19" width="30" hidden="0" customWidth="1"/>
    <x:col min="20" max="20" width="27" hidden="0" customWidth="1"/>
    <x:col min="21" max="21" width="20" hidden="0" customWidth="1"/>
    <x:col min="22" max="22" width="16" hidden="0" customWidth="1"/>
    <x:col min="23" max="23" width="35" hidden="0" customWidth="1"/>
    <x:col min="24" max="24" width="20" hidden="0" customWidth="1"/>
    <x:col min="25" max="25" width="78" hidden="0" customWidth="1"/>
  </x:cols>
  <x:sheetData>
    <x:row r="1" ht="34" customHeight="1">
      <x:c r="A1" s="7" t="str">
        <x:v>STT</x:v>
      </x:c>
      <x:c r="B1" s="7" t="str">
        <x:v>Test Case ID</x:v>
      </x:c>
      <x:c r="C1" s="7" t="str">
        <x:v>Module</x:v>
      </x:c>
      <x:c r="D1" s="7" t="str">
        <x:v>Sub-module</x:v>
      </x:c>
      <x:c r="E1" s="7" t="str">
        <x:v>Feature</x:v>
      </x:c>
      <x:c r="F1" s="7" t="str">
        <x:v>Test Scenario</x:v>
      </x:c>
      <x:c r="G1" s="7" t="str">
        <x:v>Test Case Title</x:v>
      </x:c>
      <x:c r="H1" s="7" t="str">
        <x:v>Requirement/User Story ID</x:v>
      </x:c>
      <x:c r="I1" s="7" t="str">
        <x:v>User Role</x:v>
      </x:c>
      <x:c r="J1" s="7" t="str">
        <x:v>Test Type</x:v>
      </x:c>
      <x:c r="K1" s="7" t="str">
        <x:v>Priority</x:v>
      </x:c>
      <x:c r="L1" s="7" t="str">
        <x:v>Severity</x:v>
      </x:c>
      <x:c r="M1" s="7" t="str">
        <x:v>Preconditions</x:v>
      </x:c>
      <x:c r="N1" s="7" t="str">
        <x:v>Test Data</x:v>
      </x:c>
      <x:c r="O1" s="7" t="str">
        <x:v>Test Steps</x:v>
      </x:c>
      <x:c r="P1" s="7" t="str">
        <x:v>Expected Result</x:v>
      </x:c>
      <x:c r="Q1" s="7" t="str">
        <x:v>Actual Result</x:v>
      </x:c>
      <x:c r="R1" s="7" t="str">
        <x:v>Status</x:v>
      </x:c>
      <x:c r="S1" s="7" t="str">
        <x:v>Environment</x:v>
      </x:c>
      <x:c r="T1" s="7" t="str">
        <x:v>Browser/Device</x:v>
      </x:c>
      <x:c r="U1" s="7" t="str">
        <x:v>Tester</x:v>
      </x:c>
      <x:c r="V1" s="7" t="str">
        <x:v>Test Date</x:v>
      </x:c>
      <x:c r="W1" s="7" t="str">
        <x:v>Evidence/Attachment</x:v>
      </x:c>
      <x:c r="X1" s="7" t="str">
        <x:v>Bug ID</x:v>
      </x:c>
      <x:c r="Y1" s="7" t="str">
        <x:v>Notes</x:v>
      </x:c>
    </x:row>
    <x:row r="2" ht="49" customHeight="1">
      <x:c r="A2" s="3" t="n">
        <x:v>1</x:v>
      </x:c>
      <x:c r="B2" s="3" t="str">
        <x:v>TC_UI_001</x:v>
      </x:c>
      <x:c r="C2" s="3" t="str">
        <x:v>UI</x:v>
      </x:c>
      <x:c r="D2" s="3" t="str">
        <x:v>Responsive Trang chủ</x:v>
      </x:c>
      <x:c r="E2" s="3" t="str">
        <x:v>Responsive Trang chủ</x:v>
      </x:c>
      <x:c r="F2" s="3" t="str">
        <x:v>Responsive — Trang chủ tại 320px</x:v>
      </x:c>
      <x:c r="G2" s="3" t="str">
        <x:v>Trang chủ tại 320px</x:v>
      </x:c>
      <x:c r="H2" s="3" t="str">
        <x:v>NFR-003</x:v>
      </x:c>
      <x:c r="I2" s="3" t="str">
        <x:v>Khách truy cập</x:v>
      </x:c>
      <x:c r="J2" s="3" t="str">
        <x:v>Responsive</x:v>
      </x:c>
      <x:c r="K2" s="3" t="str">
        <x:v>High</x:v>
      </x:c>
      <x:c r="L2" s="3" t="str">
        <x:v>High</x:v>
      </x:c>
      <x:c r="M2" s="3" t="str">
        <x:v>QA/UAT public sẵn sàng; không cần đăng nhập; demo=false cho case tích hợp CMS/public. Ghi viewport, OS và browser thực.</x:v>
      </x:c>
      <x:c r="N2" s="3" t="str">
        <x:v>Viewport 320×900 CSS px; fixture có tên/tiêu đề dài và tiếng Việt.</x:v>
      </x:c>
      <x:c r="O2" s="3" t="str">
        <x:v>1. Mở /vi; viewport 320×900 CSS px, zoom100%
2. Cuộn hết trang và mở tương tác chính
3. Đo scrollWidth so clientWidth và chụp màn hình</x:v>
      </x:c>
      <x:c r="P2" s="3" t="str">
        <x:v>Không tràn ngang toàn trang; chữ/nút không chồng hoặc bị cắt; nội dung/ảnh không mất; bảng rộng cuộn trong vùng bảng. Menu và CTA chính thao tác được.</x:v>
      </x:c>
      <x:c r="Q2" s="11" t="str"/>
      <x:c r="R2" s="8" t="str">
        <x:v>NOT RUN</x:v>
      </x:c>
      <x:c r="S2" s="11" t="str">
        <x:v>QA/UAT — cần điền URL/build</x:v>
      </x:c>
      <x:c r="T2" s="11" t="str">
        <x:v>Cần điền phiên bản thực</x:v>
      </x:c>
      <x:c r="U2" s="11" t="str"/>
      <x:c r="V2" s="12" t="str"/>
      <x:c r="W2" s="11" t="str"/>
      <x:c r="X2" s="11" t="str"/>
      <x:c r="Y2" s="3" t="str">
        <x:v>Nguồn: frontend/src/app; admin/src/app/styles.css. Đánh giá khả dụng theo yêu cầu người dùng; ngưỡng WCAG chính thức vẫn cần phê duyệt.</x:v>
      </x:c>
    </x:row>
    <x:row r="3" ht="49" customHeight="1">
      <x:c r="A3" s="3" t="n">
        <x:v>2</x:v>
      </x:c>
      <x:c r="B3" s="3" t="str">
        <x:v>TC_UI_002</x:v>
      </x:c>
      <x:c r="C3" s="3" t="str">
        <x:v>UI</x:v>
      </x:c>
      <x:c r="D3" s="3" t="str">
        <x:v>Responsive Trang chủ</x:v>
      </x:c>
      <x:c r="E3" s="3" t="str">
        <x:v>Responsive Trang chủ</x:v>
      </x:c>
      <x:c r="F3" s="3" t="str">
        <x:v>Responsive — Trang chủ tại 375px</x:v>
      </x:c>
      <x:c r="G3" s="3" t="str">
        <x:v>Trang chủ tại 375px</x:v>
      </x:c>
      <x:c r="H3" s="3" t="str">
        <x:v>NFR-003</x:v>
      </x:c>
      <x:c r="I3" s="3" t="str">
        <x:v>Khách truy cập</x:v>
      </x:c>
      <x:c r="J3" s="3" t="str">
        <x:v>Responsive</x:v>
      </x:c>
      <x:c r="K3" s="3" t="str">
        <x:v>Medium</x:v>
      </x:c>
      <x:c r="L3" s="3" t="str">
        <x:v>Medium</x:v>
      </x:c>
      <x:c r="M3" s="3" t="str">
        <x:v>QA/UAT public sẵn sàng; không cần đăng nhập; demo=false cho case tích hợp CMS/public. Ghi viewport, OS và browser thực.</x:v>
      </x:c>
      <x:c r="N3" s="3" t="str">
        <x:v>Viewport 375×900 CSS px; fixture có tên/tiêu đề dài và tiếng Việt.</x:v>
      </x:c>
      <x:c r="O3" s="3" t="str">
        <x:v>1. Mở /vi; viewport 375×900 CSS px, zoom100%
2. Cuộn hết trang và mở tương tác chính
3. Đo scrollWidth so clientWidth và chụp màn hình</x:v>
      </x:c>
      <x:c r="P3" s="3" t="str">
        <x:v>Không tràn ngang toàn trang; chữ/nút không chồng hoặc bị cắt; nội dung/ảnh không mất; bảng rộng cuộn trong vùng bảng. Menu và CTA chính thao tác được.</x:v>
      </x:c>
      <x:c r="Q3" s="11" t="str"/>
      <x:c r="R3" s="8" t="str">
        <x:v>NOT RUN</x:v>
      </x:c>
      <x:c r="S3" s="11" t="str">
        <x:v>QA/UAT — cần điền URL/build</x:v>
      </x:c>
      <x:c r="T3" s="11" t="str">
        <x:v>Cần điền phiên bản thực</x:v>
      </x:c>
      <x:c r="U3" s="11" t="str"/>
      <x:c r="V3" s="12" t="str"/>
      <x:c r="W3" s="11" t="str"/>
      <x:c r="X3" s="11" t="str"/>
      <x:c r="Y3" s="3" t="str">
        <x:v>Nguồn: frontend/src/app; admin/src/app/styles.css. Đánh giá khả dụng theo yêu cầu người dùng; ngưỡng WCAG chính thức vẫn cần phê duyệt.</x:v>
      </x:c>
    </x:row>
    <x:row r="4" ht="49" customHeight="1">
      <x:c r="A4" s="3" t="n">
        <x:v>3</x:v>
      </x:c>
      <x:c r="B4" s="3" t="str">
        <x:v>TC_UI_003</x:v>
      </x:c>
      <x:c r="C4" s="3" t="str">
        <x:v>UI</x:v>
      </x:c>
      <x:c r="D4" s="3" t="str">
        <x:v>Responsive Trang chủ</x:v>
      </x:c>
      <x:c r="E4" s="3" t="str">
        <x:v>Responsive Trang chủ</x:v>
      </x:c>
      <x:c r="F4" s="3" t="str">
        <x:v>Responsive — Trang chủ tại 390px</x:v>
      </x:c>
      <x:c r="G4" s="3" t="str">
        <x:v>Trang chủ tại 390px</x:v>
      </x:c>
      <x:c r="H4" s="3" t="str">
        <x:v>NFR-003</x:v>
      </x:c>
      <x:c r="I4" s="3" t="str">
        <x:v>Khách truy cập</x:v>
      </x:c>
      <x:c r="J4" s="3" t="str">
        <x:v>Responsive</x:v>
      </x:c>
      <x:c r="K4" s="3" t="str">
        <x:v>Medium</x:v>
      </x:c>
      <x:c r="L4" s="3" t="str">
        <x:v>Medium</x:v>
      </x:c>
      <x:c r="M4" s="3" t="str">
        <x:v>QA/UAT public sẵn sàng; không cần đăng nhập; demo=false cho case tích hợp CMS/public. Ghi viewport, OS và browser thực.</x:v>
      </x:c>
      <x:c r="N4" s="3" t="str">
        <x:v>Viewport 390×900 CSS px; fixture có tên/tiêu đề dài và tiếng Việt.</x:v>
      </x:c>
      <x:c r="O4" s="3" t="str">
        <x:v>1. Mở /vi; viewport 390×900 CSS px, zoom100%
2. Cuộn hết trang và mở tương tác chính
3. Đo scrollWidth so clientWidth và chụp màn hình</x:v>
      </x:c>
      <x:c r="P4" s="3" t="str">
        <x:v>Không tràn ngang toàn trang; chữ/nút không chồng hoặc bị cắt; nội dung/ảnh không mất; bảng rộng cuộn trong vùng bảng. Menu và CTA chính thao tác được.</x:v>
      </x:c>
      <x:c r="Q4" s="11" t="str"/>
      <x:c r="R4" s="8" t="str">
        <x:v>NOT RUN</x:v>
      </x:c>
      <x:c r="S4" s="11" t="str">
        <x:v>QA/UAT — cần điền URL/build</x:v>
      </x:c>
      <x:c r="T4" s="11" t="str">
        <x:v>Cần điền phiên bản thực</x:v>
      </x:c>
      <x:c r="U4" s="11" t="str"/>
      <x:c r="V4" s="12" t="str"/>
      <x:c r="W4" s="11" t="str"/>
      <x:c r="X4" s="11" t="str"/>
      <x:c r="Y4" s="3" t="str">
        <x:v>Nguồn: frontend/src/app; admin/src/app/styles.css. Đánh giá khả dụng theo yêu cầu người dùng; ngưỡng WCAG chính thức vẫn cần phê duyệt.</x:v>
      </x:c>
    </x:row>
    <x:row r="5" ht="49" customHeight="1">
      <x:c r="A5" s="3" t="n">
        <x:v>4</x:v>
      </x:c>
      <x:c r="B5" s="3" t="str">
        <x:v>TC_UI_004</x:v>
      </x:c>
      <x:c r="C5" s="3" t="str">
        <x:v>UI</x:v>
      </x:c>
      <x:c r="D5" s="3" t="str">
        <x:v>Responsive Trang chủ</x:v>
      </x:c>
      <x:c r="E5" s="3" t="str">
        <x:v>Responsive Trang chủ</x:v>
      </x:c>
      <x:c r="F5" s="3" t="str">
        <x:v>Responsive — Trang chủ tại 768px</x:v>
      </x:c>
      <x:c r="G5" s="3" t="str">
        <x:v>Trang chủ tại 768px</x:v>
      </x:c>
      <x:c r="H5" s="3" t="str">
        <x:v>NFR-003</x:v>
      </x:c>
      <x:c r="I5" s="3" t="str">
        <x:v>Khách truy cập</x:v>
      </x:c>
      <x:c r="J5" s="3" t="str">
        <x:v>Responsive</x:v>
      </x:c>
      <x:c r="K5" s="3" t="str">
        <x:v>Medium</x:v>
      </x:c>
      <x:c r="L5" s="3" t="str">
        <x:v>Medium</x:v>
      </x:c>
      <x:c r="M5" s="3" t="str">
        <x:v>QA/UAT public sẵn sàng; không cần đăng nhập; demo=false cho case tích hợp CMS/public. Ghi viewport, OS và browser thực.</x:v>
      </x:c>
      <x:c r="N5" s="3" t="str">
        <x:v>Viewport 768×900 CSS px; fixture có tên/tiêu đề dài và tiếng Việt.</x:v>
      </x:c>
      <x:c r="O5" s="3" t="str">
        <x:v>1. Mở /vi; viewport 768×900 CSS px, zoom100%
2. Cuộn hết trang và mở tương tác chính
3. Đo scrollWidth so clientWidth và chụp màn hình</x:v>
      </x:c>
      <x:c r="P5" s="3" t="str">
        <x:v>Không tràn ngang toàn trang; chữ/nút không chồng hoặc bị cắt; nội dung/ảnh không mất; bảng rộng cuộn trong vùng bảng. Menu và CTA chính thao tác được.</x:v>
      </x:c>
      <x:c r="Q5" s="11" t="str"/>
      <x:c r="R5" s="8" t="str">
        <x:v>NOT RUN</x:v>
      </x:c>
      <x:c r="S5" s="11" t="str">
        <x:v>QA/UAT — cần điền URL/build</x:v>
      </x:c>
      <x:c r="T5" s="11" t="str">
        <x:v>Cần điền phiên bản thực</x:v>
      </x:c>
      <x:c r="U5" s="11" t="str"/>
      <x:c r="V5" s="12" t="str"/>
      <x:c r="W5" s="11" t="str"/>
      <x:c r="X5" s="11" t="str"/>
      <x:c r="Y5" s="3" t="str">
        <x:v>Nguồn: frontend/src/app; admin/src/app/styles.css. Đánh giá khả dụng theo yêu cầu người dùng; ngưỡng WCAG chính thức vẫn cần phê duyệt.</x:v>
      </x:c>
    </x:row>
    <x:row r="6" ht="49" customHeight="1">
      <x:c r="A6" s="3" t="n">
        <x:v>5</x:v>
      </x:c>
      <x:c r="B6" s="3" t="str">
        <x:v>TC_UI_005</x:v>
      </x:c>
      <x:c r="C6" s="3" t="str">
        <x:v>UI</x:v>
      </x:c>
      <x:c r="D6" s="3" t="str">
        <x:v>Responsive Trang chủ</x:v>
      </x:c>
      <x:c r="E6" s="3" t="str">
        <x:v>Responsive Trang chủ</x:v>
      </x:c>
      <x:c r="F6" s="3" t="str">
        <x:v>Responsive — Trang chủ tại 1024px</x:v>
      </x:c>
      <x:c r="G6" s="3" t="str">
        <x:v>Trang chủ tại 1024px</x:v>
      </x:c>
      <x:c r="H6" s="3" t="str">
        <x:v>NFR-003</x:v>
      </x:c>
      <x:c r="I6" s="3" t="str">
        <x:v>Khách truy cập</x:v>
      </x:c>
      <x:c r="J6" s="3" t="str">
        <x:v>Responsive</x:v>
      </x:c>
      <x:c r="K6" s="3" t="str">
        <x:v>Medium</x:v>
      </x:c>
      <x:c r="L6" s="3" t="str">
        <x:v>Medium</x:v>
      </x:c>
      <x:c r="M6" s="3" t="str">
        <x:v>QA/UAT public sẵn sàng; không cần đăng nhập; demo=false cho case tích hợp CMS/public. Ghi viewport, OS và browser thực.</x:v>
      </x:c>
      <x:c r="N6" s="3" t="str">
        <x:v>Viewport 1024×900 CSS px; fixture có tên/tiêu đề dài và tiếng Việt.</x:v>
      </x:c>
      <x:c r="O6" s="3" t="str">
        <x:v>1. Mở /vi; viewport 1024×900 CSS px, zoom100%
2. Cuộn hết trang và mở tương tác chính
3. Đo scrollWidth so clientWidth và chụp màn hình</x:v>
      </x:c>
      <x:c r="P6" s="3" t="str">
        <x:v>Không tràn ngang toàn trang; chữ/nút không chồng hoặc bị cắt; nội dung/ảnh không mất; bảng rộng cuộn trong vùng bảng. Menu và CTA chính thao tác được.</x:v>
      </x:c>
      <x:c r="Q6" s="11" t="str"/>
      <x:c r="R6" s="8" t="str">
        <x:v>NOT RUN</x:v>
      </x:c>
      <x:c r="S6" s="11" t="str">
        <x:v>QA/UAT — cần điền URL/build</x:v>
      </x:c>
      <x:c r="T6" s="11" t="str">
        <x:v>Cần điền phiên bản thực</x:v>
      </x:c>
      <x:c r="U6" s="11" t="str"/>
      <x:c r="V6" s="12" t="str"/>
      <x:c r="W6" s="11" t="str"/>
      <x:c r="X6" s="11" t="str"/>
      <x:c r="Y6" s="3" t="str">
        <x:v>Nguồn: frontend/src/app; admin/src/app/styles.css. Đánh giá khả dụng theo yêu cầu người dùng; ngưỡng WCAG chính thức vẫn cần phê duyệt.</x:v>
      </x:c>
    </x:row>
    <x:row r="7" ht="49" customHeight="1">
      <x:c r="A7" s="3" t="n">
        <x:v>6</x:v>
      </x:c>
      <x:c r="B7" s="3" t="str">
        <x:v>TC_UI_006</x:v>
      </x:c>
      <x:c r="C7" s="3" t="str">
        <x:v>UI</x:v>
      </x:c>
      <x:c r="D7" s="3" t="str">
        <x:v>Responsive Trang chủ</x:v>
      </x:c>
      <x:c r="E7" s="3" t="str">
        <x:v>Responsive Trang chủ</x:v>
      </x:c>
      <x:c r="F7" s="3" t="str">
        <x:v>Responsive — Trang chủ tại 1280px</x:v>
      </x:c>
      <x:c r="G7" s="3" t="str">
        <x:v>Trang chủ tại 1280px</x:v>
      </x:c>
      <x:c r="H7" s="3" t="str">
        <x:v>NFR-003</x:v>
      </x:c>
      <x:c r="I7" s="3" t="str">
        <x:v>Khách truy cập</x:v>
      </x:c>
      <x:c r="J7" s="3" t="str">
        <x:v>Responsive</x:v>
      </x:c>
      <x:c r="K7" s="3" t="str">
        <x:v>Medium</x:v>
      </x:c>
      <x:c r="L7" s="3" t="str">
        <x:v>Medium</x:v>
      </x:c>
      <x:c r="M7" s="3" t="str">
        <x:v>QA/UAT public sẵn sàng; không cần đăng nhập; demo=false cho case tích hợp CMS/public. Ghi viewport, OS và browser thực.</x:v>
      </x:c>
      <x:c r="N7" s="3" t="str">
        <x:v>Viewport 1280×900 CSS px; fixture có tên/tiêu đề dài và tiếng Việt.</x:v>
      </x:c>
      <x:c r="O7" s="3" t="str">
        <x:v>1. Mở /vi; viewport 1280×900 CSS px, zoom100%
2. Cuộn hết trang và mở tương tác chính
3. Đo scrollWidth so clientWidth và chụp màn hình</x:v>
      </x:c>
      <x:c r="P7" s="3" t="str">
        <x:v>Không tràn ngang toàn trang; chữ/nút không chồng hoặc bị cắt; nội dung/ảnh không mất; bảng rộng cuộn trong vùng bảng. Menu và CTA chính thao tác được.</x:v>
      </x:c>
      <x:c r="Q7" s="11" t="str"/>
      <x:c r="R7" s="8" t="str">
        <x:v>NOT RUN</x:v>
      </x:c>
      <x:c r="S7" s="11" t="str">
        <x:v>QA/UAT — cần điền URL/build</x:v>
      </x:c>
      <x:c r="T7" s="11" t="str">
        <x:v>Cần điền phiên bản thực</x:v>
      </x:c>
      <x:c r="U7" s="11" t="str"/>
      <x:c r="V7" s="12" t="str"/>
      <x:c r="W7" s="11" t="str"/>
      <x:c r="X7" s="11" t="str"/>
      <x:c r="Y7" s="3" t="str">
        <x:v>Nguồn: frontend/src/app; admin/src/app/styles.css. Đánh giá khả dụng theo yêu cầu người dùng; ngưỡng WCAG chính thức vẫn cần phê duyệt.</x:v>
      </x:c>
    </x:row>
    <x:row r="8" ht="49" customHeight="1">
      <x:c r="A8" s="3" t="n">
        <x:v>7</x:v>
      </x:c>
      <x:c r="B8" s="3" t="str">
        <x:v>TC_UI_007</x:v>
      </x:c>
      <x:c r="C8" s="3" t="str">
        <x:v>UI</x:v>
      </x:c>
      <x:c r="D8" s="3" t="str">
        <x:v>Responsive Trang chủ</x:v>
      </x:c>
      <x:c r="E8" s="3" t="str">
        <x:v>Responsive Trang chủ</x:v>
      </x:c>
      <x:c r="F8" s="3" t="str">
        <x:v>Responsive — Trang chủ tại 1440px</x:v>
      </x:c>
      <x:c r="G8" s="3" t="str">
        <x:v>Trang chủ tại 1440px</x:v>
      </x:c>
      <x:c r="H8" s="3" t="str">
        <x:v>NFR-003</x:v>
      </x:c>
      <x:c r="I8" s="3" t="str">
        <x:v>Khách truy cập</x:v>
      </x:c>
      <x:c r="J8" s="3" t="str">
        <x:v>Responsive</x:v>
      </x:c>
      <x:c r="K8" s="3" t="str">
        <x:v>Medium</x:v>
      </x:c>
      <x:c r="L8" s="3" t="str">
        <x:v>Medium</x:v>
      </x:c>
      <x:c r="M8" s="3" t="str">
        <x:v>QA/UAT public sẵn sàng; không cần đăng nhập; demo=false cho case tích hợp CMS/public. Ghi viewport, OS và browser thực.</x:v>
      </x:c>
      <x:c r="N8" s="3" t="str">
        <x:v>Viewport 1440×900 CSS px; fixture có tên/tiêu đề dài và tiếng Việt.</x:v>
      </x:c>
      <x:c r="O8" s="3" t="str">
        <x:v>1. Mở /vi; viewport 1440×900 CSS px, zoom100%
2. Cuộn hết trang và mở tương tác chính
3. Đo scrollWidth so clientWidth và chụp màn hình</x:v>
      </x:c>
      <x:c r="P8" s="3" t="str">
        <x:v>Không tràn ngang toàn trang; chữ/nút không chồng hoặc bị cắt; nội dung/ảnh không mất; bảng rộng cuộn trong vùng bảng. Menu và CTA chính thao tác được.</x:v>
      </x:c>
      <x:c r="Q8" s="11" t="str"/>
      <x:c r="R8" s="8" t="str">
        <x:v>NOT RUN</x:v>
      </x:c>
      <x:c r="S8" s="11" t="str">
        <x:v>QA/UAT — cần điền URL/build</x:v>
      </x:c>
      <x:c r="T8" s="11" t="str">
        <x:v>Cần điền phiên bản thực</x:v>
      </x:c>
      <x:c r="U8" s="11" t="str"/>
      <x:c r="V8" s="12" t="str"/>
      <x:c r="W8" s="11" t="str"/>
      <x:c r="X8" s="11" t="str"/>
      <x:c r="Y8" s="3" t="str">
        <x:v>Nguồn: frontend/src/app; admin/src/app/styles.css. Đánh giá khả dụng theo yêu cầu người dùng; ngưỡng WCAG chính thức vẫn cần phê duyệt.</x:v>
      </x:c>
    </x:row>
    <x:row r="9" ht="49" customHeight="1">
      <x:c r="A9" s="3" t="n">
        <x:v>8</x:v>
      </x:c>
      <x:c r="B9" s="3" t="str">
        <x:v>TC_UI_008</x:v>
      </x:c>
      <x:c r="C9" s="3" t="str">
        <x:v>UI</x:v>
      </x:c>
      <x:c r="D9" s="3" t="str">
        <x:v>Responsive Trang chủ</x:v>
      </x:c>
      <x:c r="E9" s="3" t="str">
        <x:v>Responsive Trang chủ</x:v>
      </x:c>
      <x:c r="F9" s="3" t="str">
        <x:v>Responsive — Trang chủ tại 1920px</x:v>
      </x:c>
      <x:c r="G9" s="3" t="str">
        <x:v>Trang chủ tại 1920px</x:v>
      </x:c>
      <x:c r="H9" s="3" t="str">
        <x:v>NFR-003</x:v>
      </x:c>
      <x:c r="I9" s="3" t="str">
        <x:v>Khách truy cập</x:v>
      </x:c>
      <x:c r="J9" s="3" t="str">
        <x:v>Responsive</x:v>
      </x:c>
      <x:c r="K9" s="3" t="str">
        <x:v>Medium</x:v>
      </x:c>
      <x:c r="L9" s="3" t="str">
        <x:v>Medium</x:v>
      </x:c>
      <x:c r="M9" s="3" t="str">
        <x:v>QA/UAT public sẵn sàng; không cần đăng nhập; demo=false cho case tích hợp CMS/public. Ghi viewport, OS và browser thực.</x:v>
      </x:c>
      <x:c r="N9" s="3" t="str">
        <x:v>Viewport 1920×900 CSS px; fixture có tên/tiêu đề dài và tiếng Việt.</x:v>
      </x:c>
      <x:c r="O9" s="3" t="str">
        <x:v>1. Mở /vi; viewport 1920×900 CSS px, zoom100%
2. Cuộn hết trang và mở tương tác chính
3. Đo scrollWidth so clientWidth và chụp màn hình</x:v>
      </x:c>
      <x:c r="P9" s="3" t="str">
        <x:v>Không tràn ngang toàn trang; chữ/nút không chồng hoặc bị cắt; nội dung/ảnh không mất; bảng rộng cuộn trong vùng bảng. Menu và CTA chính thao tác được.</x:v>
      </x:c>
      <x:c r="Q9" s="11" t="str"/>
      <x:c r="R9" s="8" t="str">
        <x:v>NOT RUN</x:v>
      </x:c>
      <x:c r="S9" s="11" t="str">
        <x:v>QA/UAT — cần điền URL/build</x:v>
      </x:c>
      <x:c r="T9" s="11" t="str">
        <x:v>Cần điền phiên bản thực</x:v>
      </x:c>
      <x:c r="U9" s="11" t="str"/>
      <x:c r="V9" s="12" t="str"/>
      <x:c r="W9" s="11" t="str"/>
      <x:c r="X9" s="11" t="str"/>
      <x:c r="Y9" s="3" t="str">
        <x:v>Nguồn: frontend/src/app; admin/src/app/styles.css. Đánh giá khả dụng theo yêu cầu người dùng; ngưỡng WCAG chính thức vẫn cần phê duyệt.</x:v>
      </x:c>
    </x:row>
    <x:row r="10" ht="49" customHeight="1">
      <x:c r="A10" s="3" t="n">
        <x:v>9</x:v>
      </x:c>
      <x:c r="B10" s="3" t="str">
        <x:v>TC_I18N_002</x:v>
      </x:c>
      <x:c r="C10" s="3" t="str">
        <x:v>I18N</x:v>
      </x:c>
      <x:c r="D10" s="3" t="str">
        <x:v>Song ngữ Trang chủ</x:v>
      </x:c>
      <x:c r="E10" s="3" t="str">
        <x:v>Song ngữ Trang chủ</x:v>
      </x:c>
      <x:c r="F10" s="3" t="str">
        <x:v>Localization — Trang chủ: Đổi VI sang EN</x:v>
      </x:c>
      <x:c r="G10" s="3" t="str">
        <x:v>Trang chủ: Đổi VI sang EN</x:v>
      </x:c>
      <x:c r="H10" s="3" t="str">
        <x:v>PUB-001</x:v>
      </x:c>
      <x:c r="I10" s="3" t="str">
        <x:v>Khách truy cập</x:v>
      </x:c>
      <x:c r="J10" s="3" t="str">
        <x:v>Localization</x:v>
      </x:c>
      <x:c r="K10" s="3" t="str">
        <x:v>Medium</x:v>
      </x:c>
      <x:c r="L10" s="3" t="str">
        <x:v>Medium</x:v>
      </x:c>
      <x:c r="M10" s="3" t="str">
        <x:v>QA/UAT public sẵn sàng; không cần đăng nhập; demo=false cho case tích hợp CMS/public. Ghi viewport, OS và browser thực.</x:v>
      </x:c>
      <x:c r="N10" s="3" t="str">
        <x:v>Dữ liệu QA tổng hợp; xem fixture trong README.</x:v>
      </x:c>
      <x:c r="O10" s="3" t="str">
        <x:v>1. Mở /vi
2. Nhấn EN
3. Refresh</x:v>
      </x:c>
      <x:c r="P10" s="3" t="str">
        <x:v>Prefix chuyển /en, giữ route tương ứng; active EN và html lang=en; refresh không trở về VI.</x:v>
      </x:c>
      <x:c r="Q10" s="11" t="str"/>
      <x:c r="R10" s="8" t="str">
        <x:v>NOT RUN</x:v>
      </x:c>
      <x:c r="S10" s="11" t="str">
        <x:v>QA/UAT — cần điền URL/build</x:v>
      </x:c>
      <x:c r="T10" s="11" t="str">
        <x:v>Cần điền phiên bản thực</x:v>
      </x:c>
      <x:c r="U10" s="11" t="str"/>
      <x:c r="V10" s="12" t="str"/>
      <x:c r="W10" s="11" t="str"/>
      <x:c r="X10" s="11" t="str"/>
      <x:c r="Y10" s="3" t="str">
        <x:v>Nguồn: frontend/src/shared/components/layout/LanguageToggle.tsx; frontend/src/messages. </x:v>
      </x:c>
    </x:row>
    <x:row r="11" ht="49" customHeight="1">
      <x:c r="A11" s="3" t="n">
        <x:v>10</x:v>
      </x:c>
      <x:c r="B11" s="3" t="str">
        <x:v>TC_I18N_003</x:v>
      </x:c>
      <x:c r="C11" s="3" t="str">
        <x:v>I18N</x:v>
      </x:c>
      <x:c r="D11" s="3" t="str">
        <x:v>Song ngữ Trang chủ</x:v>
      </x:c>
      <x:c r="E11" s="3" t="str">
        <x:v>Song ngữ Trang chủ</x:v>
      </x:c>
      <x:c r="F11" s="3" t="str">
        <x:v>Localization — Trang chủ: Bản dịch toàn trang</x:v>
      </x:c>
      <x:c r="G11" s="3" t="str">
        <x:v>Trang chủ: Bản dịch toàn trang</x:v>
      </x:c>
      <x:c r="H11" s="3" t="str">
        <x:v>PUB-001</x:v>
      </x:c>
      <x:c r="I11" s="3" t="str">
        <x:v>Khách truy cập</x:v>
      </x:c>
      <x:c r="J11" s="3" t="str">
        <x:v>Localization</x:v>
      </x:c>
      <x:c r="K11" s="3" t="str">
        <x:v>Medium</x:v>
      </x:c>
      <x:c r="L11" s="3" t="str">
        <x:v>Medium</x:v>
      </x:c>
      <x:c r="M11" s="3" t="str">
        <x:v>QA/UAT public sẵn sàng; không cần đăng nhập; demo=false cho case tích hợp CMS/public. Ghi viewport, OS và browser thực.</x:v>
      </x:c>
      <x:c r="N11" s="3" t="str">
        <x:v>Dữ liệu QA tổng hợp; xem fixture trong README.</x:v>
      </x:c>
      <x:c r="O11" s="3" t="str">
        <x:v>1. Mở /en
2. Cuộn nội dung, mở menu, submit lỗi form nếu có</x:v>
      </x:c>
      <x:c r="P11" s="3" t="str">
        <x:v>Không lộ khóa dịch hoặc lẫn tiếng Việt trong nội dung thuộc phạm vi dịch; ngày/số/validation đúng locale.</x:v>
      </x:c>
      <x:c r="Q11" s="11" t="str"/>
      <x:c r="R11" s="9" t="str">
        <x:v>NEED CONFIRMATION</x:v>
      </x:c>
      <x:c r="S11" s="11" t="str">
        <x:v>QA/UAT — cần điền URL/build</x:v>
      </x:c>
      <x:c r="T11" s="11" t="str">
        <x:v>Cần điền phiên bản thực</x:v>
      </x:c>
      <x:c r="U11" s="11" t="str"/>
      <x:c r="V11" s="12" t="str"/>
      <x:c r="W11" s="11" t="str"/>
      <x:c r="X11" s="11" t="str"/>
      <x:c r="Y11" s="3" t="str">
        <x:v>Nguồn: frontend/src/shared/components/layout/LanguageToggle.tsx; frontend/src/messages. Need Confirmation: Chốt phạm vi dịch nội dung tĩnh và dữ liệu CMS.</x:v>
      </x:c>
    </x:row>
    <x:row r="12" ht="49" customHeight="1">
      <x:c r="A12" s="3" t="n">
        <x:v>11</x:v>
      </x:c>
      <x:c r="B12" s="3" t="str">
        <x:v>TC_I18N_004</x:v>
      </x:c>
      <x:c r="C12" s="3" t="str">
        <x:v>I18N</x:v>
      </x:c>
      <x:c r="D12" s="3" t="str">
        <x:v>Song ngữ Trang chủ</x:v>
      </x:c>
      <x:c r="E12" s="3" t="str">
        <x:v>Song ngữ Trang chủ</x:v>
      </x:c>
      <x:c r="F12" s="3" t="str">
        <x:v>Localization — Trang chủ: Back sau đổi locale</x:v>
      </x:c>
      <x:c r="G12" s="3" t="str">
        <x:v>Trang chủ: Back sau đổi locale</x:v>
      </x:c>
      <x:c r="H12" s="3" t="str">
        <x:v>PUB-001</x:v>
      </x:c>
      <x:c r="I12" s="3" t="str">
        <x:v>Khách truy cập</x:v>
      </x:c>
      <x:c r="J12" s="3" t="str">
        <x:v>Localization</x:v>
      </x:c>
      <x:c r="K12" s="3" t="str">
        <x:v>Medium</x:v>
      </x:c>
      <x:c r="L12" s="3" t="str">
        <x:v>Medium</x:v>
      </x:c>
      <x:c r="M12" s="3" t="str">
        <x:v>QA/UAT public sẵn sàng; không cần đăng nhập; demo=false cho case tích hợp CMS/public. Ghi viewport, OS và browser thực.</x:v>
      </x:c>
      <x:c r="N12" s="3" t="str">
        <x:v>Dữ liệu QA tổng hợp; xem fixture trong README.</x:v>
      </x:c>
      <x:c r="O12" s="3" t="str">
        <x:v>1. Mở /vi
2. Nhấn EN rồi Back</x:v>
      </x:c>
      <x:c r="P12" s="3" t="str">
        <x:v>Back quay đúng trang VI trước đó; UI và URL locale đồng bộ.</x:v>
      </x:c>
      <x:c r="Q12" s="11" t="str"/>
      <x:c r="R12" s="8" t="str">
        <x:v>NOT RUN</x:v>
      </x:c>
      <x:c r="S12" s="11" t="str">
        <x:v>QA/UAT — cần điền URL/build</x:v>
      </x:c>
      <x:c r="T12" s="11" t="str">
        <x:v>Cần điền phiên bản thực</x:v>
      </x:c>
      <x:c r="U12" s="11" t="str"/>
      <x:c r="V12" s="12" t="str"/>
      <x:c r="W12" s="11" t="str"/>
      <x:c r="X12" s="11" t="str"/>
      <x:c r="Y12" s="3" t="str">
        <x:v>Nguồn: frontend/src/shared/components/layout/LanguageToggle.tsx; frontend/src/messages. </x:v>
      </x:c>
    </x:row>
    <x:row r="13" ht="49" customHeight="1">
      <x:c r="A13" s="3" t="n">
        <x:v>12</x:v>
      </x:c>
      <x:c r="B13" s="3" t="str">
        <x:v>TC_UI_009</x:v>
      </x:c>
      <x:c r="C13" s="3" t="str">
        <x:v>UI</x:v>
      </x:c>
      <x:c r="D13" s="3" t="str">
        <x:v>Responsive Giới thiệu</x:v>
      </x:c>
      <x:c r="E13" s="3" t="str">
        <x:v>Responsive Giới thiệu</x:v>
      </x:c>
      <x:c r="F13" s="3" t="str">
        <x:v>Responsive — Giới thiệu tại 320px</x:v>
      </x:c>
      <x:c r="G13" s="3" t="str">
        <x:v>Giới thiệu tại 320px</x:v>
      </x:c>
      <x:c r="H13" s="3" t="str">
        <x:v>NFR-003</x:v>
      </x:c>
      <x:c r="I13" s="3" t="str">
        <x:v>Khách truy cập</x:v>
      </x:c>
      <x:c r="J13" s="3" t="str">
        <x:v>Responsive</x:v>
      </x:c>
      <x:c r="K13" s="3" t="str">
        <x:v>High</x:v>
      </x:c>
      <x:c r="L13" s="3" t="str">
        <x:v>High</x:v>
      </x:c>
      <x:c r="M13" s="3" t="str">
        <x:v>QA/UAT public sẵn sàng; không cần đăng nhập; demo=false cho case tích hợp CMS/public. Ghi viewport, OS và browser thực.</x:v>
      </x:c>
      <x:c r="N13" s="3" t="str">
        <x:v>Viewport 320×900 CSS px; fixture có tên/tiêu đề dài và tiếng Việt.</x:v>
      </x:c>
      <x:c r="O13" s="3" t="str">
        <x:v>1. Mở /vi/discover; viewport 320×900 CSS px, zoom100%
2. Cuộn hết trang và mở tương tác chính
3. Đo scrollWidth so clientWidth và chụp màn hình</x:v>
      </x:c>
      <x:c r="P13" s="3" t="str">
        <x:v>Không tràn ngang toàn trang; chữ/nút không chồng hoặc bị cắt; nội dung/ảnh không mất; bảng rộng cuộn trong vùng bảng. Menu và CTA chính thao tác được.</x:v>
      </x:c>
      <x:c r="Q13" s="11" t="str"/>
      <x:c r="R13" s="8" t="str">
        <x:v>NOT RUN</x:v>
      </x:c>
      <x:c r="S13" s="11" t="str">
        <x:v>QA/UAT — cần điền URL/build</x:v>
      </x:c>
      <x:c r="T13" s="11" t="str">
        <x:v>Cần điền phiên bản thực</x:v>
      </x:c>
      <x:c r="U13" s="11" t="str"/>
      <x:c r="V13" s="12" t="str"/>
      <x:c r="W13" s="11" t="str"/>
      <x:c r="X13" s="11" t="str"/>
      <x:c r="Y13" s="3" t="str">
        <x:v>Nguồn: frontend/src/app; admin/src/app/styles.css. Đánh giá khả dụng theo yêu cầu người dùng; ngưỡng WCAG chính thức vẫn cần phê duyệt.</x:v>
      </x:c>
    </x:row>
    <x:row r="14" ht="49" customHeight="1">
      <x:c r="A14" s="3" t="n">
        <x:v>13</x:v>
      </x:c>
      <x:c r="B14" s="3" t="str">
        <x:v>TC_UI_010</x:v>
      </x:c>
      <x:c r="C14" s="3" t="str">
        <x:v>UI</x:v>
      </x:c>
      <x:c r="D14" s="3" t="str">
        <x:v>Responsive Giới thiệu</x:v>
      </x:c>
      <x:c r="E14" s="3" t="str">
        <x:v>Responsive Giới thiệu</x:v>
      </x:c>
      <x:c r="F14" s="3" t="str">
        <x:v>Responsive — Giới thiệu tại 375px</x:v>
      </x:c>
      <x:c r="G14" s="3" t="str">
        <x:v>Giới thiệu tại 375px</x:v>
      </x:c>
      <x:c r="H14" s="3" t="str">
        <x:v>NFR-003</x:v>
      </x:c>
      <x:c r="I14" s="3" t="str">
        <x:v>Khách truy cập</x:v>
      </x:c>
      <x:c r="J14" s="3" t="str">
        <x:v>Responsive</x:v>
      </x:c>
      <x:c r="K14" s="3" t="str">
        <x:v>Medium</x:v>
      </x:c>
      <x:c r="L14" s="3" t="str">
        <x:v>Medium</x:v>
      </x:c>
      <x:c r="M14" s="3" t="str">
        <x:v>QA/UAT public sẵn sàng; không cần đăng nhập; demo=false cho case tích hợp CMS/public. Ghi viewport, OS và browser thực.</x:v>
      </x:c>
      <x:c r="N14" s="3" t="str">
        <x:v>Viewport 375×900 CSS px; fixture có tên/tiêu đề dài và tiếng Việt.</x:v>
      </x:c>
      <x:c r="O14" s="3" t="str">
        <x:v>1. Mở /vi/discover; viewport 375×900 CSS px, zoom100%
2. Cuộn hết trang và mở tương tác chính
3. Đo scrollWidth so clientWidth và chụp màn hình</x:v>
      </x:c>
      <x:c r="P14" s="3" t="str">
        <x:v>Không tràn ngang toàn trang; chữ/nút không chồng hoặc bị cắt; nội dung/ảnh không mất; bảng rộng cuộn trong vùng bảng. Menu và CTA chính thao tác được.</x:v>
      </x:c>
      <x:c r="Q14" s="11" t="str"/>
      <x:c r="R14" s="8" t="str">
        <x:v>NOT RUN</x:v>
      </x:c>
      <x:c r="S14" s="11" t="str">
        <x:v>QA/UAT — cần điền URL/build</x:v>
      </x:c>
      <x:c r="T14" s="11" t="str">
        <x:v>Cần điền phiên bản thực</x:v>
      </x:c>
      <x:c r="U14" s="11" t="str"/>
      <x:c r="V14" s="12" t="str"/>
      <x:c r="W14" s="11" t="str"/>
      <x:c r="X14" s="11" t="str"/>
      <x:c r="Y14" s="3" t="str">
        <x:v>Nguồn: frontend/src/app; admin/src/app/styles.css. Đánh giá khả dụng theo yêu cầu người dùng; ngưỡng WCAG chính thức vẫn cần phê duyệt.</x:v>
      </x:c>
    </x:row>
    <x:row r="15" ht="49" customHeight="1">
      <x:c r="A15" s="3" t="n">
        <x:v>14</x:v>
      </x:c>
      <x:c r="B15" s="3" t="str">
        <x:v>TC_UI_011</x:v>
      </x:c>
      <x:c r="C15" s="3" t="str">
        <x:v>UI</x:v>
      </x:c>
      <x:c r="D15" s="3" t="str">
        <x:v>Responsive Giới thiệu</x:v>
      </x:c>
      <x:c r="E15" s="3" t="str">
        <x:v>Responsive Giới thiệu</x:v>
      </x:c>
      <x:c r="F15" s="3" t="str">
        <x:v>Responsive — Giới thiệu tại 390px</x:v>
      </x:c>
      <x:c r="G15" s="3" t="str">
        <x:v>Giới thiệu tại 390px</x:v>
      </x:c>
      <x:c r="H15" s="3" t="str">
        <x:v>NFR-003</x:v>
      </x:c>
      <x:c r="I15" s="3" t="str">
        <x:v>Khách truy cập</x:v>
      </x:c>
      <x:c r="J15" s="3" t="str">
        <x:v>Responsive</x:v>
      </x:c>
      <x:c r="K15" s="3" t="str">
        <x:v>Medium</x:v>
      </x:c>
      <x:c r="L15" s="3" t="str">
        <x:v>Medium</x:v>
      </x:c>
      <x:c r="M15" s="3" t="str">
        <x:v>QA/UAT public sẵn sàng; không cần đăng nhập; demo=false cho case tích hợp CMS/public. Ghi viewport, OS và browser thực.</x:v>
      </x:c>
      <x:c r="N15" s="3" t="str">
        <x:v>Viewport 390×900 CSS px; fixture có tên/tiêu đề dài và tiếng Việt.</x:v>
      </x:c>
      <x:c r="O15" s="3" t="str">
        <x:v>1. Mở /vi/discover; viewport 390×900 CSS px, zoom100%
2. Cuộn hết trang và mở tương tác chính
3. Đo scrollWidth so clientWidth và chụp màn hình</x:v>
      </x:c>
      <x:c r="P15" s="3" t="str">
        <x:v>Không tràn ngang toàn trang; chữ/nút không chồng hoặc bị cắt; nội dung/ảnh không mất; bảng rộng cuộn trong vùng bảng. Menu và CTA chính thao tác được.</x:v>
      </x:c>
      <x:c r="Q15" s="11" t="str"/>
      <x:c r="R15" s="8" t="str">
        <x:v>NOT RUN</x:v>
      </x:c>
      <x:c r="S15" s="11" t="str">
        <x:v>QA/UAT — cần điền URL/build</x:v>
      </x:c>
      <x:c r="T15" s="11" t="str">
        <x:v>Cần điền phiên bản thực</x:v>
      </x:c>
      <x:c r="U15" s="11" t="str"/>
      <x:c r="V15" s="12" t="str"/>
      <x:c r="W15" s="11" t="str"/>
      <x:c r="X15" s="11" t="str"/>
      <x:c r="Y15" s="3" t="str">
        <x:v>Nguồn: frontend/src/app; admin/src/app/styles.css. Đánh giá khả dụng theo yêu cầu người dùng; ngưỡng WCAG chính thức vẫn cần phê duyệt.</x:v>
      </x:c>
    </x:row>
    <x:row r="16" ht="49" customHeight="1">
      <x:c r="A16" s="3" t="n">
        <x:v>15</x:v>
      </x:c>
      <x:c r="B16" s="3" t="str">
        <x:v>TC_UI_012</x:v>
      </x:c>
      <x:c r="C16" s="3" t="str">
        <x:v>UI</x:v>
      </x:c>
      <x:c r="D16" s="3" t="str">
        <x:v>Responsive Giới thiệu</x:v>
      </x:c>
      <x:c r="E16" s="3" t="str">
        <x:v>Responsive Giới thiệu</x:v>
      </x:c>
      <x:c r="F16" s="3" t="str">
        <x:v>Responsive — Giới thiệu tại 768px</x:v>
      </x:c>
      <x:c r="G16" s="3" t="str">
        <x:v>Giới thiệu tại 768px</x:v>
      </x:c>
      <x:c r="H16" s="3" t="str">
        <x:v>NFR-003</x:v>
      </x:c>
      <x:c r="I16" s="3" t="str">
        <x:v>Khách truy cập</x:v>
      </x:c>
      <x:c r="J16" s="3" t="str">
        <x:v>Responsive</x:v>
      </x:c>
      <x:c r="K16" s="3" t="str">
        <x:v>Medium</x:v>
      </x:c>
      <x:c r="L16" s="3" t="str">
        <x:v>Medium</x:v>
      </x:c>
      <x:c r="M16" s="3" t="str">
        <x:v>QA/UAT public sẵn sàng; không cần đăng nhập; demo=false cho case tích hợp CMS/public. Ghi viewport, OS và browser thực.</x:v>
      </x:c>
      <x:c r="N16" s="3" t="str">
        <x:v>Viewport 768×900 CSS px; fixture có tên/tiêu đề dài và tiếng Việt.</x:v>
      </x:c>
      <x:c r="O16" s="3" t="str">
        <x:v>1. Mở /vi/discover; viewport 768×900 CSS px, zoom100%
2. Cuộn hết trang và mở tương tác chính
3. Đo scrollWidth so clientWidth và chụp màn hình</x:v>
      </x:c>
      <x:c r="P16" s="3" t="str">
        <x:v>Không tràn ngang toàn trang; chữ/nút không chồng hoặc bị cắt; nội dung/ảnh không mất; bảng rộng cuộn trong vùng bảng. Menu và CTA chính thao tác được.</x:v>
      </x:c>
      <x:c r="Q16" s="11" t="str"/>
      <x:c r="R16" s="8" t="str">
        <x:v>NOT RUN</x:v>
      </x:c>
      <x:c r="S16" s="11" t="str">
        <x:v>QA/UAT — cần điền URL/build</x:v>
      </x:c>
      <x:c r="T16" s="11" t="str">
        <x:v>Cần điền phiên bản thực</x:v>
      </x:c>
      <x:c r="U16" s="11" t="str"/>
      <x:c r="V16" s="12" t="str"/>
      <x:c r="W16" s="11" t="str"/>
      <x:c r="X16" s="11" t="str"/>
      <x:c r="Y16" s="3" t="str">
        <x:v>Nguồn: frontend/src/app; admin/src/app/styles.css. Đánh giá khả dụng theo yêu cầu người dùng; ngưỡng WCAG chính thức vẫn cần phê duyệt.</x:v>
      </x:c>
    </x:row>
    <x:row r="17" ht="49" customHeight="1">
      <x:c r="A17" s="3" t="n">
        <x:v>16</x:v>
      </x:c>
      <x:c r="B17" s="3" t="str">
        <x:v>TC_UI_013</x:v>
      </x:c>
      <x:c r="C17" s="3" t="str">
        <x:v>UI</x:v>
      </x:c>
      <x:c r="D17" s="3" t="str">
        <x:v>Responsive Giới thiệu</x:v>
      </x:c>
      <x:c r="E17" s="3" t="str">
        <x:v>Responsive Giới thiệu</x:v>
      </x:c>
      <x:c r="F17" s="3" t="str">
        <x:v>Responsive — Giới thiệu tại 1024px</x:v>
      </x:c>
      <x:c r="G17" s="3" t="str">
        <x:v>Giới thiệu tại 1024px</x:v>
      </x:c>
      <x:c r="H17" s="3" t="str">
        <x:v>NFR-003</x:v>
      </x:c>
      <x:c r="I17" s="3" t="str">
        <x:v>Khách truy cập</x:v>
      </x:c>
      <x:c r="J17" s="3" t="str">
        <x:v>Responsive</x:v>
      </x:c>
      <x:c r="K17" s="3" t="str">
        <x:v>Medium</x:v>
      </x:c>
      <x:c r="L17" s="3" t="str">
        <x:v>Medium</x:v>
      </x:c>
      <x:c r="M17" s="3" t="str">
        <x:v>QA/UAT public sẵn sàng; không cần đăng nhập; demo=false cho case tích hợp CMS/public. Ghi viewport, OS và browser thực.</x:v>
      </x:c>
      <x:c r="N17" s="3" t="str">
        <x:v>Viewport 1024×900 CSS px; fixture có tên/tiêu đề dài và tiếng Việt.</x:v>
      </x:c>
      <x:c r="O17" s="3" t="str">
        <x:v>1. Mở /vi/discover; viewport 1024×900 CSS px, zoom100%
2. Cuộn hết trang và mở tương tác chính
3. Đo scrollWidth so clientWidth và chụp màn hình</x:v>
      </x:c>
      <x:c r="P17" s="3" t="str">
        <x:v>Không tràn ngang toàn trang; chữ/nút không chồng hoặc bị cắt; nội dung/ảnh không mất; bảng rộng cuộn trong vùng bảng. Menu và CTA chính thao tác được.</x:v>
      </x:c>
      <x:c r="Q17" s="11" t="str"/>
      <x:c r="R17" s="8" t="str">
        <x:v>NOT RUN</x:v>
      </x:c>
      <x:c r="S17" s="11" t="str">
        <x:v>QA/UAT — cần điền URL/build</x:v>
      </x:c>
      <x:c r="T17" s="11" t="str">
        <x:v>Cần điền phiên bản thực</x:v>
      </x:c>
      <x:c r="U17" s="11" t="str"/>
      <x:c r="V17" s="12" t="str"/>
      <x:c r="W17" s="11" t="str"/>
      <x:c r="X17" s="11" t="str"/>
      <x:c r="Y17" s="3" t="str">
        <x:v>Nguồn: frontend/src/app; admin/src/app/styles.css. Đánh giá khả dụng theo yêu cầu người dùng; ngưỡng WCAG chính thức vẫn cần phê duyệt.</x:v>
      </x:c>
    </x:row>
    <x:row r="18" ht="49" customHeight="1">
      <x:c r="A18" s="3" t="n">
        <x:v>17</x:v>
      </x:c>
      <x:c r="B18" s="3" t="str">
        <x:v>TC_UI_014</x:v>
      </x:c>
      <x:c r="C18" s="3" t="str">
        <x:v>UI</x:v>
      </x:c>
      <x:c r="D18" s="3" t="str">
        <x:v>Responsive Giới thiệu</x:v>
      </x:c>
      <x:c r="E18" s="3" t="str">
        <x:v>Responsive Giới thiệu</x:v>
      </x:c>
      <x:c r="F18" s="3" t="str">
        <x:v>Responsive — Giới thiệu tại 1280px</x:v>
      </x:c>
      <x:c r="G18" s="3" t="str">
        <x:v>Giới thiệu tại 1280px</x:v>
      </x:c>
      <x:c r="H18" s="3" t="str">
        <x:v>NFR-003</x:v>
      </x:c>
      <x:c r="I18" s="3" t="str">
        <x:v>Khách truy cập</x:v>
      </x:c>
      <x:c r="J18" s="3" t="str">
        <x:v>Responsive</x:v>
      </x:c>
      <x:c r="K18" s="3" t="str">
        <x:v>Medium</x:v>
      </x:c>
      <x:c r="L18" s="3" t="str">
        <x:v>Medium</x:v>
      </x:c>
      <x:c r="M18" s="3" t="str">
        <x:v>QA/UAT public sẵn sàng; không cần đăng nhập; demo=false cho case tích hợp CMS/public. Ghi viewport, OS và browser thực.</x:v>
      </x:c>
      <x:c r="N18" s="3" t="str">
        <x:v>Viewport 1280×900 CSS px; fixture có tên/tiêu đề dài và tiếng Việt.</x:v>
      </x:c>
      <x:c r="O18" s="3" t="str">
        <x:v>1. Mở /vi/discover; viewport 1280×900 CSS px, zoom100%
2. Cuộn hết trang và mở tương tác chính
3. Đo scrollWidth so clientWidth và chụp màn hình</x:v>
      </x:c>
      <x:c r="P18" s="3" t="str">
        <x:v>Không tràn ngang toàn trang; chữ/nút không chồng hoặc bị cắt; nội dung/ảnh không mất; bảng rộng cuộn trong vùng bảng. Menu và CTA chính thao tác được.</x:v>
      </x:c>
      <x:c r="Q18" s="11" t="str"/>
      <x:c r="R18" s="8" t="str">
        <x:v>NOT RUN</x:v>
      </x:c>
      <x:c r="S18" s="11" t="str">
        <x:v>QA/UAT — cần điền URL/build</x:v>
      </x:c>
      <x:c r="T18" s="11" t="str">
        <x:v>Cần điền phiên bản thực</x:v>
      </x:c>
      <x:c r="U18" s="11" t="str"/>
      <x:c r="V18" s="12" t="str"/>
      <x:c r="W18" s="11" t="str"/>
      <x:c r="X18" s="11" t="str"/>
      <x:c r="Y18" s="3" t="str">
        <x:v>Nguồn: frontend/src/app; admin/src/app/styles.css. Đánh giá khả dụng theo yêu cầu người dùng; ngưỡng WCAG chính thức vẫn cần phê duyệt.</x:v>
      </x:c>
    </x:row>
    <x:row r="19" ht="49" customHeight="1">
      <x:c r="A19" s="3" t="n">
        <x:v>18</x:v>
      </x:c>
      <x:c r="B19" s="3" t="str">
        <x:v>TC_UI_015</x:v>
      </x:c>
      <x:c r="C19" s="3" t="str">
        <x:v>UI</x:v>
      </x:c>
      <x:c r="D19" s="3" t="str">
        <x:v>Responsive Giới thiệu</x:v>
      </x:c>
      <x:c r="E19" s="3" t="str">
        <x:v>Responsive Giới thiệu</x:v>
      </x:c>
      <x:c r="F19" s="3" t="str">
        <x:v>Responsive — Giới thiệu tại 1440px</x:v>
      </x:c>
      <x:c r="G19" s="3" t="str">
        <x:v>Giới thiệu tại 1440px</x:v>
      </x:c>
      <x:c r="H19" s="3" t="str">
        <x:v>NFR-003</x:v>
      </x:c>
      <x:c r="I19" s="3" t="str">
        <x:v>Khách truy cập</x:v>
      </x:c>
      <x:c r="J19" s="3" t="str">
        <x:v>Responsive</x:v>
      </x:c>
      <x:c r="K19" s="3" t="str">
        <x:v>Medium</x:v>
      </x:c>
      <x:c r="L19" s="3" t="str">
        <x:v>Medium</x:v>
      </x:c>
      <x:c r="M19" s="3" t="str">
        <x:v>QA/UAT public sẵn sàng; không cần đăng nhập; demo=false cho case tích hợp CMS/public. Ghi viewport, OS và browser thực.</x:v>
      </x:c>
      <x:c r="N19" s="3" t="str">
        <x:v>Viewport 1440×900 CSS px; fixture có tên/tiêu đề dài và tiếng Việt.</x:v>
      </x:c>
      <x:c r="O19" s="3" t="str">
        <x:v>1. Mở /vi/discover; viewport 1440×900 CSS px, zoom100%
2. Cuộn hết trang và mở tương tác chính
3. Đo scrollWidth so clientWidth và chụp màn hình</x:v>
      </x:c>
      <x:c r="P19" s="3" t="str">
        <x:v>Không tràn ngang toàn trang; chữ/nút không chồng hoặc bị cắt; nội dung/ảnh không mất; bảng rộng cuộn trong vùng bảng. Menu và CTA chính thao tác được.</x:v>
      </x:c>
      <x:c r="Q19" s="11" t="str"/>
      <x:c r="R19" s="8" t="str">
        <x:v>NOT RUN</x:v>
      </x:c>
      <x:c r="S19" s="11" t="str">
        <x:v>QA/UAT — cần điền URL/build</x:v>
      </x:c>
      <x:c r="T19" s="11" t="str">
        <x:v>Cần điền phiên bản thực</x:v>
      </x:c>
      <x:c r="U19" s="11" t="str"/>
      <x:c r="V19" s="12" t="str"/>
      <x:c r="W19" s="11" t="str"/>
      <x:c r="X19" s="11" t="str"/>
      <x:c r="Y19" s="3" t="str">
        <x:v>Nguồn: frontend/src/app; admin/src/app/styles.css. Đánh giá khả dụng theo yêu cầu người dùng; ngưỡng WCAG chính thức vẫn cần phê duyệt.</x:v>
      </x:c>
    </x:row>
    <x:row r="20" ht="49" customHeight="1">
      <x:c r="A20" s="3" t="n">
        <x:v>19</x:v>
      </x:c>
      <x:c r="B20" s="3" t="str">
        <x:v>TC_UI_016</x:v>
      </x:c>
      <x:c r="C20" s="3" t="str">
        <x:v>UI</x:v>
      </x:c>
      <x:c r="D20" s="3" t="str">
        <x:v>Responsive Giới thiệu</x:v>
      </x:c>
      <x:c r="E20" s="3" t="str">
        <x:v>Responsive Giới thiệu</x:v>
      </x:c>
      <x:c r="F20" s="3" t="str">
        <x:v>Responsive — Giới thiệu tại 1920px</x:v>
      </x:c>
      <x:c r="G20" s="3" t="str">
        <x:v>Giới thiệu tại 1920px</x:v>
      </x:c>
      <x:c r="H20" s="3" t="str">
        <x:v>NFR-003</x:v>
      </x:c>
      <x:c r="I20" s="3" t="str">
        <x:v>Khách truy cập</x:v>
      </x:c>
      <x:c r="J20" s="3" t="str">
        <x:v>Responsive</x:v>
      </x:c>
      <x:c r="K20" s="3" t="str">
        <x:v>Medium</x:v>
      </x:c>
      <x:c r="L20" s="3" t="str">
        <x:v>Medium</x:v>
      </x:c>
      <x:c r="M20" s="3" t="str">
        <x:v>QA/UAT public sẵn sàng; không cần đăng nhập; demo=false cho case tích hợp CMS/public. Ghi viewport, OS và browser thực.</x:v>
      </x:c>
      <x:c r="N20" s="3" t="str">
        <x:v>Viewport 1920×900 CSS px; fixture có tên/tiêu đề dài và tiếng Việt.</x:v>
      </x:c>
      <x:c r="O20" s="3" t="str">
        <x:v>1. Mở /vi/discover; viewport 1920×900 CSS px, zoom100%
2. Cuộn hết trang và mở tương tác chính
3. Đo scrollWidth so clientWidth và chụp màn hình</x:v>
      </x:c>
      <x:c r="P20" s="3" t="str">
        <x:v>Không tràn ngang toàn trang; chữ/nút không chồng hoặc bị cắt; nội dung/ảnh không mất; bảng rộng cuộn trong vùng bảng. Menu và CTA chính thao tác được.</x:v>
      </x:c>
      <x:c r="Q20" s="11" t="str"/>
      <x:c r="R20" s="8" t="str">
        <x:v>NOT RUN</x:v>
      </x:c>
      <x:c r="S20" s="11" t="str">
        <x:v>QA/UAT — cần điền URL/build</x:v>
      </x:c>
      <x:c r="T20" s="11" t="str">
        <x:v>Cần điền phiên bản thực</x:v>
      </x:c>
      <x:c r="U20" s="11" t="str"/>
      <x:c r="V20" s="12" t="str"/>
      <x:c r="W20" s="11" t="str"/>
      <x:c r="X20" s="11" t="str"/>
      <x:c r="Y20" s="3" t="str">
        <x:v>Nguồn: frontend/src/app; admin/src/app/styles.css. Đánh giá khả dụng theo yêu cầu người dùng; ngưỡng WCAG chính thức vẫn cần phê duyệt.</x:v>
      </x:c>
    </x:row>
    <x:row r="21" ht="49" customHeight="1">
      <x:c r="A21" s="3" t="n">
        <x:v>20</x:v>
      </x:c>
      <x:c r="B21" s="3" t="str">
        <x:v>TC_I18N_005</x:v>
      </x:c>
      <x:c r="C21" s="3" t="str">
        <x:v>I18N</x:v>
      </x:c>
      <x:c r="D21" s="3" t="str">
        <x:v>Song ngữ Giới thiệu</x:v>
      </x:c>
      <x:c r="E21" s="3" t="str">
        <x:v>Song ngữ Giới thiệu</x:v>
      </x:c>
      <x:c r="F21" s="3" t="str">
        <x:v>Localization — Giới thiệu: Đổi VI sang EN</x:v>
      </x:c>
      <x:c r="G21" s="3" t="str">
        <x:v>Giới thiệu: Đổi VI sang EN</x:v>
      </x:c>
      <x:c r="H21" s="3" t="str">
        <x:v>PUB-001</x:v>
      </x:c>
      <x:c r="I21" s="3" t="str">
        <x:v>Khách truy cập</x:v>
      </x:c>
      <x:c r="J21" s="3" t="str">
        <x:v>Localization</x:v>
      </x:c>
      <x:c r="K21" s="3" t="str">
        <x:v>Medium</x:v>
      </x:c>
      <x:c r="L21" s="3" t="str">
        <x:v>Medium</x:v>
      </x:c>
      <x:c r="M21" s="3" t="str">
        <x:v>QA/UAT public sẵn sàng; không cần đăng nhập; demo=false cho case tích hợp CMS/public. Ghi viewport, OS và browser thực.</x:v>
      </x:c>
      <x:c r="N21" s="3" t="str">
        <x:v>Dữ liệu QA tổng hợp; xem fixture trong README.</x:v>
      </x:c>
      <x:c r="O21" s="3" t="str">
        <x:v>1. Mở /vi/discover
2. Nhấn EN
3. Refresh</x:v>
      </x:c>
      <x:c r="P21" s="3" t="str">
        <x:v>Prefix chuyển /en, giữ route tương ứng; active EN và html lang=en; refresh không trở về VI.</x:v>
      </x:c>
      <x:c r="Q21" s="11" t="str"/>
      <x:c r="R21" s="8" t="str">
        <x:v>NOT RUN</x:v>
      </x:c>
      <x:c r="S21" s="11" t="str">
        <x:v>QA/UAT — cần điền URL/build</x:v>
      </x:c>
      <x:c r="T21" s="11" t="str">
        <x:v>Cần điền phiên bản thực</x:v>
      </x:c>
      <x:c r="U21" s="11" t="str"/>
      <x:c r="V21" s="12" t="str"/>
      <x:c r="W21" s="11" t="str"/>
      <x:c r="X21" s="11" t="str"/>
      <x:c r="Y21" s="3" t="str">
        <x:v>Nguồn: frontend/src/shared/components/layout/LanguageToggle.tsx; frontend/src/messages. </x:v>
      </x:c>
    </x:row>
    <x:row r="22" ht="49" customHeight="1">
      <x:c r="A22" s="3" t="n">
        <x:v>21</x:v>
      </x:c>
      <x:c r="B22" s="3" t="str">
        <x:v>TC_I18N_006</x:v>
      </x:c>
      <x:c r="C22" s="3" t="str">
        <x:v>I18N</x:v>
      </x:c>
      <x:c r="D22" s="3" t="str">
        <x:v>Song ngữ Giới thiệu</x:v>
      </x:c>
      <x:c r="E22" s="3" t="str">
        <x:v>Song ngữ Giới thiệu</x:v>
      </x:c>
      <x:c r="F22" s="3" t="str">
        <x:v>Localization — Giới thiệu: Bản dịch toàn trang</x:v>
      </x:c>
      <x:c r="G22" s="3" t="str">
        <x:v>Giới thiệu: Bản dịch toàn trang</x:v>
      </x:c>
      <x:c r="H22" s="3" t="str">
        <x:v>PUB-001</x:v>
      </x:c>
      <x:c r="I22" s="3" t="str">
        <x:v>Khách truy cập</x:v>
      </x:c>
      <x:c r="J22" s="3" t="str">
        <x:v>Localization</x:v>
      </x:c>
      <x:c r="K22" s="3" t="str">
        <x:v>Medium</x:v>
      </x:c>
      <x:c r="L22" s="3" t="str">
        <x:v>Medium</x:v>
      </x:c>
      <x:c r="M22" s="3" t="str">
        <x:v>QA/UAT public sẵn sàng; không cần đăng nhập; demo=false cho case tích hợp CMS/public. Ghi viewport, OS và browser thực.</x:v>
      </x:c>
      <x:c r="N22" s="3" t="str">
        <x:v>Dữ liệu QA tổng hợp; xem fixture trong README.</x:v>
      </x:c>
      <x:c r="O22" s="3" t="str">
        <x:v>1. Mở /en/discover
2. Cuộn nội dung, mở menu, submit lỗi form nếu có</x:v>
      </x:c>
      <x:c r="P22" s="3" t="str">
        <x:v>Không lộ khóa dịch hoặc lẫn tiếng Việt trong nội dung thuộc phạm vi dịch; ngày/số/validation đúng locale.</x:v>
      </x:c>
      <x:c r="Q22" s="11" t="str"/>
      <x:c r="R22" s="9" t="str">
        <x:v>NEED CONFIRMATION</x:v>
      </x:c>
      <x:c r="S22" s="11" t="str">
        <x:v>QA/UAT — cần điền URL/build</x:v>
      </x:c>
      <x:c r="T22" s="11" t="str">
        <x:v>Cần điền phiên bản thực</x:v>
      </x:c>
      <x:c r="U22" s="11" t="str"/>
      <x:c r="V22" s="12" t="str"/>
      <x:c r="W22" s="11" t="str"/>
      <x:c r="X22" s="11" t="str"/>
      <x:c r="Y22" s="3" t="str">
        <x:v>Nguồn: frontend/src/shared/components/layout/LanguageToggle.tsx; frontend/src/messages. Need Confirmation: Chốt phạm vi dịch nội dung tĩnh và dữ liệu CMS.</x:v>
      </x:c>
    </x:row>
    <x:row r="23" ht="49" customHeight="1">
      <x:c r="A23" s="3" t="n">
        <x:v>22</x:v>
      </x:c>
      <x:c r="B23" s="3" t="str">
        <x:v>TC_I18N_007</x:v>
      </x:c>
      <x:c r="C23" s="3" t="str">
        <x:v>I18N</x:v>
      </x:c>
      <x:c r="D23" s="3" t="str">
        <x:v>Song ngữ Giới thiệu</x:v>
      </x:c>
      <x:c r="E23" s="3" t="str">
        <x:v>Song ngữ Giới thiệu</x:v>
      </x:c>
      <x:c r="F23" s="3" t="str">
        <x:v>Localization — Giới thiệu: Back sau đổi locale</x:v>
      </x:c>
      <x:c r="G23" s="3" t="str">
        <x:v>Giới thiệu: Back sau đổi locale</x:v>
      </x:c>
      <x:c r="H23" s="3" t="str">
        <x:v>PUB-001</x:v>
      </x:c>
      <x:c r="I23" s="3" t="str">
        <x:v>Khách truy cập</x:v>
      </x:c>
      <x:c r="J23" s="3" t="str">
        <x:v>Localization</x:v>
      </x:c>
      <x:c r="K23" s="3" t="str">
        <x:v>Medium</x:v>
      </x:c>
      <x:c r="L23" s="3" t="str">
        <x:v>Medium</x:v>
      </x:c>
      <x:c r="M23" s="3" t="str">
        <x:v>QA/UAT public sẵn sàng; không cần đăng nhập; demo=false cho case tích hợp CMS/public. Ghi viewport, OS và browser thực.</x:v>
      </x:c>
      <x:c r="N23" s="3" t="str">
        <x:v>Dữ liệu QA tổng hợp; xem fixture trong README.</x:v>
      </x:c>
      <x:c r="O23" s="3" t="str">
        <x:v>1. Mở /vi/discover
2. Nhấn EN rồi Back</x:v>
      </x:c>
      <x:c r="P23" s="3" t="str">
        <x:v>Back quay đúng trang VI trước đó; UI và URL locale đồng bộ.</x:v>
      </x:c>
      <x:c r="Q23" s="11" t="str"/>
      <x:c r="R23" s="8" t="str">
        <x:v>NOT RUN</x:v>
      </x:c>
      <x:c r="S23" s="11" t="str">
        <x:v>QA/UAT — cần điền URL/build</x:v>
      </x:c>
      <x:c r="T23" s="11" t="str">
        <x:v>Cần điền phiên bản thực</x:v>
      </x:c>
      <x:c r="U23" s="11" t="str"/>
      <x:c r="V23" s="12" t="str"/>
      <x:c r="W23" s="11" t="str"/>
      <x:c r="X23" s="11" t="str"/>
      <x:c r="Y23" s="3" t="str">
        <x:v>Nguồn: frontend/src/shared/components/layout/LanguageToggle.tsx; frontend/src/messages. </x:v>
      </x:c>
    </x:row>
    <x:row r="24" ht="49" customHeight="1">
      <x:c r="A24" s="3" t="n">
        <x:v>23</x:v>
      </x:c>
      <x:c r="B24" s="3" t="str">
        <x:v>TC_UI_017</x:v>
      </x:c>
      <x:c r="C24" s="3" t="str">
        <x:v>UI</x:v>
      </x:c>
      <x:c r="D24" s="3" t="str">
        <x:v>Responsive Lãnh đạo</x:v>
      </x:c>
      <x:c r="E24" s="3" t="str">
        <x:v>Responsive Lãnh đạo</x:v>
      </x:c>
      <x:c r="F24" s="3" t="str">
        <x:v>Responsive — Lãnh đạo tại 320px</x:v>
      </x:c>
      <x:c r="G24" s="3" t="str">
        <x:v>Lãnh đạo tại 320px</x:v>
      </x:c>
      <x:c r="H24" s="3" t="str">
        <x:v>NFR-003</x:v>
      </x:c>
      <x:c r="I24" s="3" t="str">
        <x:v>Khách truy cập</x:v>
      </x:c>
      <x:c r="J24" s="3" t="str">
        <x:v>Responsive</x:v>
      </x:c>
      <x:c r="K24" s="3" t="str">
        <x:v>High</x:v>
      </x:c>
      <x:c r="L24" s="3" t="str">
        <x:v>High</x:v>
      </x:c>
      <x:c r="M24" s="3" t="str">
        <x:v>QA/UAT public sẵn sàng; không cần đăng nhập; demo=false cho case tích hợp CMS/public. Ghi viewport, OS và browser thực.</x:v>
      </x:c>
      <x:c r="N24" s="3" t="str">
        <x:v>Viewport 320×900 CSS px; fixture có tên/tiêu đề dài và tiếng Việt.</x:v>
      </x:c>
      <x:c r="O24" s="3" t="str">
        <x:v>1. Mở /vi/discover/lanh-dao; viewport 320×900 CSS px, zoom100%
2. Cuộn hết trang và mở tương tác chính
3. Đo scrollWidth so clientWidth và chụp màn hình</x:v>
      </x:c>
      <x:c r="P24" s="3" t="str">
        <x:v>Không tràn ngang toàn trang; chữ/nút không chồng hoặc bị cắt; nội dung/ảnh không mất; bảng rộng cuộn trong vùng bảng. Menu và CTA chính thao tác được.</x:v>
      </x:c>
      <x:c r="Q24" s="11" t="str"/>
      <x:c r="R24" s="8" t="str">
        <x:v>NOT RUN</x:v>
      </x:c>
      <x:c r="S24" s="11" t="str">
        <x:v>QA/UAT — cần điền URL/build</x:v>
      </x:c>
      <x:c r="T24" s="11" t="str">
        <x:v>Cần điền phiên bản thực</x:v>
      </x:c>
      <x:c r="U24" s="11" t="str"/>
      <x:c r="V24" s="12" t="str"/>
      <x:c r="W24" s="11" t="str"/>
      <x:c r="X24" s="11" t="str"/>
      <x:c r="Y24" s="3" t="str">
        <x:v>Nguồn: frontend/src/app; admin/src/app/styles.css. Đánh giá khả dụng theo yêu cầu người dùng; ngưỡng WCAG chính thức vẫn cần phê duyệt.</x:v>
      </x:c>
    </x:row>
    <x:row r="25" ht="49" customHeight="1">
      <x:c r="A25" s="3" t="n">
        <x:v>24</x:v>
      </x:c>
      <x:c r="B25" s="3" t="str">
        <x:v>TC_UI_018</x:v>
      </x:c>
      <x:c r="C25" s="3" t="str">
        <x:v>UI</x:v>
      </x:c>
      <x:c r="D25" s="3" t="str">
        <x:v>Responsive Lãnh đạo</x:v>
      </x:c>
      <x:c r="E25" s="3" t="str">
        <x:v>Responsive Lãnh đạo</x:v>
      </x:c>
      <x:c r="F25" s="3" t="str">
        <x:v>Responsive — Lãnh đạo tại 375px</x:v>
      </x:c>
      <x:c r="G25" s="3" t="str">
        <x:v>Lãnh đạo tại 375px</x:v>
      </x:c>
      <x:c r="H25" s="3" t="str">
        <x:v>NFR-003</x:v>
      </x:c>
      <x:c r="I25" s="3" t="str">
        <x:v>Khách truy cập</x:v>
      </x:c>
      <x:c r="J25" s="3" t="str">
        <x:v>Responsive</x:v>
      </x:c>
      <x:c r="K25" s="3" t="str">
        <x:v>Medium</x:v>
      </x:c>
      <x:c r="L25" s="3" t="str">
        <x:v>Medium</x:v>
      </x:c>
      <x:c r="M25" s="3" t="str">
        <x:v>QA/UAT public sẵn sàng; không cần đăng nhập; demo=false cho case tích hợp CMS/public. Ghi viewport, OS và browser thực.</x:v>
      </x:c>
      <x:c r="N25" s="3" t="str">
        <x:v>Viewport 375×900 CSS px; fixture có tên/tiêu đề dài và tiếng Việt.</x:v>
      </x:c>
      <x:c r="O25" s="3" t="str">
        <x:v>1. Mở /vi/discover/lanh-dao; viewport 375×900 CSS px, zoom100%
2. Cuộn hết trang và mở tương tác chính
3. Đo scrollWidth so clientWidth và chụp màn hình</x:v>
      </x:c>
      <x:c r="P25" s="3" t="str">
        <x:v>Không tràn ngang toàn trang; chữ/nút không chồng hoặc bị cắt; nội dung/ảnh không mất; bảng rộng cuộn trong vùng bảng. Menu và CTA chính thao tác được.</x:v>
      </x:c>
      <x:c r="Q25" s="11" t="str"/>
      <x:c r="R25" s="8" t="str">
        <x:v>NOT RUN</x:v>
      </x:c>
      <x:c r="S25" s="11" t="str">
        <x:v>QA/UAT — cần điền URL/build</x:v>
      </x:c>
      <x:c r="T25" s="11" t="str">
        <x:v>Cần điền phiên bản thực</x:v>
      </x:c>
      <x:c r="U25" s="11" t="str"/>
      <x:c r="V25" s="12" t="str"/>
      <x:c r="W25" s="11" t="str"/>
      <x:c r="X25" s="11" t="str"/>
      <x:c r="Y25" s="3" t="str">
        <x:v>Nguồn: frontend/src/app; admin/src/app/styles.css. Đánh giá khả dụng theo yêu cầu người dùng; ngưỡng WCAG chính thức vẫn cần phê duyệt.</x:v>
      </x:c>
    </x:row>
    <x:row r="26" ht="49" customHeight="1">
      <x:c r="A26" s="3" t="n">
        <x:v>25</x:v>
      </x:c>
      <x:c r="B26" s="3" t="str">
        <x:v>TC_UI_019</x:v>
      </x:c>
      <x:c r="C26" s="3" t="str">
        <x:v>UI</x:v>
      </x:c>
      <x:c r="D26" s="3" t="str">
        <x:v>Responsive Lãnh đạo</x:v>
      </x:c>
      <x:c r="E26" s="3" t="str">
        <x:v>Responsive Lãnh đạo</x:v>
      </x:c>
      <x:c r="F26" s="3" t="str">
        <x:v>Responsive — Lãnh đạo tại 390px</x:v>
      </x:c>
      <x:c r="G26" s="3" t="str">
        <x:v>Lãnh đạo tại 390px</x:v>
      </x:c>
      <x:c r="H26" s="3" t="str">
        <x:v>NFR-003</x:v>
      </x:c>
      <x:c r="I26" s="3" t="str">
        <x:v>Khách truy cập</x:v>
      </x:c>
      <x:c r="J26" s="3" t="str">
        <x:v>Responsive</x:v>
      </x:c>
      <x:c r="K26" s="3" t="str">
        <x:v>Medium</x:v>
      </x:c>
      <x:c r="L26" s="3" t="str">
        <x:v>Medium</x:v>
      </x:c>
      <x:c r="M26" s="3" t="str">
        <x:v>QA/UAT public sẵn sàng; không cần đăng nhập; demo=false cho case tích hợp CMS/public. Ghi viewport, OS và browser thực.</x:v>
      </x:c>
      <x:c r="N26" s="3" t="str">
        <x:v>Viewport 390×900 CSS px; fixture có tên/tiêu đề dài và tiếng Việt.</x:v>
      </x:c>
      <x:c r="O26" s="3" t="str">
        <x:v>1. Mở /vi/discover/lanh-dao; viewport 390×900 CSS px, zoom100%
2. Cuộn hết trang và mở tương tác chính
3. Đo scrollWidth so clientWidth và chụp màn hình</x:v>
      </x:c>
      <x:c r="P26" s="3" t="str">
        <x:v>Không tràn ngang toàn trang; chữ/nút không chồng hoặc bị cắt; nội dung/ảnh không mất; bảng rộng cuộn trong vùng bảng. Menu và CTA chính thao tác được.</x:v>
      </x:c>
      <x:c r="Q26" s="11" t="str"/>
      <x:c r="R26" s="8" t="str">
        <x:v>NOT RUN</x:v>
      </x:c>
      <x:c r="S26" s="11" t="str">
        <x:v>QA/UAT — cần điền URL/build</x:v>
      </x:c>
      <x:c r="T26" s="11" t="str">
        <x:v>Cần điền phiên bản thực</x:v>
      </x:c>
      <x:c r="U26" s="11" t="str"/>
      <x:c r="V26" s="12" t="str"/>
      <x:c r="W26" s="11" t="str"/>
      <x:c r="X26" s="11" t="str"/>
      <x:c r="Y26" s="3" t="str">
        <x:v>Nguồn: frontend/src/app; admin/src/app/styles.css. Đánh giá khả dụng theo yêu cầu người dùng; ngưỡng WCAG chính thức vẫn cần phê duyệt.</x:v>
      </x:c>
    </x:row>
    <x:row r="27" ht="49" customHeight="1">
      <x:c r="A27" s="3" t="n">
        <x:v>26</x:v>
      </x:c>
      <x:c r="B27" s="3" t="str">
        <x:v>TC_UI_020</x:v>
      </x:c>
      <x:c r="C27" s="3" t="str">
        <x:v>UI</x:v>
      </x:c>
      <x:c r="D27" s="3" t="str">
        <x:v>Responsive Lãnh đạo</x:v>
      </x:c>
      <x:c r="E27" s="3" t="str">
        <x:v>Responsive Lãnh đạo</x:v>
      </x:c>
      <x:c r="F27" s="3" t="str">
        <x:v>Responsive — Lãnh đạo tại 768px</x:v>
      </x:c>
      <x:c r="G27" s="3" t="str">
        <x:v>Lãnh đạo tại 768px</x:v>
      </x:c>
      <x:c r="H27" s="3" t="str">
        <x:v>NFR-003</x:v>
      </x:c>
      <x:c r="I27" s="3" t="str">
        <x:v>Khách truy cập</x:v>
      </x:c>
      <x:c r="J27" s="3" t="str">
        <x:v>Responsive</x:v>
      </x:c>
      <x:c r="K27" s="3" t="str">
        <x:v>Medium</x:v>
      </x:c>
      <x:c r="L27" s="3" t="str">
        <x:v>Medium</x:v>
      </x:c>
      <x:c r="M27" s="3" t="str">
        <x:v>QA/UAT public sẵn sàng; không cần đăng nhập; demo=false cho case tích hợp CMS/public. Ghi viewport, OS và browser thực.</x:v>
      </x:c>
      <x:c r="N27" s="3" t="str">
        <x:v>Viewport 768×900 CSS px; fixture có tên/tiêu đề dài và tiếng Việt.</x:v>
      </x:c>
      <x:c r="O27" s="3" t="str">
        <x:v>1. Mở /vi/discover/lanh-dao; viewport 768×900 CSS px, zoom100%
2. Cuộn hết trang và mở tương tác chính
3. Đo scrollWidth so clientWidth và chụp màn hình</x:v>
      </x:c>
      <x:c r="P27" s="3" t="str">
        <x:v>Không tràn ngang toàn trang; chữ/nút không chồng hoặc bị cắt; nội dung/ảnh không mất; bảng rộng cuộn trong vùng bảng. Menu và CTA chính thao tác được.</x:v>
      </x:c>
      <x:c r="Q27" s="11" t="str"/>
      <x:c r="R27" s="8" t="str">
        <x:v>NOT RUN</x:v>
      </x:c>
      <x:c r="S27" s="11" t="str">
        <x:v>QA/UAT — cần điền URL/build</x:v>
      </x:c>
      <x:c r="T27" s="11" t="str">
        <x:v>Cần điền phiên bản thực</x:v>
      </x:c>
      <x:c r="U27" s="11" t="str"/>
      <x:c r="V27" s="12" t="str"/>
      <x:c r="W27" s="11" t="str"/>
      <x:c r="X27" s="11" t="str"/>
      <x:c r="Y27" s="3" t="str">
        <x:v>Nguồn: frontend/src/app; admin/src/app/styles.css. Đánh giá khả dụng theo yêu cầu người dùng; ngưỡng WCAG chính thức vẫn cần phê duyệt.</x:v>
      </x:c>
    </x:row>
    <x:row r="28" ht="49" customHeight="1">
      <x:c r="A28" s="3" t="n">
        <x:v>27</x:v>
      </x:c>
      <x:c r="B28" s="3" t="str">
        <x:v>TC_UI_021</x:v>
      </x:c>
      <x:c r="C28" s="3" t="str">
        <x:v>UI</x:v>
      </x:c>
      <x:c r="D28" s="3" t="str">
        <x:v>Responsive Lãnh đạo</x:v>
      </x:c>
      <x:c r="E28" s="3" t="str">
        <x:v>Responsive Lãnh đạo</x:v>
      </x:c>
      <x:c r="F28" s="3" t="str">
        <x:v>Responsive — Lãnh đạo tại 1024px</x:v>
      </x:c>
      <x:c r="G28" s="3" t="str">
        <x:v>Lãnh đạo tại 1024px</x:v>
      </x:c>
      <x:c r="H28" s="3" t="str">
        <x:v>NFR-003</x:v>
      </x:c>
      <x:c r="I28" s="3" t="str">
        <x:v>Khách truy cập</x:v>
      </x:c>
      <x:c r="J28" s="3" t="str">
        <x:v>Responsive</x:v>
      </x:c>
      <x:c r="K28" s="3" t="str">
        <x:v>Medium</x:v>
      </x:c>
      <x:c r="L28" s="3" t="str">
        <x:v>Medium</x:v>
      </x:c>
      <x:c r="M28" s="3" t="str">
        <x:v>QA/UAT public sẵn sàng; không cần đăng nhập; demo=false cho case tích hợp CMS/public. Ghi viewport, OS và browser thực.</x:v>
      </x:c>
      <x:c r="N28" s="3" t="str">
        <x:v>Viewport 1024×900 CSS px; fixture có tên/tiêu đề dài và tiếng Việt.</x:v>
      </x:c>
      <x:c r="O28" s="3" t="str">
        <x:v>1. Mở /vi/discover/lanh-dao; viewport 1024×900 CSS px, zoom100%
2. Cuộn hết trang và mở tương tác chính
3. Đo scrollWidth so clientWidth và chụp màn hình</x:v>
      </x:c>
      <x:c r="P28" s="3" t="str">
        <x:v>Không tràn ngang toàn trang; chữ/nút không chồng hoặc bị cắt; nội dung/ảnh không mất; bảng rộng cuộn trong vùng bảng. Menu và CTA chính thao tác được.</x:v>
      </x:c>
      <x:c r="Q28" s="11" t="str"/>
      <x:c r="R28" s="8" t="str">
        <x:v>NOT RUN</x:v>
      </x:c>
      <x:c r="S28" s="11" t="str">
        <x:v>QA/UAT — cần điền URL/build</x:v>
      </x:c>
      <x:c r="T28" s="11" t="str">
        <x:v>Cần điền phiên bản thực</x:v>
      </x:c>
      <x:c r="U28" s="11" t="str"/>
      <x:c r="V28" s="12" t="str"/>
      <x:c r="W28" s="11" t="str"/>
      <x:c r="X28" s="11" t="str"/>
      <x:c r="Y28" s="3" t="str">
        <x:v>Nguồn: frontend/src/app; admin/src/app/styles.css. Đánh giá khả dụng theo yêu cầu người dùng; ngưỡng WCAG chính thức vẫn cần phê duyệt.</x:v>
      </x:c>
    </x:row>
    <x:row r="29" ht="49" customHeight="1">
      <x:c r="A29" s="3" t="n">
        <x:v>28</x:v>
      </x:c>
      <x:c r="B29" s="3" t="str">
        <x:v>TC_UI_022</x:v>
      </x:c>
      <x:c r="C29" s="3" t="str">
        <x:v>UI</x:v>
      </x:c>
      <x:c r="D29" s="3" t="str">
        <x:v>Responsive Lãnh đạo</x:v>
      </x:c>
      <x:c r="E29" s="3" t="str">
        <x:v>Responsive Lãnh đạo</x:v>
      </x:c>
      <x:c r="F29" s="3" t="str">
        <x:v>Responsive — Lãnh đạo tại 1280px</x:v>
      </x:c>
      <x:c r="G29" s="3" t="str">
        <x:v>Lãnh đạo tại 1280px</x:v>
      </x:c>
      <x:c r="H29" s="3" t="str">
        <x:v>NFR-003</x:v>
      </x:c>
      <x:c r="I29" s="3" t="str">
        <x:v>Khách truy cập</x:v>
      </x:c>
      <x:c r="J29" s="3" t="str">
        <x:v>Responsive</x:v>
      </x:c>
      <x:c r="K29" s="3" t="str">
        <x:v>Medium</x:v>
      </x:c>
      <x:c r="L29" s="3" t="str">
        <x:v>Medium</x:v>
      </x:c>
      <x:c r="M29" s="3" t="str">
        <x:v>QA/UAT public sẵn sàng; không cần đăng nhập; demo=false cho case tích hợp CMS/public. Ghi viewport, OS và browser thực.</x:v>
      </x:c>
      <x:c r="N29" s="3" t="str">
        <x:v>Viewport 1280×900 CSS px; fixture có tên/tiêu đề dài và tiếng Việt.</x:v>
      </x:c>
      <x:c r="O29" s="3" t="str">
        <x:v>1. Mở /vi/discover/lanh-dao; viewport 1280×900 CSS px, zoom100%
2. Cuộn hết trang và mở tương tác chính
3. Đo scrollWidth so clientWidth và chụp màn hình</x:v>
      </x:c>
      <x:c r="P29" s="3" t="str">
        <x:v>Không tràn ngang toàn trang; chữ/nút không chồng hoặc bị cắt; nội dung/ảnh không mất; bảng rộng cuộn trong vùng bảng. Menu và CTA chính thao tác được.</x:v>
      </x:c>
      <x:c r="Q29" s="11" t="str"/>
      <x:c r="R29" s="8" t="str">
        <x:v>NOT RUN</x:v>
      </x:c>
      <x:c r="S29" s="11" t="str">
        <x:v>QA/UAT — cần điền URL/build</x:v>
      </x:c>
      <x:c r="T29" s="11" t="str">
        <x:v>Cần điền phiên bản thực</x:v>
      </x:c>
      <x:c r="U29" s="11" t="str"/>
      <x:c r="V29" s="12" t="str"/>
      <x:c r="W29" s="11" t="str"/>
      <x:c r="X29" s="11" t="str"/>
      <x:c r="Y29" s="3" t="str">
        <x:v>Nguồn: frontend/src/app; admin/src/app/styles.css. Đánh giá khả dụng theo yêu cầu người dùng; ngưỡng WCAG chính thức vẫn cần phê duyệt.</x:v>
      </x:c>
    </x:row>
    <x:row r="30" ht="49" customHeight="1">
      <x:c r="A30" s="3" t="n">
        <x:v>29</x:v>
      </x:c>
      <x:c r="B30" s="3" t="str">
        <x:v>TC_UI_023</x:v>
      </x:c>
      <x:c r="C30" s="3" t="str">
        <x:v>UI</x:v>
      </x:c>
      <x:c r="D30" s="3" t="str">
        <x:v>Responsive Lãnh đạo</x:v>
      </x:c>
      <x:c r="E30" s="3" t="str">
        <x:v>Responsive Lãnh đạo</x:v>
      </x:c>
      <x:c r="F30" s="3" t="str">
        <x:v>Responsive — Lãnh đạo tại 1440px</x:v>
      </x:c>
      <x:c r="G30" s="3" t="str">
        <x:v>Lãnh đạo tại 1440px</x:v>
      </x:c>
      <x:c r="H30" s="3" t="str">
        <x:v>NFR-003</x:v>
      </x:c>
      <x:c r="I30" s="3" t="str">
        <x:v>Khách truy cập</x:v>
      </x:c>
      <x:c r="J30" s="3" t="str">
        <x:v>Responsive</x:v>
      </x:c>
      <x:c r="K30" s="3" t="str">
        <x:v>Medium</x:v>
      </x:c>
      <x:c r="L30" s="3" t="str">
        <x:v>Medium</x:v>
      </x:c>
      <x:c r="M30" s="3" t="str">
        <x:v>QA/UAT public sẵn sàng; không cần đăng nhập; demo=false cho case tích hợp CMS/public. Ghi viewport, OS và browser thực.</x:v>
      </x:c>
      <x:c r="N30" s="3" t="str">
        <x:v>Viewport 1440×900 CSS px; fixture có tên/tiêu đề dài và tiếng Việt.</x:v>
      </x:c>
      <x:c r="O30" s="3" t="str">
        <x:v>1. Mở /vi/discover/lanh-dao; viewport 1440×900 CSS px, zoom100%
2. Cuộn hết trang và mở tương tác chính
3. Đo scrollWidth so clientWidth và chụp màn hình</x:v>
      </x:c>
      <x:c r="P30" s="3" t="str">
        <x:v>Không tràn ngang toàn trang; chữ/nút không chồng hoặc bị cắt; nội dung/ảnh không mất; bảng rộng cuộn trong vùng bảng. Menu và CTA chính thao tác được.</x:v>
      </x:c>
      <x:c r="Q30" s="11" t="str"/>
      <x:c r="R30" s="8" t="str">
        <x:v>NOT RUN</x:v>
      </x:c>
      <x:c r="S30" s="11" t="str">
        <x:v>QA/UAT — cần điền URL/build</x:v>
      </x:c>
      <x:c r="T30" s="11" t="str">
        <x:v>Cần điền phiên bản thực</x:v>
      </x:c>
      <x:c r="U30" s="11" t="str"/>
      <x:c r="V30" s="12" t="str"/>
      <x:c r="W30" s="11" t="str"/>
      <x:c r="X30" s="11" t="str"/>
      <x:c r="Y30" s="3" t="str">
        <x:v>Nguồn: frontend/src/app; admin/src/app/styles.css. Đánh giá khả dụng theo yêu cầu người dùng; ngưỡng WCAG chính thức vẫn cần phê duyệt.</x:v>
      </x:c>
    </x:row>
    <x:row r="31" ht="49" customHeight="1">
      <x:c r="A31" s="3" t="n">
        <x:v>30</x:v>
      </x:c>
      <x:c r="B31" s="3" t="str">
        <x:v>TC_UI_024</x:v>
      </x:c>
      <x:c r="C31" s="3" t="str">
        <x:v>UI</x:v>
      </x:c>
      <x:c r="D31" s="3" t="str">
        <x:v>Responsive Lãnh đạo</x:v>
      </x:c>
      <x:c r="E31" s="3" t="str">
        <x:v>Responsive Lãnh đạo</x:v>
      </x:c>
      <x:c r="F31" s="3" t="str">
        <x:v>Responsive — Lãnh đạo tại 1920px</x:v>
      </x:c>
      <x:c r="G31" s="3" t="str">
        <x:v>Lãnh đạo tại 1920px</x:v>
      </x:c>
      <x:c r="H31" s="3" t="str">
        <x:v>NFR-003</x:v>
      </x:c>
      <x:c r="I31" s="3" t="str">
        <x:v>Khách truy cập</x:v>
      </x:c>
      <x:c r="J31" s="3" t="str">
        <x:v>Responsive</x:v>
      </x:c>
      <x:c r="K31" s="3" t="str">
        <x:v>Medium</x:v>
      </x:c>
      <x:c r="L31" s="3" t="str">
        <x:v>Medium</x:v>
      </x:c>
      <x:c r="M31" s="3" t="str">
        <x:v>QA/UAT public sẵn sàng; không cần đăng nhập; demo=false cho case tích hợp CMS/public. Ghi viewport, OS và browser thực.</x:v>
      </x:c>
      <x:c r="N31" s="3" t="str">
        <x:v>Viewport 1920×900 CSS px; fixture có tên/tiêu đề dài và tiếng Việt.</x:v>
      </x:c>
      <x:c r="O31" s="3" t="str">
        <x:v>1. Mở /vi/discover/lanh-dao; viewport 1920×900 CSS px, zoom100%
2. Cuộn hết trang và mở tương tác chính
3. Đo scrollWidth so clientWidth và chụp màn hình</x:v>
      </x:c>
      <x:c r="P31" s="3" t="str">
        <x:v>Không tràn ngang toàn trang; chữ/nút không chồng hoặc bị cắt; nội dung/ảnh không mất; bảng rộng cuộn trong vùng bảng. Menu và CTA chính thao tác được.</x:v>
      </x:c>
      <x:c r="Q31" s="11" t="str"/>
      <x:c r="R31" s="8" t="str">
        <x:v>NOT RUN</x:v>
      </x:c>
      <x:c r="S31" s="11" t="str">
        <x:v>QA/UAT — cần điền URL/build</x:v>
      </x:c>
      <x:c r="T31" s="11" t="str">
        <x:v>Cần điền phiên bản thực</x:v>
      </x:c>
      <x:c r="U31" s="11" t="str"/>
      <x:c r="V31" s="12" t="str"/>
      <x:c r="W31" s="11" t="str"/>
      <x:c r="X31" s="11" t="str"/>
      <x:c r="Y31" s="3" t="str">
        <x:v>Nguồn: frontend/src/app; admin/src/app/styles.css. Đánh giá khả dụng theo yêu cầu người dùng; ngưỡng WCAG chính thức vẫn cần phê duyệt.</x:v>
      </x:c>
    </x:row>
    <x:row r="32" ht="49" customHeight="1">
      <x:c r="A32" s="3" t="n">
        <x:v>31</x:v>
      </x:c>
      <x:c r="B32" s="3" t="str">
        <x:v>TC_I18N_008</x:v>
      </x:c>
      <x:c r="C32" s="3" t="str">
        <x:v>I18N</x:v>
      </x:c>
      <x:c r="D32" s="3" t="str">
        <x:v>Song ngữ Lãnh đạo</x:v>
      </x:c>
      <x:c r="E32" s="3" t="str">
        <x:v>Song ngữ Lãnh đạo</x:v>
      </x:c>
      <x:c r="F32" s="3" t="str">
        <x:v>Localization — Lãnh đạo: Đổi VI sang EN</x:v>
      </x:c>
      <x:c r="G32" s="3" t="str">
        <x:v>Lãnh đạo: Đổi VI sang EN</x:v>
      </x:c>
      <x:c r="H32" s="3" t="str">
        <x:v>PUB-001</x:v>
      </x:c>
      <x:c r="I32" s="3" t="str">
        <x:v>Khách truy cập</x:v>
      </x:c>
      <x:c r="J32" s="3" t="str">
        <x:v>Localization</x:v>
      </x:c>
      <x:c r="K32" s="3" t="str">
        <x:v>Medium</x:v>
      </x:c>
      <x:c r="L32" s="3" t="str">
        <x:v>Medium</x:v>
      </x:c>
      <x:c r="M32" s="3" t="str">
        <x:v>QA/UAT public sẵn sàng; không cần đăng nhập; demo=false cho case tích hợp CMS/public. Ghi viewport, OS và browser thực.</x:v>
      </x:c>
      <x:c r="N32" s="3" t="str">
        <x:v>Dữ liệu QA tổng hợp; xem fixture trong README.</x:v>
      </x:c>
      <x:c r="O32" s="3" t="str">
        <x:v>1. Mở /vi/discover/lanh-dao
2. Nhấn EN
3. Refresh</x:v>
      </x:c>
      <x:c r="P32" s="3" t="str">
        <x:v>Prefix chuyển /en, giữ route tương ứng; active EN và html lang=en; refresh không trở về VI.</x:v>
      </x:c>
      <x:c r="Q32" s="11" t="str"/>
      <x:c r="R32" s="8" t="str">
        <x:v>NOT RUN</x:v>
      </x:c>
      <x:c r="S32" s="11" t="str">
        <x:v>QA/UAT — cần điền URL/build</x:v>
      </x:c>
      <x:c r="T32" s="11" t="str">
        <x:v>Cần điền phiên bản thực</x:v>
      </x:c>
      <x:c r="U32" s="11" t="str"/>
      <x:c r="V32" s="12" t="str"/>
      <x:c r="W32" s="11" t="str"/>
      <x:c r="X32" s="11" t="str"/>
      <x:c r="Y32" s="3" t="str">
        <x:v>Nguồn: frontend/src/shared/components/layout/LanguageToggle.tsx; frontend/src/messages. </x:v>
      </x:c>
    </x:row>
    <x:row r="33" ht="49" customHeight="1">
      <x:c r="A33" s="3" t="n">
        <x:v>32</x:v>
      </x:c>
      <x:c r="B33" s="3" t="str">
        <x:v>TC_I18N_009</x:v>
      </x:c>
      <x:c r="C33" s="3" t="str">
        <x:v>I18N</x:v>
      </x:c>
      <x:c r="D33" s="3" t="str">
        <x:v>Song ngữ Lãnh đạo</x:v>
      </x:c>
      <x:c r="E33" s="3" t="str">
        <x:v>Song ngữ Lãnh đạo</x:v>
      </x:c>
      <x:c r="F33" s="3" t="str">
        <x:v>Localization — Lãnh đạo: Bản dịch toàn trang</x:v>
      </x:c>
      <x:c r="G33" s="3" t="str">
        <x:v>Lãnh đạo: Bản dịch toàn trang</x:v>
      </x:c>
      <x:c r="H33" s="3" t="str">
        <x:v>PUB-001</x:v>
      </x:c>
      <x:c r="I33" s="3" t="str">
        <x:v>Khách truy cập</x:v>
      </x:c>
      <x:c r="J33" s="3" t="str">
        <x:v>Localization</x:v>
      </x:c>
      <x:c r="K33" s="3" t="str">
        <x:v>Medium</x:v>
      </x:c>
      <x:c r="L33" s="3" t="str">
        <x:v>Medium</x:v>
      </x:c>
      <x:c r="M33" s="3" t="str">
        <x:v>QA/UAT public sẵn sàng; không cần đăng nhập; demo=false cho case tích hợp CMS/public. Ghi viewport, OS và browser thực.</x:v>
      </x:c>
      <x:c r="N33" s="3" t="str">
        <x:v>Dữ liệu QA tổng hợp; xem fixture trong README.</x:v>
      </x:c>
      <x:c r="O33" s="3" t="str">
        <x:v>1. Mở /en/discover/lanh-dao
2. Cuộn nội dung, mở menu, submit lỗi form nếu có</x:v>
      </x:c>
      <x:c r="P33" s="3" t="str">
        <x:v>Không lộ khóa dịch hoặc lẫn tiếng Việt trong nội dung thuộc phạm vi dịch; ngày/số/validation đúng locale.</x:v>
      </x:c>
      <x:c r="Q33" s="11" t="str"/>
      <x:c r="R33" s="9" t="str">
        <x:v>NEED CONFIRMATION</x:v>
      </x:c>
      <x:c r="S33" s="11" t="str">
        <x:v>QA/UAT — cần điền URL/build</x:v>
      </x:c>
      <x:c r="T33" s="11" t="str">
        <x:v>Cần điền phiên bản thực</x:v>
      </x:c>
      <x:c r="U33" s="11" t="str"/>
      <x:c r="V33" s="12" t="str"/>
      <x:c r="W33" s="11" t="str"/>
      <x:c r="X33" s="11" t="str"/>
      <x:c r="Y33" s="3" t="str">
        <x:v>Nguồn: frontend/src/shared/components/layout/LanguageToggle.tsx; frontend/src/messages. Need Confirmation: Chốt phạm vi dịch nội dung tĩnh và dữ liệu CMS.</x:v>
      </x:c>
    </x:row>
    <x:row r="34" ht="49" customHeight="1">
      <x:c r="A34" s="3" t="n">
        <x:v>33</x:v>
      </x:c>
      <x:c r="B34" s="3" t="str">
        <x:v>TC_I18N_010</x:v>
      </x:c>
      <x:c r="C34" s="3" t="str">
        <x:v>I18N</x:v>
      </x:c>
      <x:c r="D34" s="3" t="str">
        <x:v>Song ngữ Lãnh đạo</x:v>
      </x:c>
      <x:c r="E34" s="3" t="str">
        <x:v>Song ngữ Lãnh đạo</x:v>
      </x:c>
      <x:c r="F34" s="3" t="str">
        <x:v>Localization — Lãnh đạo: Back sau đổi locale</x:v>
      </x:c>
      <x:c r="G34" s="3" t="str">
        <x:v>Lãnh đạo: Back sau đổi locale</x:v>
      </x:c>
      <x:c r="H34" s="3" t="str">
        <x:v>PUB-001</x:v>
      </x:c>
      <x:c r="I34" s="3" t="str">
        <x:v>Khách truy cập</x:v>
      </x:c>
      <x:c r="J34" s="3" t="str">
        <x:v>Localization</x:v>
      </x:c>
      <x:c r="K34" s="3" t="str">
        <x:v>Medium</x:v>
      </x:c>
      <x:c r="L34" s="3" t="str">
        <x:v>Medium</x:v>
      </x:c>
      <x:c r="M34" s="3" t="str">
        <x:v>QA/UAT public sẵn sàng; không cần đăng nhập; demo=false cho case tích hợp CMS/public. Ghi viewport, OS và browser thực.</x:v>
      </x:c>
      <x:c r="N34" s="3" t="str">
        <x:v>Dữ liệu QA tổng hợp; xem fixture trong README.</x:v>
      </x:c>
      <x:c r="O34" s="3" t="str">
        <x:v>1. Mở /vi/discover/lanh-dao
2. Nhấn EN rồi Back</x:v>
      </x:c>
      <x:c r="P34" s="3" t="str">
        <x:v>Back quay đúng trang VI trước đó; UI và URL locale đồng bộ.</x:v>
      </x:c>
      <x:c r="Q34" s="11" t="str"/>
      <x:c r="R34" s="8" t="str">
        <x:v>NOT RUN</x:v>
      </x:c>
      <x:c r="S34" s="11" t="str">
        <x:v>QA/UAT — cần điền URL/build</x:v>
      </x:c>
      <x:c r="T34" s="11" t="str">
        <x:v>Cần điền phiên bản thực</x:v>
      </x:c>
      <x:c r="U34" s="11" t="str"/>
      <x:c r="V34" s="12" t="str"/>
      <x:c r="W34" s="11" t="str"/>
      <x:c r="X34" s="11" t="str"/>
      <x:c r="Y34" s="3" t="str">
        <x:v>Nguồn: frontend/src/shared/components/layout/LanguageToggle.tsx; frontend/src/messages. </x:v>
      </x:c>
    </x:row>
    <x:row r="35" ht="49" customHeight="1">
      <x:c r="A35" s="3" t="n">
        <x:v>34</x:v>
      </x:c>
      <x:c r="B35" s="3" t="str">
        <x:v>TC_UI_025</x:v>
      </x:c>
      <x:c r="C35" s="3" t="str">
        <x:v>UI</x:v>
      </x:c>
      <x:c r="D35" s="3" t="str">
        <x:v>Responsive Chương trình</x:v>
      </x:c>
      <x:c r="E35" s="3" t="str">
        <x:v>Responsive Chương trình</x:v>
      </x:c>
      <x:c r="F35" s="3" t="str">
        <x:v>Responsive — Chương trình tại 320px</x:v>
      </x:c>
      <x:c r="G35" s="3" t="str">
        <x:v>Chương trình tại 320px</x:v>
      </x:c>
      <x:c r="H35" s="3" t="str">
        <x:v>NFR-003</x:v>
      </x:c>
      <x:c r="I35" s="3" t="str">
        <x:v>Khách truy cập</x:v>
      </x:c>
      <x:c r="J35" s="3" t="str">
        <x:v>Responsive</x:v>
      </x:c>
      <x:c r="K35" s="3" t="str">
        <x:v>High</x:v>
      </x:c>
      <x:c r="L35" s="3" t="str">
        <x:v>High</x:v>
      </x:c>
      <x:c r="M35" s="3" t="str">
        <x:v>QA/UAT public sẵn sàng; không cần đăng nhập; demo=false cho case tích hợp CMS/public. Ghi viewport, OS và browser thực.</x:v>
      </x:c>
      <x:c r="N35" s="3" t="str">
        <x:v>Viewport 320×900 CSS px; fixture có tên/tiêu đề dài và tiếng Việt.</x:v>
      </x:c>
      <x:c r="O35" s="3" t="str">
        <x:v>1. Mở /vi/programmes; viewport 320×900 CSS px, zoom100%
2. Cuộn hết trang và mở tương tác chính
3. Đo scrollWidth so clientWidth và chụp màn hình</x:v>
      </x:c>
      <x:c r="P35" s="3" t="str">
        <x:v>Không tràn ngang toàn trang; chữ/nút không chồng hoặc bị cắt; nội dung/ảnh không mất; bảng rộng cuộn trong vùng bảng. Menu và CTA chính thao tác được.</x:v>
      </x:c>
      <x:c r="Q35" s="11" t="str"/>
      <x:c r="R35" s="8" t="str">
        <x:v>NOT RUN</x:v>
      </x:c>
      <x:c r="S35" s="11" t="str">
        <x:v>QA/UAT — cần điền URL/build</x:v>
      </x:c>
      <x:c r="T35" s="11" t="str">
        <x:v>Cần điền phiên bản thực</x:v>
      </x:c>
      <x:c r="U35" s="11" t="str"/>
      <x:c r="V35" s="12" t="str"/>
      <x:c r="W35" s="11" t="str"/>
      <x:c r="X35" s="11" t="str"/>
      <x:c r="Y35" s="3" t="str">
        <x:v>Nguồn: frontend/src/app; admin/src/app/styles.css. Đánh giá khả dụng theo yêu cầu người dùng; ngưỡng WCAG chính thức vẫn cần phê duyệt.</x:v>
      </x:c>
    </x:row>
    <x:row r="36" ht="49" customHeight="1">
      <x:c r="A36" s="3" t="n">
        <x:v>35</x:v>
      </x:c>
      <x:c r="B36" s="3" t="str">
        <x:v>TC_UI_026</x:v>
      </x:c>
      <x:c r="C36" s="3" t="str">
        <x:v>UI</x:v>
      </x:c>
      <x:c r="D36" s="3" t="str">
        <x:v>Responsive Chương trình</x:v>
      </x:c>
      <x:c r="E36" s="3" t="str">
        <x:v>Responsive Chương trình</x:v>
      </x:c>
      <x:c r="F36" s="3" t="str">
        <x:v>Responsive — Chương trình tại 375px</x:v>
      </x:c>
      <x:c r="G36" s="3" t="str">
        <x:v>Chương trình tại 375px</x:v>
      </x:c>
      <x:c r="H36" s="3" t="str">
        <x:v>NFR-003</x:v>
      </x:c>
      <x:c r="I36" s="3" t="str">
        <x:v>Khách truy cập</x:v>
      </x:c>
      <x:c r="J36" s="3" t="str">
        <x:v>Responsive</x:v>
      </x:c>
      <x:c r="K36" s="3" t="str">
        <x:v>Medium</x:v>
      </x:c>
      <x:c r="L36" s="3" t="str">
        <x:v>Medium</x:v>
      </x:c>
      <x:c r="M36" s="3" t="str">
        <x:v>QA/UAT public sẵn sàng; không cần đăng nhập; demo=false cho case tích hợp CMS/public. Ghi viewport, OS và browser thực.</x:v>
      </x:c>
      <x:c r="N36" s="3" t="str">
        <x:v>Viewport 375×900 CSS px; fixture có tên/tiêu đề dài và tiếng Việt.</x:v>
      </x:c>
      <x:c r="O36" s="3" t="str">
        <x:v>1. Mở /vi/programmes; viewport 375×900 CSS px, zoom100%
2. Cuộn hết trang và mở tương tác chính
3. Đo scrollWidth so clientWidth và chụp màn hình</x:v>
      </x:c>
      <x:c r="P36" s="3" t="str">
        <x:v>Không tràn ngang toàn trang; chữ/nút không chồng hoặc bị cắt; nội dung/ảnh không mất; bảng rộng cuộn trong vùng bảng. Menu và CTA chính thao tác được.</x:v>
      </x:c>
      <x:c r="Q36" s="11" t="str"/>
      <x:c r="R36" s="8" t="str">
        <x:v>NOT RUN</x:v>
      </x:c>
      <x:c r="S36" s="11" t="str">
        <x:v>QA/UAT — cần điền URL/build</x:v>
      </x:c>
      <x:c r="T36" s="11" t="str">
        <x:v>Cần điền phiên bản thực</x:v>
      </x:c>
      <x:c r="U36" s="11" t="str"/>
      <x:c r="V36" s="12" t="str"/>
      <x:c r="W36" s="11" t="str"/>
      <x:c r="X36" s="11" t="str"/>
      <x:c r="Y36" s="3" t="str">
        <x:v>Nguồn: frontend/src/app; admin/src/app/styles.css. Đánh giá khả dụng theo yêu cầu người dùng; ngưỡng WCAG chính thức vẫn cần phê duyệt.</x:v>
      </x:c>
    </x:row>
    <x:row r="37" ht="49" customHeight="1">
      <x:c r="A37" s="3" t="n">
        <x:v>36</x:v>
      </x:c>
      <x:c r="B37" s="3" t="str">
        <x:v>TC_UI_027</x:v>
      </x:c>
      <x:c r="C37" s="3" t="str">
        <x:v>UI</x:v>
      </x:c>
      <x:c r="D37" s="3" t="str">
        <x:v>Responsive Chương trình</x:v>
      </x:c>
      <x:c r="E37" s="3" t="str">
        <x:v>Responsive Chương trình</x:v>
      </x:c>
      <x:c r="F37" s="3" t="str">
        <x:v>Responsive — Chương trình tại 390px</x:v>
      </x:c>
      <x:c r="G37" s="3" t="str">
        <x:v>Chương trình tại 390px</x:v>
      </x:c>
      <x:c r="H37" s="3" t="str">
        <x:v>NFR-003</x:v>
      </x:c>
      <x:c r="I37" s="3" t="str">
        <x:v>Khách truy cập</x:v>
      </x:c>
      <x:c r="J37" s="3" t="str">
        <x:v>Responsive</x:v>
      </x:c>
      <x:c r="K37" s="3" t="str">
        <x:v>Medium</x:v>
      </x:c>
      <x:c r="L37" s="3" t="str">
        <x:v>Medium</x:v>
      </x:c>
      <x:c r="M37" s="3" t="str">
        <x:v>QA/UAT public sẵn sàng; không cần đăng nhập; demo=false cho case tích hợp CMS/public. Ghi viewport, OS và browser thực.</x:v>
      </x:c>
      <x:c r="N37" s="3" t="str">
        <x:v>Viewport 390×900 CSS px; fixture có tên/tiêu đề dài và tiếng Việt.</x:v>
      </x:c>
      <x:c r="O37" s="3" t="str">
        <x:v>1. Mở /vi/programmes; viewport 390×900 CSS px, zoom100%
2. Cuộn hết trang và mở tương tác chính
3. Đo scrollWidth so clientWidth và chụp màn hình</x:v>
      </x:c>
      <x:c r="P37" s="3" t="str">
        <x:v>Không tràn ngang toàn trang; chữ/nút không chồng hoặc bị cắt; nội dung/ảnh không mất; bảng rộng cuộn trong vùng bảng. Menu và CTA chính thao tác được.</x:v>
      </x:c>
      <x:c r="Q37" s="11" t="str"/>
      <x:c r="R37" s="8" t="str">
        <x:v>NOT RUN</x:v>
      </x:c>
      <x:c r="S37" s="11" t="str">
        <x:v>QA/UAT — cần điền URL/build</x:v>
      </x:c>
      <x:c r="T37" s="11" t="str">
        <x:v>Cần điền phiên bản thực</x:v>
      </x:c>
      <x:c r="U37" s="11" t="str"/>
      <x:c r="V37" s="12" t="str"/>
      <x:c r="W37" s="11" t="str"/>
      <x:c r="X37" s="11" t="str"/>
      <x:c r="Y37" s="3" t="str">
        <x:v>Nguồn: frontend/src/app; admin/src/app/styles.css. Đánh giá khả dụng theo yêu cầu người dùng; ngưỡng WCAG chính thức vẫn cần phê duyệt.</x:v>
      </x:c>
    </x:row>
    <x:row r="38" ht="49" customHeight="1">
      <x:c r="A38" s="3" t="n">
        <x:v>37</x:v>
      </x:c>
      <x:c r="B38" s="3" t="str">
        <x:v>TC_UI_028</x:v>
      </x:c>
      <x:c r="C38" s="3" t="str">
        <x:v>UI</x:v>
      </x:c>
      <x:c r="D38" s="3" t="str">
        <x:v>Responsive Chương trình</x:v>
      </x:c>
      <x:c r="E38" s="3" t="str">
        <x:v>Responsive Chương trình</x:v>
      </x:c>
      <x:c r="F38" s="3" t="str">
        <x:v>Responsive — Chương trình tại 768px</x:v>
      </x:c>
      <x:c r="G38" s="3" t="str">
        <x:v>Chương trình tại 768px</x:v>
      </x:c>
      <x:c r="H38" s="3" t="str">
        <x:v>NFR-003</x:v>
      </x:c>
      <x:c r="I38" s="3" t="str">
        <x:v>Khách truy cập</x:v>
      </x:c>
      <x:c r="J38" s="3" t="str">
        <x:v>Responsive</x:v>
      </x:c>
      <x:c r="K38" s="3" t="str">
        <x:v>Medium</x:v>
      </x:c>
      <x:c r="L38" s="3" t="str">
        <x:v>Medium</x:v>
      </x:c>
      <x:c r="M38" s="3" t="str">
        <x:v>QA/UAT public sẵn sàng; không cần đăng nhập; demo=false cho case tích hợp CMS/public. Ghi viewport, OS và browser thực.</x:v>
      </x:c>
      <x:c r="N38" s="3" t="str">
        <x:v>Viewport 768×900 CSS px; fixture có tên/tiêu đề dài và tiếng Việt.</x:v>
      </x:c>
      <x:c r="O38" s="3" t="str">
        <x:v>1. Mở /vi/programmes; viewport 768×900 CSS px, zoom100%
2. Cuộn hết trang và mở tương tác chính
3. Đo scrollWidth so clientWidth và chụp màn hình</x:v>
      </x:c>
      <x:c r="P38" s="3" t="str">
        <x:v>Không tràn ngang toàn trang; chữ/nút không chồng hoặc bị cắt; nội dung/ảnh không mất; bảng rộng cuộn trong vùng bảng. Menu và CTA chính thao tác được.</x:v>
      </x:c>
      <x:c r="Q38" s="11" t="str"/>
      <x:c r="R38" s="8" t="str">
        <x:v>NOT RUN</x:v>
      </x:c>
      <x:c r="S38" s="11" t="str">
        <x:v>QA/UAT — cần điền URL/build</x:v>
      </x:c>
      <x:c r="T38" s="11" t="str">
        <x:v>Cần điền phiên bản thực</x:v>
      </x:c>
      <x:c r="U38" s="11" t="str"/>
      <x:c r="V38" s="12" t="str"/>
      <x:c r="W38" s="11" t="str"/>
      <x:c r="X38" s="11" t="str"/>
      <x:c r="Y38" s="3" t="str">
        <x:v>Nguồn: frontend/src/app; admin/src/app/styles.css. Đánh giá khả dụng theo yêu cầu người dùng; ngưỡng WCAG chính thức vẫn cần phê duyệt.</x:v>
      </x:c>
    </x:row>
    <x:row r="39" ht="49" customHeight="1">
      <x:c r="A39" s="3" t="n">
        <x:v>38</x:v>
      </x:c>
      <x:c r="B39" s="3" t="str">
        <x:v>TC_UI_029</x:v>
      </x:c>
      <x:c r="C39" s="3" t="str">
        <x:v>UI</x:v>
      </x:c>
      <x:c r="D39" s="3" t="str">
        <x:v>Responsive Chương trình</x:v>
      </x:c>
      <x:c r="E39" s="3" t="str">
        <x:v>Responsive Chương trình</x:v>
      </x:c>
      <x:c r="F39" s="3" t="str">
        <x:v>Responsive — Chương trình tại 1024px</x:v>
      </x:c>
      <x:c r="G39" s="3" t="str">
        <x:v>Chương trình tại 1024px</x:v>
      </x:c>
      <x:c r="H39" s="3" t="str">
        <x:v>NFR-003</x:v>
      </x:c>
      <x:c r="I39" s="3" t="str">
        <x:v>Khách truy cập</x:v>
      </x:c>
      <x:c r="J39" s="3" t="str">
        <x:v>Responsive</x:v>
      </x:c>
      <x:c r="K39" s="3" t="str">
        <x:v>Medium</x:v>
      </x:c>
      <x:c r="L39" s="3" t="str">
        <x:v>Medium</x:v>
      </x:c>
      <x:c r="M39" s="3" t="str">
        <x:v>QA/UAT public sẵn sàng; không cần đăng nhập; demo=false cho case tích hợp CMS/public. Ghi viewport, OS và browser thực.</x:v>
      </x:c>
      <x:c r="N39" s="3" t="str">
        <x:v>Viewport 1024×900 CSS px; fixture có tên/tiêu đề dài và tiếng Việt.</x:v>
      </x:c>
      <x:c r="O39" s="3" t="str">
        <x:v>1. Mở /vi/programmes; viewport 1024×900 CSS px, zoom100%
2. Cuộn hết trang và mở tương tác chính
3. Đo scrollWidth so clientWidth và chụp màn hình</x:v>
      </x:c>
      <x:c r="P39" s="3" t="str">
        <x:v>Không tràn ngang toàn trang; chữ/nút không chồng hoặc bị cắt; nội dung/ảnh không mất; bảng rộng cuộn trong vùng bảng. Menu và CTA chính thao tác được.</x:v>
      </x:c>
      <x:c r="Q39" s="11" t="str"/>
      <x:c r="R39" s="8" t="str">
        <x:v>NOT RUN</x:v>
      </x:c>
      <x:c r="S39" s="11" t="str">
        <x:v>QA/UAT — cần điền URL/build</x:v>
      </x:c>
      <x:c r="T39" s="11" t="str">
        <x:v>Cần điền phiên bản thực</x:v>
      </x:c>
      <x:c r="U39" s="11" t="str"/>
      <x:c r="V39" s="12" t="str"/>
      <x:c r="W39" s="11" t="str"/>
      <x:c r="X39" s="11" t="str"/>
      <x:c r="Y39" s="3" t="str">
        <x:v>Nguồn: frontend/src/app; admin/src/app/styles.css. Đánh giá khả dụng theo yêu cầu người dùng; ngưỡng WCAG chính thức vẫn cần phê duyệt.</x:v>
      </x:c>
    </x:row>
    <x:row r="40" ht="49" customHeight="1">
      <x:c r="A40" s="3" t="n">
        <x:v>39</x:v>
      </x:c>
      <x:c r="B40" s="3" t="str">
        <x:v>TC_UI_030</x:v>
      </x:c>
      <x:c r="C40" s="3" t="str">
        <x:v>UI</x:v>
      </x:c>
      <x:c r="D40" s="3" t="str">
        <x:v>Responsive Chương trình</x:v>
      </x:c>
      <x:c r="E40" s="3" t="str">
        <x:v>Responsive Chương trình</x:v>
      </x:c>
      <x:c r="F40" s="3" t="str">
        <x:v>Responsive — Chương trình tại 1280px</x:v>
      </x:c>
      <x:c r="G40" s="3" t="str">
        <x:v>Chương trình tại 1280px</x:v>
      </x:c>
      <x:c r="H40" s="3" t="str">
        <x:v>NFR-003</x:v>
      </x:c>
      <x:c r="I40" s="3" t="str">
        <x:v>Khách truy cập</x:v>
      </x:c>
      <x:c r="J40" s="3" t="str">
        <x:v>Responsive</x:v>
      </x:c>
      <x:c r="K40" s="3" t="str">
        <x:v>Medium</x:v>
      </x:c>
      <x:c r="L40" s="3" t="str">
        <x:v>Medium</x:v>
      </x:c>
      <x:c r="M40" s="3" t="str">
        <x:v>QA/UAT public sẵn sàng; không cần đăng nhập; demo=false cho case tích hợp CMS/public. Ghi viewport, OS và browser thực.</x:v>
      </x:c>
      <x:c r="N40" s="3" t="str">
        <x:v>Viewport 1280×900 CSS px; fixture có tên/tiêu đề dài và tiếng Việt.</x:v>
      </x:c>
      <x:c r="O40" s="3" t="str">
        <x:v>1. Mở /vi/programmes; viewport 1280×900 CSS px, zoom100%
2. Cuộn hết trang và mở tương tác chính
3. Đo scrollWidth so clientWidth và chụp màn hình</x:v>
      </x:c>
      <x:c r="P40" s="3" t="str">
        <x:v>Không tràn ngang toàn trang; chữ/nút không chồng hoặc bị cắt; nội dung/ảnh không mất; bảng rộng cuộn trong vùng bảng. Menu và CTA chính thao tác được.</x:v>
      </x:c>
      <x:c r="Q40" s="11" t="str"/>
      <x:c r="R40" s="8" t="str">
        <x:v>NOT RUN</x:v>
      </x:c>
      <x:c r="S40" s="11" t="str">
        <x:v>QA/UAT — cần điền URL/build</x:v>
      </x:c>
      <x:c r="T40" s="11" t="str">
        <x:v>Cần điền phiên bản thực</x:v>
      </x:c>
      <x:c r="U40" s="11" t="str"/>
      <x:c r="V40" s="12" t="str"/>
      <x:c r="W40" s="11" t="str"/>
      <x:c r="X40" s="11" t="str"/>
      <x:c r="Y40" s="3" t="str">
        <x:v>Nguồn: frontend/src/app; admin/src/app/styles.css. Đánh giá khả dụng theo yêu cầu người dùng; ngưỡng WCAG chính thức vẫn cần phê duyệt.</x:v>
      </x:c>
    </x:row>
    <x:row r="41" ht="49" customHeight="1">
      <x:c r="A41" s="3" t="n">
        <x:v>40</x:v>
      </x:c>
      <x:c r="B41" s="3" t="str">
        <x:v>TC_UI_031</x:v>
      </x:c>
      <x:c r="C41" s="3" t="str">
        <x:v>UI</x:v>
      </x:c>
      <x:c r="D41" s="3" t="str">
        <x:v>Responsive Chương trình</x:v>
      </x:c>
      <x:c r="E41" s="3" t="str">
        <x:v>Responsive Chương trình</x:v>
      </x:c>
      <x:c r="F41" s="3" t="str">
        <x:v>Responsive — Chương trình tại 1440px</x:v>
      </x:c>
      <x:c r="G41" s="3" t="str">
        <x:v>Chương trình tại 1440px</x:v>
      </x:c>
      <x:c r="H41" s="3" t="str">
        <x:v>NFR-003</x:v>
      </x:c>
      <x:c r="I41" s="3" t="str">
        <x:v>Khách truy cập</x:v>
      </x:c>
      <x:c r="J41" s="3" t="str">
        <x:v>Responsive</x:v>
      </x:c>
      <x:c r="K41" s="3" t="str">
        <x:v>Medium</x:v>
      </x:c>
      <x:c r="L41" s="3" t="str">
        <x:v>Medium</x:v>
      </x:c>
      <x:c r="M41" s="3" t="str">
        <x:v>QA/UAT public sẵn sàng; không cần đăng nhập; demo=false cho case tích hợp CMS/public. Ghi viewport, OS và browser thực.</x:v>
      </x:c>
      <x:c r="N41" s="3" t="str">
        <x:v>Viewport 1440×900 CSS px; fixture có tên/tiêu đề dài và tiếng Việt.</x:v>
      </x:c>
      <x:c r="O41" s="3" t="str">
        <x:v>1. Mở /vi/programmes; viewport 1440×900 CSS px, zoom100%
2. Cuộn hết trang và mở tương tác chính
3. Đo scrollWidth so clientWidth và chụp màn hình</x:v>
      </x:c>
      <x:c r="P41" s="3" t="str">
        <x:v>Không tràn ngang toàn trang; chữ/nút không chồng hoặc bị cắt; nội dung/ảnh không mất; bảng rộng cuộn trong vùng bảng. Menu và CTA chính thao tác được.</x:v>
      </x:c>
      <x:c r="Q41" s="11" t="str"/>
      <x:c r="R41" s="8" t="str">
        <x:v>NOT RUN</x:v>
      </x:c>
      <x:c r="S41" s="11" t="str">
        <x:v>QA/UAT — cần điền URL/build</x:v>
      </x:c>
      <x:c r="T41" s="11" t="str">
        <x:v>Cần điền phiên bản thực</x:v>
      </x:c>
      <x:c r="U41" s="11" t="str"/>
      <x:c r="V41" s="12" t="str"/>
      <x:c r="W41" s="11" t="str"/>
      <x:c r="X41" s="11" t="str"/>
      <x:c r="Y41" s="3" t="str">
        <x:v>Nguồn: frontend/src/app; admin/src/app/styles.css. Đánh giá khả dụng theo yêu cầu người dùng; ngưỡng WCAG chính thức vẫn cần phê duyệt.</x:v>
      </x:c>
    </x:row>
    <x:row r="42" ht="49" customHeight="1">
      <x:c r="A42" s="3" t="n">
        <x:v>41</x:v>
      </x:c>
      <x:c r="B42" s="3" t="str">
        <x:v>TC_UI_032</x:v>
      </x:c>
      <x:c r="C42" s="3" t="str">
        <x:v>UI</x:v>
      </x:c>
      <x:c r="D42" s="3" t="str">
        <x:v>Responsive Chương trình</x:v>
      </x:c>
      <x:c r="E42" s="3" t="str">
        <x:v>Responsive Chương trình</x:v>
      </x:c>
      <x:c r="F42" s="3" t="str">
        <x:v>Responsive — Chương trình tại 1920px</x:v>
      </x:c>
      <x:c r="G42" s="3" t="str">
        <x:v>Chương trình tại 1920px</x:v>
      </x:c>
      <x:c r="H42" s="3" t="str">
        <x:v>NFR-003</x:v>
      </x:c>
      <x:c r="I42" s="3" t="str">
        <x:v>Khách truy cập</x:v>
      </x:c>
      <x:c r="J42" s="3" t="str">
        <x:v>Responsive</x:v>
      </x:c>
      <x:c r="K42" s="3" t="str">
        <x:v>Medium</x:v>
      </x:c>
      <x:c r="L42" s="3" t="str">
        <x:v>Medium</x:v>
      </x:c>
      <x:c r="M42" s="3" t="str">
        <x:v>QA/UAT public sẵn sàng; không cần đăng nhập; demo=false cho case tích hợp CMS/public. Ghi viewport, OS và browser thực.</x:v>
      </x:c>
      <x:c r="N42" s="3" t="str">
        <x:v>Viewport 1920×900 CSS px; fixture có tên/tiêu đề dài và tiếng Việt.</x:v>
      </x:c>
      <x:c r="O42" s="3" t="str">
        <x:v>1. Mở /vi/programmes; viewport 1920×900 CSS px, zoom100%
2. Cuộn hết trang và mở tương tác chính
3. Đo scrollWidth so clientWidth và chụp màn hình</x:v>
      </x:c>
      <x:c r="P42" s="3" t="str">
        <x:v>Không tràn ngang toàn trang; chữ/nút không chồng hoặc bị cắt; nội dung/ảnh không mất; bảng rộng cuộn trong vùng bảng. Menu và CTA chính thao tác được.</x:v>
      </x:c>
      <x:c r="Q42" s="11" t="str"/>
      <x:c r="R42" s="8" t="str">
        <x:v>NOT RUN</x:v>
      </x:c>
      <x:c r="S42" s="11" t="str">
        <x:v>QA/UAT — cần điền URL/build</x:v>
      </x:c>
      <x:c r="T42" s="11" t="str">
        <x:v>Cần điền phiên bản thực</x:v>
      </x:c>
      <x:c r="U42" s="11" t="str"/>
      <x:c r="V42" s="12" t="str"/>
      <x:c r="W42" s="11" t="str"/>
      <x:c r="X42" s="11" t="str"/>
      <x:c r="Y42" s="3" t="str">
        <x:v>Nguồn: frontend/src/app; admin/src/app/styles.css. Đánh giá khả dụng theo yêu cầu người dùng; ngưỡng WCAG chính thức vẫn cần phê duyệt.</x:v>
      </x:c>
    </x:row>
    <x:row r="43" ht="49" customHeight="1">
      <x:c r="A43" s="3" t="n">
        <x:v>42</x:v>
      </x:c>
      <x:c r="B43" s="3" t="str">
        <x:v>TC_I18N_011</x:v>
      </x:c>
      <x:c r="C43" s="3" t="str">
        <x:v>I18N</x:v>
      </x:c>
      <x:c r="D43" s="3" t="str">
        <x:v>Song ngữ Chương trình</x:v>
      </x:c>
      <x:c r="E43" s="3" t="str">
        <x:v>Song ngữ Chương trình</x:v>
      </x:c>
      <x:c r="F43" s="3" t="str">
        <x:v>Localization — Chương trình: Đổi VI sang EN</x:v>
      </x:c>
      <x:c r="G43" s="3" t="str">
        <x:v>Chương trình: Đổi VI sang EN</x:v>
      </x:c>
      <x:c r="H43" s="3" t="str">
        <x:v>PUB-001</x:v>
      </x:c>
      <x:c r="I43" s="3" t="str">
        <x:v>Khách truy cập</x:v>
      </x:c>
      <x:c r="J43" s="3" t="str">
        <x:v>Localization</x:v>
      </x:c>
      <x:c r="K43" s="3" t="str">
        <x:v>Medium</x:v>
      </x:c>
      <x:c r="L43" s="3" t="str">
        <x:v>Medium</x:v>
      </x:c>
      <x:c r="M43" s="3" t="str">
        <x:v>QA/UAT public sẵn sàng; không cần đăng nhập; demo=false cho case tích hợp CMS/public. Ghi viewport, OS và browser thực.</x:v>
      </x:c>
      <x:c r="N43" s="3" t="str">
        <x:v>Dữ liệu QA tổng hợp; xem fixture trong README.</x:v>
      </x:c>
      <x:c r="O43" s="3" t="str">
        <x:v>1. Mở /vi/programmes
2. Nhấn EN
3. Refresh</x:v>
      </x:c>
      <x:c r="P43" s="3" t="str">
        <x:v>Prefix chuyển /en, giữ route tương ứng; active EN và html lang=en; refresh không trở về VI.</x:v>
      </x:c>
      <x:c r="Q43" s="11" t="str"/>
      <x:c r="R43" s="8" t="str">
        <x:v>NOT RUN</x:v>
      </x:c>
      <x:c r="S43" s="11" t="str">
        <x:v>QA/UAT — cần điền URL/build</x:v>
      </x:c>
      <x:c r="T43" s="11" t="str">
        <x:v>Cần điền phiên bản thực</x:v>
      </x:c>
      <x:c r="U43" s="11" t="str"/>
      <x:c r="V43" s="12" t="str"/>
      <x:c r="W43" s="11" t="str"/>
      <x:c r="X43" s="11" t="str"/>
      <x:c r="Y43" s="3" t="str">
        <x:v>Nguồn: frontend/src/shared/components/layout/LanguageToggle.tsx; frontend/src/messages. </x:v>
      </x:c>
    </x:row>
    <x:row r="44" ht="49" customHeight="1">
      <x:c r="A44" s="3" t="n">
        <x:v>43</x:v>
      </x:c>
      <x:c r="B44" s="3" t="str">
        <x:v>TC_I18N_012</x:v>
      </x:c>
      <x:c r="C44" s="3" t="str">
        <x:v>I18N</x:v>
      </x:c>
      <x:c r="D44" s="3" t="str">
        <x:v>Song ngữ Chương trình</x:v>
      </x:c>
      <x:c r="E44" s="3" t="str">
        <x:v>Song ngữ Chương trình</x:v>
      </x:c>
      <x:c r="F44" s="3" t="str">
        <x:v>Localization — Chương trình: Bản dịch toàn trang</x:v>
      </x:c>
      <x:c r="G44" s="3" t="str">
        <x:v>Chương trình: Bản dịch toàn trang</x:v>
      </x:c>
      <x:c r="H44" s="3" t="str">
        <x:v>PUB-001</x:v>
      </x:c>
      <x:c r="I44" s="3" t="str">
        <x:v>Khách truy cập</x:v>
      </x:c>
      <x:c r="J44" s="3" t="str">
        <x:v>Localization</x:v>
      </x:c>
      <x:c r="K44" s="3" t="str">
        <x:v>Medium</x:v>
      </x:c>
      <x:c r="L44" s="3" t="str">
        <x:v>Medium</x:v>
      </x:c>
      <x:c r="M44" s="3" t="str">
        <x:v>QA/UAT public sẵn sàng; không cần đăng nhập; demo=false cho case tích hợp CMS/public. Ghi viewport, OS và browser thực.</x:v>
      </x:c>
      <x:c r="N44" s="3" t="str">
        <x:v>Dữ liệu QA tổng hợp; xem fixture trong README.</x:v>
      </x:c>
      <x:c r="O44" s="3" t="str">
        <x:v>1. Mở /en/programmes
2. Cuộn nội dung, mở menu, submit lỗi form nếu có</x:v>
      </x:c>
      <x:c r="P44" s="3" t="str">
        <x:v>Không lộ khóa dịch hoặc lẫn tiếng Việt trong nội dung thuộc phạm vi dịch; ngày/số/validation đúng locale.</x:v>
      </x:c>
      <x:c r="Q44" s="11" t="str"/>
      <x:c r="R44" s="9" t="str">
        <x:v>NEED CONFIRMATION</x:v>
      </x:c>
      <x:c r="S44" s="11" t="str">
        <x:v>QA/UAT — cần điền URL/build</x:v>
      </x:c>
      <x:c r="T44" s="11" t="str">
        <x:v>Cần điền phiên bản thực</x:v>
      </x:c>
      <x:c r="U44" s="11" t="str"/>
      <x:c r="V44" s="12" t="str"/>
      <x:c r="W44" s="11" t="str"/>
      <x:c r="X44" s="11" t="str"/>
      <x:c r="Y44" s="3" t="str">
        <x:v>Nguồn: frontend/src/shared/components/layout/LanguageToggle.tsx; frontend/src/messages. Need Confirmation: Chốt phạm vi dịch nội dung tĩnh và dữ liệu CMS.</x:v>
      </x:c>
    </x:row>
    <x:row r="45" ht="49" customHeight="1">
      <x:c r="A45" s="3" t="n">
        <x:v>44</x:v>
      </x:c>
      <x:c r="B45" s="3" t="str">
        <x:v>TC_I18N_013</x:v>
      </x:c>
      <x:c r="C45" s="3" t="str">
        <x:v>I18N</x:v>
      </x:c>
      <x:c r="D45" s="3" t="str">
        <x:v>Song ngữ Chương trình</x:v>
      </x:c>
      <x:c r="E45" s="3" t="str">
        <x:v>Song ngữ Chương trình</x:v>
      </x:c>
      <x:c r="F45" s="3" t="str">
        <x:v>Localization — Chương trình: Back sau đổi locale</x:v>
      </x:c>
      <x:c r="G45" s="3" t="str">
        <x:v>Chương trình: Back sau đổi locale</x:v>
      </x:c>
      <x:c r="H45" s="3" t="str">
        <x:v>PUB-001</x:v>
      </x:c>
      <x:c r="I45" s="3" t="str">
        <x:v>Khách truy cập</x:v>
      </x:c>
      <x:c r="J45" s="3" t="str">
        <x:v>Localization</x:v>
      </x:c>
      <x:c r="K45" s="3" t="str">
        <x:v>Medium</x:v>
      </x:c>
      <x:c r="L45" s="3" t="str">
        <x:v>Medium</x:v>
      </x:c>
      <x:c r="M45" s="3" t="str">
        <x:v>QA/UAT public sẵn sàng; không cần đăng nhập; demo=false cho case tích hợp CMS/public. Ghi viewport, OS và browser thực.</x:v>
      </x:c>
      <x:c r="N45" s="3" t="str">
        <x:v>Dữ liệu QA tổng hợp; xem fixture trong README.</x:v>
      </x:c>
      <x:c r="O45" s="3" t="str">
        <x:v>1. Mở /vi/programmes
2. Nhấn EN rồi Back</x:v>
      </x:c>
      <x:c r="P45" s="3" t="str">
        <x:v>Back quay đúng trang VI trước đó; UI và URL locale đồng bộ.</x:v>
      </x:c>
      <x:c r="Q45" s="11" t="str"/>
      <x:c r="R45" s="8" t="str">
        <x:v>NOT RUN</x:v>
      </x:c>
      <x:c r="S45" s="11" t="str">
        <x:v>QA/UAT — cần điền URL/build</x:v>
      </x:c>
      <x:c r="T45" s="11" t="str">
        <x:v>Cần điền phiên bản thực</x:v>
      </x:c>
      <x:c r="U45" s="11" t="str"/>
      <x:c r="V45" s="12" t="str"/>
      <x:c r="W45" s="11" t="str"/>
      <x:c r="X45" s="11" t="str"/>
      <x:c r="Y45" s="3" t="str">
        <x:v>Nguồn: frontend/src/shared/components/layout/LanguageToggle.tsx; frontend/src/messages. </x:v>
      </x:c>
    </x:row>
    <x:row r="46" ht="49" customHeight="1">
      <x:c r="A46" s="3" t="n">
        <x:v>45</x:v>
      </x:c>
      <x:c r="B46" s="3" t="str">
        <x:v>TC_UI_033</x:v>
      </x:c>
      <x:c r="C46" s="3" t="str">
        <x:v>UI</x:v>
      </x:c>
      <x:c r="D46" s="3" t="str">
        <x:v>Responsive Thạc sĩ</x:v>
      </x:c>
      <x:c r="E46" s="3" t="str">
        <x:v>Responsive Thạc sĩ</x:v>
      </x:c>
      <x:c r="F46" s="3" t="str">
        <x:v>Responsive — Thạc sĩ tại 320px</x:v>
      </x:c>
      <x:c r="G46" s="3" t="str">
        <x:v>Thạc sĩ tại 320px</x:v>
      </x:c>
      <x:c r="H46" s="3" t="str">
        <x:v>NFR-003</x:v>
      </x:c>
      <x:c r="I46" s="3" t="str">
        <x:v>Khách truy cập</x:v>
      </x:c>
      <x:c r="J46" s="3" t="str">
        <x:v>Responsive</x:v>
      </x:c>
      <x:c r="K46" s="3" t="str">
        <x:v>High</x:v>
      </x:c>
      <x:c r="L46" s="3" t="str">
        <x:v>High</x:v>
      </x:c>
      <x:c r="M46" s="3" t="str">
        <x:v>QA/UAT public sẵn sàng; không cần đăng nhập; demo=false cho case tích hợp CMS/public. Ghi viewport, OS và browser thực.</x:v>
      </x:c>
      <x:c r="N46" s="3" t="str">
        <x:v>Viewport 320×900 CSS px; fixture có tên/tiêu đề dài và tiếng Việt.</x:v>
      </x:c>
      <x:c r="O46" s="3" t="str">
        <x:v>1. Mở /vi/programmes/thac-si; viewport 320×900 CSS px, zoom100%
2. Cuộn hết trang và mở tương tác chính
3. Đo scrollWidth so clientWidth và chụp màn hình</x:v>
      </x:c>
      <x:c r="P46" s="3" t="str">
        <x:v>Không tràn ngang toàn trang; chữ/nút không chồng hoặc bị cắt; nội dung/ảnh không mất; bảng rộng cuộn trong vùng bảng. Menu và CTA chính thao tác được.</x:v>
      </x:c>
      <x:c r="Q46" s="11" t="str"/>
      <x:c r="R46" s="8" t="str">
        <x:v>NOT RUN</x:v>
      </x:c>
      <x:c r="S46" s="11" t="str">
        <x:v>QA/UAT — cần điền URL/build</x:v>
      </x:c>
      <x:c r="T46" s="11" t="str">
        <x:v>Cần điền phiên bản thực</x:v>
      </x:c>
      <x:c r="U46" s="11" t="str"/>
      <x:c r="V46" s="12" t="str"/>
      <x:c r="W46" s="11" t="str"/>
      <x:c r="X46" s="11" t="str"/>
      <x:c r="Y46" s="3" t="str">
        <x:v>Nguồn: frontend/src/app; admin/src/app/styles.css. Đánh giá khả dụng theo yêu cầu người dùng; ngưỡng WCAG chính thức vẫn cần phê duyệt.</x:v>
      </x:c>
    </x:row>
    <x:row r="47" ht="49" customHeight="1">
      <x:c r="A47" s="3" t="n">
        <x:v>46</x:v>
      </x:c>
      <x:c r="B47" s="3" t="str">
        <x:v>TC_UI_034</x:v>
      </x:c>
      <x:c r="C47" s="3" t="str">
        <x:v>UI</x:v>
      </x:c>
      <x:c r="D47" s="3" t="str">
        <x:v>Responsive Thạc sĩ</x:v>
      </x:c>
      <x:c r="E47" s="3" t="str">
        <x:v>Responsive Thạc sĩ</x:v>
      </x:c>
      <x:c r="F47" s="3" t="str">
        <x:v>Responsive — Thạc sĩ tại 375px</x:v>
      </x:c>
      <x:c r="G47" s="3" t="str">
        <x:v>Thạc sĩ tại 375px</x:v>
      </x:c>
      <x:c r="H47" s="3" t="str">
        <x:v>NFR-003</x:v>
      </x:c>
      <x:c r="I47" s="3" t="str">
        <x:v>Khách truy cập</x:v>
      </x:c>
      <x:c r="J47" s="3" t="str">
        <x:v>Responsive</x:v>
      </x:c>
      <x:c r="K47" s="3" t="str">
        <x:v>Medium</x:v>
      </x:c>
      <x:c r="L47" s="3" t="str">
        <x:v>Medium</x:v>
      </x:c>
      <x:c r="M47" s="3" t="str">
        <x:v>QA/UAT public sẵn sàng; không cần đăng nhập; demo=false cho case tích hợp CMS/public. Ghi viewport, OS và browser thực.</x:v>
      </x:c>
      <x:c r="N47" s="3" t="str">
        <x:v>Viewport 375×900 CSS px; fixture có tên/tiêu đề dài và tiếng Việt.</x:v>
      </x:c>
      <x:c r="O47" s="3" t="str">
        <x:v>1. Mở /vi/programmes/thac-si; viewport 375×900 CSS px, zoom100%
2. Cuộn hết trang và mở tương tác chính
3. Đo scrollWidth so clientWidth và chụp màn hình</x:v>
      </x:c>
      <x:c r="P47" s="3" t="str">
        <x:v>Không tràn ngang toàn trang; chữ/nút không chồng hoặc bị cắt; nội dung/ảnh không mất; bảng rộng cuộn trong vùng bảng. Menu và CTA chính thao tác được.</x:v>
      </x:c>
      <x:c r="Q47" s="11" t="str"/>
      <x:c r="R47" s="8" t="str">
        <x:v>NOT RUN</x:v>
      </x:c>
      <x:c r="S47" s="11" t="str">
        <x:v>QA/UAT — cần điền URL/build</x:v>
      </x:c>
      <x:c r="T47" s="11" t="str">
        <x:v>Cần điền phiên bản thực</x:v>
      </x:c>
      <x:c r="U47" s="11" t="str"/>
      <x:c r="V47" s="12" t="str"/>
      <x:c r="W47" s="11" t="str"/>
      <x:c r="X47" s="11" t="str"/>
      <x:c r="Y47" s="3" t="str">
        <x:v>Nguồn: frontend/src/app; admin/src/app/styles.css. Đánh giá khả dụng theo yêu cầu người dùng; ngưỡng WCAG chính thức vẫn cần phê duyệt.</x:v>
      </x:c>
    </x:row>
    <x:row r="48" ht="49" customHeight="1">
      <x:c r="A48" s="3" t="n">
        <x:v>47</x:v>
      </x:c>
      <x:c r="B48" s="3" t="str">
        <x:v>TC_UI_035</x:v>
      </x:c>
      <x:c r="C48" s="3" t="str">
        <x:v>UI</x:v>
      </x:c>
      <x:c r="D48" s="3" t="str">
        <x:v>Responsive Thạc sĩ</x:v>
      </x:c>
      <x:c r="E48" s="3" t="str">
        <x:v>Responsive Thạc sĩ</x:v>
      </x:c>
      <x:c r="F48" s="3" t="str">
        <x:v>Responsive — Thạc sĩ tại 390px</x:v>
      </x:c>
      <x:c r="G48" s="3" t="str">
        <x:v>Thạc sĩ tại 390px</x:v>
      </x:c>
      <x:c r="H48" s="3" t="str">
        <x:v>NFR-003</x:v>
      </x:c>
      <x:c r="I48" s="3" t="str">
        <x:v>Khách truy cập</x:v>
      </x:c>
      <x:c r="J48" s="3" t="str">
        <x:v>Responsive</x:v>
      </x:c>
      <x:c r="K48" s="3" t="str">
        <x:v>Medium</x:v>
      </x:c>
      <x:c r="L48" s="3" t="str">
        <x:v>Medium</x:v>
      </x:c>
      <x:c r="M48" s="3" t="str">
        <x:v>QA/UAT public sẵn sàng; không cần đăng nhập; demo=false cho case tích hợp CMS/public. Ghi viewport, OS và browser thực.</x:v>
      </x:c>
      <x:c r="N48" s="3" t="str">
        <x:v>Viewport 390×900 CSS px; fixture có tên/tiêu đề dài và tiếng Việt.</x:v>
      </x:c>
      <x:c r="O48" s="3" t="str">
        <x:v>1. Mở /vi/programmes/thac-si; viewport 390×900 CSS px, zoom100%
2. Cuộn hết trang và mở tương tác chính
3. Đo scrollWidth so clientWidth và chụp màn hình</x:v>
      </x:c>
      <x:c r="P48" s="3" t="str">
        <x:v>Không tràn ngang toàn trang; chữ/nút không chồng hoặc bị cắt; nội dung/ảnh không mất; bảng rộng cuộn trong vùng bảng. Menu và CTA chính thao tác được.</x:v>
      </x:c>
      <x:c r="Q48" s="11" t="str"/>
      <x:c r="R48" s="8" t="str">
        <x:v>NOT RUN</x:v>
      </x:c>
      <x:c r="S48" s="11" t="str">
        <x:v>QA/UAT — cần điền URL/build</x:v>
      </x:c>
      <x:c r="T48" s="11" t="str">
        <x:v>Cần điền phiên bản thực</x:v>
      </x:c>
      <x:c r="U48" s="11" t="str"/>
      <x:c r="V48" s="12" t="str"/>
      <x:c r="W48" s="11" t="str"/>
      <x:c r="X48" s="11" t="str"/>
      <x:c r="Y48" s="3" t="str">
        <x:v>Nguồn: frontend/src/app; admin/src/app/styles.css. Đánh giá khả dụng theo yêu cầu người dùng; ngưỡng WCAG chính thức vẫn cần phê duyệt.</x:v>
      </x:c>
    </x:row>
    <x:row r="49" ht="49" customHeight="1">
      <x:c r="A49" s="3" t="n">
        <x:v>48</x:v>
      </x:c>
      <x:c r="B49" s="3" t="str">
        <x:v>TC_UI_036</x:v>
      </x:c>
      <x:c r="C49" s="3" t="str">
        <x:v>UI</x:v>
      </x:c>
      <x:c r="D49" s="3" t="str">
        <x:v>Responsive Thạc sĩ</x:v>
      </x:c>
      <x:c r="E49" s="3" t="str">
        <x:v>Responsive Thạc sĩ</x:v>
      </x:c>
      <x:c r="F49" s="3" t="str">
        <x:v>Responsive — Thạc sĩ tại 768px</x:v>
      </x:c>
      <x:c r="G49" s="3" t="str">
        <x:v>Thạc sĩ tại 768px</x:v>
      </x:c>
      <x:c r="H49" s="3" t="str">
        <x:v>NFR-003</x:v>
      </x:c>
      <x:c r="I49" s="3" t="str">
        <x:v>Khách truy cập</x:v>
      </x:c>
      <x:c r="J49" s="3" t="str">
        <x:v>Responsive</x:v>
      </x:c>
      <x:c r="K49" s="3" t="str">
        <x:v>Medium</x:v>
      </x:c>
      <x:c r="L49" s="3" t="str">
        <x:v>Medium</x:v>
      </x:c>
      <x:c r="M49" s="3" t="str">
        <x:v>QA/UAT public sẵn sàng; không cần đăng nhập; demo=false cho case tích hợp CMS/public. Ghi viewport, OS và browser thực.</x:v>
      </x:c>
      <x:c r="N49" s="3" t="str">
        <x:v>Viewport 768×900 CSS px; fixture có tên/tiêu đề dài và tiếng Việt.</x:v>
      </x:c>
      <x:c r="O49" s="3" t="str">
        <x:v>1. Mở /vi/programmes/thac-si; viewport 768×900 CSS px, zoom100%
2. Cuộn hết trang và mở tương tác chính
3. Đo scrollWidth so clientWidth và chụp màn hình</x:v>
      </x:c>
      <x:c r="P49" s="3" t="str">
        <x:v>Không tràn ngang toàn trang; chữ/nút không chồng hoặc bị cắt; nội dung/ảnh không mất; bảng rộng cuộn trong vùng bảng. Menu và CTA chính thao tác được.</x:v>
      </x:c>
      <x:c r="Q49" s="11" t="str"/>
      <x:c r="R49" s="8" t="str">
        <x:v>NOT RUN</x:v>
      </x:c>
      <x:c r="S49" s="11" t="str">
        <x:v>QA/UAT — cần điền URL/build</x:v>
      </x:c>
      <x:c r="T49" s="11" t="str">
        <x:v>Cần điền phiên bản thực</x:v>
      </x:c>
      <x:c r="U49" s="11" t="str"/>
      <x:c r="V49" s="12" t="str"/>
      <x:c r="W49" s="11" t="str"/>
      <x:c r="X49" s="11" t="str"/>
      <x:c r="Y49" s="3" t="str">
        <x:v>Nguồn: frontend/src/app; admin/src/app/styles.css. Đánh giá khả dụng theo yêu cầu người dùng; ngưỡng WCAG chính thức vẫn cần phê duyệt.</x:v>
      </x:c>
    </x:row>
    <x:row r="50" ht="49" customHeight="1">
      <x:c r="A50" s="3" t="n">
        <x:v>49</x:v>
      </x:c>
      <x:c r="B50" s="3" t="str">
        <x:v>TC_UI_037</x:v>
      </x:c>
      <x:c r="C50" s="3" t="str">
        <x:v>UI</x:v>
      </x:c>
      <x:c r="D50" s="3" t="str">
        <x:v>Responsive Thạc sĩ</x:v>
      </x:c>
      <x:c r="E50" s="3" t="str">
        <x:v>Responsive Thạc sĩ</x:v>
      </x:c>
      <x:c r="F50" s="3" t="str">
        <x:v>Responsive — Thạc sĩ tại 1024px</x:v>
      </x:c>
      <x:c r="G50" s="3" t="str">
        <x:v>Thạc sĩ tại 1024px</x:v>
      </x:c>
      <x:c r="H50" s="3" t="str">
        <x:v>NFR-003</x:v>
      </x:c>
      <x:c r="I50" s="3" t="str">
        <x:v>Khách truy cập</x:v>
      </x:c>
      <x:c r="J50" s="3" t="str">
        <x:v>Responsive</x:v>
      </x:c>
      <x:c r="K50" s="3" t="str">
        <x:v>Medium</x:v>
      </x:c>
      <x:c r="L50" s="3" t="str">
        <x:v>Medium</x:v>
      </x:c>
      <x:c r="M50" s="3" t="str">
        <x:v>QA/UAT public sẵn sàng; không cần đăng nhập; demo=false cho case tích hợp CMS/public. Ghi viewport, OS và browser thực.</x:v>
      </x:c>
      <x:c r="N50" s="3" t="str">
        <x:v>Viewport 1024×900 CSS px; fixture có tên/tiêu đề dài và tiếng Việt.</x:v>
      </x:c>
      <x:c r="O50" s="3" t="str">
        <x:v>1. Mở /vi/programmes/thac-si; viewport 1024×900 CSS px, zoom100%
2. Cuộn hết trang và mở tương tác chính
3. Đo scrollWidth so clientWidth và chụp màn hình</x:v>
      </x:c>
      <x:c r="P50" s="3" t="str">
        <x:v>Không tràn ngang toàn trang; chữ/nút không chồng hoặc bị cắt; nội dung/ảnh không mất; bảng rộng cuộn trong vùng bảng. Menu và CTA chính thao tác được.</x:v>
      </x:c>
      <x:c r="Q50" s="11" t="str"/>
      <x:c r="R50" s="8" t="str">
        <x:v>NOT RUN</x:v>
      </x:c>
      <x:c r="S50" s="11" t="str">
        <x:v>QA/UAT — cần điền URL/build</x:v>
      </x:c>
      <x:c r="T50" s="11" t="str">
        <x:v>Cần điền phiên bản thực</x:v>
      </x:c>
      <x:c r="U50" s="11" t="str"/>
      <x:c r="V50" s="12" t="str"/>
      <x:c r="W50" s="11" t="str"/>
      <x:c r="X50" s="11" t="str"/>
      <x:c r="Y50" s="3" t="str">
        <x:v>Nguồn: frontend/src/app; admin/src/app/styles.css. Đánh giá khả dụng theo yêu cầu người dùng; ngưỡng WCAG chính thức vẫn cần phê duyệt.</x:v>
      </x:c>
    </x:row>
    <x:row r="51" ht="49" customHeight="1">
      <x:c r="A51" s="3" t="n">
        <x:v>50</x:v>
      </x:c>
      <x:c r="B51" s="3" t="str">
        <x:v>TC_UI_038</x:v>
      </x:c>
      <x:c r="C51" s="3" t="str">
        <x:v>UI</x:v>
      </x:c>
      <x:c r="D51" s="3" t="str">
        <x:v>Responsive Thạc sĩ</x:v>
      </x:c>
      <x:c r="E51" s="3" t="str">
        <x:v>Responsive Thạc sĩ</x:v>
      </x:c>
      <x:c r="F51" s="3" t="str">
        <x:v>Responsive — Thạc sĩ tại 1280px</x:v>
      </x:c>
      <x:c r="G51" s="3" t="str">
        <x:v>Thạc sĩ tại 1280px</x:v>
      </x:c>
      <x:c r="H51" s="3" t="str">
        <x:v>NFR-003</x:v>
      </x:c>
      <x:c r="I51" s="3" t="str">
        <x:v>Khách truy cập</x:v>
      </x:c>
      <x:c r="J51" s="3" t="str">
        <x:v>Responsive</x:v>
      </x:c>
      <x:c r="K51" s="3" t="str">
        <x:v>Medium</x:v>
      </x:c>
      <x:c r="L51" s="3" t="str">
        <x:v>Medium</x:v>
      </x:c>
      <x:c r="M51" s="3" t="str">
        <x:v>QA/UAT public sẵn sàng; không cần đăng nhập; demo=false cho case tích hợp CMS/public. Ghi viewport, OS và browser thực.</x:v>
      </x:c>
      <x:c r="N51" s="3" t="str">
        <x:v>Viewport 1280×900 CSS px; fixture có tên/tiêu đề dài và tiếng Việt.</x:v>
      </x:c>
      <x:c r="O51" s="3" t="str">
        <x:v>1. Mở /vi/programmes/thac-si; viewport 1280×900 CSS px, zoom100%
2. Cuộn hết trang và mở tương tác chính
3. Đo scrollWidth so clientWidth và chụp màn hình</x:v>
      </x:c>
      <x:c r="P51" s="3" t="str">
        <x:v>Không tràn ngang toàn trang; chữ/nút không chồng hoặc bị cắt; nội dung/ảnh không mất; bảng rộng cuộn trong vùng bảng. Menu và CTA chính thao tác được.</x:v>
      </x:c>
      <x:c r="Q51" s="11" t="str"/>
      <x:c r="R51" s="8" t="str">
        <x:v>NOT RUN</x:v>
      </x:c>
      <x:c r="S51" s="11" t="str">
        <x:v>QA/UAT — cần điền URL/build</x:v>
      </x:c>
      <x:c r="T51" s="11" t="str">
        <x:v>Cần điền phiên bản thực</x:v>
      </x:c>
      <x:c r="U51" s="11" t="str"/>
      <x:c r="V51" s="12" t="str"/>
      <x:c r="W51" s="11" t="str"/>
      <x:c r="X51" s="11" t="str"/>
      <x:c r="Y51" s="3" t="str">
        <x:v>Nguồn: frontend/src/app; admin/src/app/styles.css. Đánh giá khả dụng theo yêu cầu người dùng; ngưỡng WCAG chính thức vẫn cần phê duyệt.</x:v>
      </x:c>
    </x:row>
    <x:row r="52" ht="49" customHeight="1">
      <x:c r="A52" s="3" t="n">
        <x:v>51</x:v>
      </x:c>
      <x:c r="B52" s="3" t="str">
        <x:v>TC_UI_039</x:v>
      </x:c>
      <x:c r="C52" s="3" t="str">
        <x:v>UI</x:v>
      </x:c>
      <x:c r="D52" s="3" t="str">
        <x:v>Responsive Thạc sĩ</x:v>
      </x:c>
      <x:c r="E52" s="3" t="str">
        <x:v>Responsive Thạc sĩ</x:v>
      </x:c>
      <x:c r="F52" s="3" t="str">
        <x:v>Responsive — Thạc sĩ tại 1440px</x:v>
      </x:c>
      <x:c r="G52" s="3" t="str">
        <x:v>Thạc sĩ tại 1440px</x:v>
      </x:c>
      <x:c r="H52" s="3" t="str">
        <x:v>NFR-003</x:v>
      </x:c>
      <x:c r="I52" s="3" t="str">
        <x:v>Khách truy cập</x:v>
      </x:c>
      <x:c r="J52" s="3" t="str">
        <x:v>Responsive</x:v>
      </x:c>
      <x:c r="K52" s="3" t="str">
        <x:v>Medium</x:v>
      </x:c>
      <x:c r="L52" s="3" t="str">
        <x:v>Medium</x:v>
      </x:c>
      <x:c r="M52" s="3" t="str">
        <x:v>QA/UAT public sẵn sàng; không cần đăng nhập; demo=false cho case tích hợp CMS/public. Ghi viewport, OS và browser thực.</x:v>
      </x:c>
      <x:c r="N52" s="3" t="str">
        <x:v>Viewport 1440×900 CSS px; fixture có tên/tiêu đề dài và tiếng Việt.</x:v>
      </x:c>
      <x:c r="O52" s="3" t="str">
        <x:v>1. Mở /vi/programmes/thac-si; viewport 1440×900 CSS px, zoom100%
2. Cuộn hết trang và mở tương tác chính
3. Đo scrollWidth so clientWidth và chụp màn hình</x:v>
      </x:c>
      <x:c r="P52" s="3" t="str">
        <x:v>Không tràn ngang toàn trang; chữ/nút không chồng hoặc bị cắt; nội dung/ảnh không mất; bảng rộng cuộn trong vùng bảng. Menu và CTA chính thao tác được.</x:v>
      </x:c>
      <x:c r="Q52" s="11" t="str"/>
      <x:c r="R52" s="8" t="str">
        <x:v>NOT RUN</x:v>
      </x:c>
      <x:c r="S52" s="11" t="str">
        <x:v>QA/UAT — cần điền URL/build</x:v>
      </x:c>
      <x:c r="T52" s="11" t="str">
        <x:v>Cần điền phiên bản thực</x:v>
      </x:c>
      <x:c r="U52" s="11" t="str"/>
      <x:c r="V52" s="12" t="str"/>
      <x:c r="W52" s="11" t="str"/>
      <x:c r="X52" s="11" t="str"/>
      <x:c r="Y52" s="3" t="str">
        <x:v>Nguồn: frontend/src/app; admin/src/app/styles.css. Đánh giá khả dụng theo yêu cầu người dùng; ngưỡng WCAG chính thức vẫn cần phê duyệt.</x:v>
      </x:c>
    </x:row>
    <x:row r="53" ht="49" customHeight="1">
      <x:c r="A53" s="3" t="n">
        <x:v>52</x:v>
      </x:c>
      <x:c r="B53" s="3" t="str">
        <x:v>TC_UI_040</x:v>
      </x:c>
      <x:c r="C53" s="3" t="str">
        <x:v>UI</x:v>
      </x:c>
      <x:c r="D53" s="3" t="str">
        <x:v>Responsive Thạc sĩ</x:v>
      </x:c>
      <x:c r="E53" s="3" t="str">
        <x:v>Responsive Thạc sĩ</x:v>
      </x:c>
      <x:c r="F53" s="3" t="str">
        <x:v>Responsive — Thạc sĩ tại 1920px</x:v>
      </x:c>
      <x:c r="G53" s="3" t="str">
        <x:v>Thạc sĩ tại 1920px</x:v>
      </x:c>
      <x:c r="H53" s="3" t="str">
        <x:v>NFR-003</x:v>
      </x:c>
      <x:c r="I53" s="3" t="str">
        <x:v>Khách truy cập</x:v>
      </x:c>
      <x:c r="J53" s="3" t="str">
        <x:v>Responsive</x:v>
      </x:c>
      <x:c r="K53" s="3" t="str">
        <x:v>Medium</x:v>
      </x:c>
      <x:c r="L53" s="3" t="str">
        <x:v>Medium</x:v>
      </x:c>
      <x:c r="M53" s="3" t="str">
        <x:v>QA/UAT public sẵn sàng; không cần đăng nhập; demo=false cho case tích hợp CMS/public. Ghi viewport, OS và browser thực.</x:v>
      </x:c>
      <x:c r="N53" s="3" t="str">
        <x:v>Viewport 1920×900 CSS px; fixture có tên/tiêu đề dài và tiếng Việt.</x:v>
      </x:c>
      <x:c r="O53" s="3" t="str">
        <x:v>1. Mở /vi/programmes/thac-si; viewport 1920×900 CSS px, zoom100%
2. Cuộn hết trang và mở tương tác chính
3. Đo scrollWidth so clientWidth và chụp màn hình</x:v>
      </x:c>
      <x:c r="P53" s="3" t="str">
        <x:v>Không tràn ngang toàn trang; chữ/nút không chồng hoặc bị cắt; nội dung/ảnh không mất; bảng rộng cuộn trong vùng bảng. Menu và CTA chính thao tác được.</x:v>
      </x:c>
      <x:c r="Q53" s="11" t="str"/>
      <x:c r="R53" s="8" t="str">
        <x:v>NOT RUN</x:v>
      </x:c>
      <x:c r="S53" s="11" t="str">
        <x:v>QA/UAT — cần điền URL/build</x:v>
      </x:c>
      <x:c r="T53" s="11" t="str">
        <x:v>Cần điền phiên bản thực</x:v>
      </x:c>
      <x:c r="U53" s="11" t="str"/>
      <x:c r="V53" s="12" t="str"/>
      <x:c r="W53" s="11" t="str"/>
      <x:c r="X53" s="11" t="str"/>
      <x:c r="Y53" s="3" t="str">
        <x:v>Nguồn: frontend/src/app; admin/src/app/styles.css. Đánh giá khả dụng theo yêu cầu người dùng; ngưỡng WCAG chính thức vẫn cần phê duyệt.</x:v>
      </x:c>
    </x:row>
    <x:row r="54" ht="49" customHeight="1">
      <x:c r="A54" s="3" t="n">
        <x:v>53</x:v>
      </x:c>
      <x:c r="B54" s="3" t="str">
        <x:v>TC_I18N_014</x:v>
      </x:c>
      <x:c r="C54" s="3" t="str">
        <x:v>I18N</x:v>
      </x:c>
      <x:c r="D54" s="3" t="str">
        <x:v>Song ngữ Thạc sĩ</x:v>
      </x:c>
      <x:c r="E54" s="3" t="str">
        <x:v>Song ngữ Thạc sĩ</x:v>
      </x:c>
      <x:c r="F54" s="3" t="str">
        <x:v>Localization — Thạc sĩ: Đổi VI sang EN</x:v>
      </x:c>
      <x:c r="G54" s="3" t="str">
        <x:v>Thạc sĩ: Đổi VI sang EN</x:v>
      </x:c>
      <x:c r="H54" s="3" t="str">
        <x:v>PUB-001</x:v>
      </x:c>
      <x:c r="I54" s="3" t="str">
        <x:v>Khách truy cập</x:v>
      </x:c>
      <x:c r="J54" s="3" t="str">
        <x:v>Localization</x:v>
      </x:c>
      <x:c r="K54" s="3" t="str">
        <x:v>Medium</x:v>
      </x:c>
      <x:c r="L54" s="3" t="str">
        <x:v>Medium</x:v>
      </x:c>
      <x:c r="M54" s="3" t="str">
        <x:v>QA/UAT public sẵn sàng; không cần đăng nhập; demo=false cho case tích hợp CMS/public. Ghi viewport, OS và browser thực.</x:v>
      </x:c>
      <x:c r="N54" s="3" t="str">
        <x:v>Dữ liệu QA tổng hợp; xem fixture trong README.</x:v>
      </x:c>
      <x:c r="O54" s="3" t="str">
        <x:v>1. Mở /vi/programmes/thac-si
2. Nhấn EN
3. Refresh</x:v>
      </x:c>
      <x:c r="P54" s="3" t="str">
        <x:v>Prefix chuyển /en, giữ route tương ứng; active EN và html lang=en; refresh không trở về VI.</x:v>
      </x:c>
      <x:c r="Q54" s="11" t="str"/>
      <x:c r="R54" s="8" t="str">
        <x:v>NOT RUN</x:v>
      </x:c>
      <x:c r="S54" s="11" t="str">
        <x:v>QA/UAT — cần điền URL/build</x:v>
      </x:c>
      <x:c r="T54" s="11" t="str">
        <x:v>Cần điền phiên bản thực</x:v>
      </x:c>
      <x:c r="U54" s="11" t="str"/>
      <x:c r="V54" s="12" t="str"/>
      <x:c r="W54" s="11" t="str"/>
      <x:c r="X54" s="11" t="str"/>
      <x:c r="Y54" s="3" t="str">
        <x:v>Nguồn: frontend/src/shared/components/layout/LanguageToggle.tsx; frontend/src/messages. </x:v>
      </x:c>
    </x:row>
    <x:row r="55" ht="49" customHeight="1">
      <x:c r="A55" s="3" t="n">
        <x:v>54</x:v>
      </x:c>
      <x:c r="B55" s="3" t="str">
        <x:v>TC_I18N_015</x:v>
      </x:c>
      <x:c r="C55" s="3" t="str">
        <x:v>I18N</x:v>
      </x:c>
      <x:c r="D55" s="3" t="str">
        <x:v>Song ngữ Thạc sĩ</x:v>
      </x:c>
      <x:c r="E55" s="3" t="str">
        <x:v>Song ngữ Thạc sĩ</x:v>
      </x:c>
      <x:c r="F55" s="3" t="str">
        <x:v>Localization — Thạc sĩ: Bản dịch toàn trang</x:v>
      </x:c>
      <x:c r="G55" s="3" t="str">
        <x:v>Thạc sĩ: Bản dịch toàn trang</x:v>
      </x:c>
      <x:c r="H55" s="3" t="str">
        <x:v>PUB-001</x:v>
      </x:c>
      <x:c r="I55" s="3" t="str">
        <x:v>Khách truy cập</x:v>
      </x:c>
      <x:c r="J55" s="3" t="str">
        <x:v>Localization</x:v>
      </x:c>
      <x:c r="K55" s="3" t="str">
        <x:v>Medium</x:v>
      </x:c>
      <x:c r="L55" s="3" t="str">
        <x:v>Medium</x:v>
      </x:c>
      <x:c r="M55" s="3" t="str">
        <x:v>QA/UAT public sẵn sàng; không cần đăng nhập; demo=false cho case tích hợp CMS/public. Ghi viewport, OS và browser thực.</x:v>
      </x:c>
      <x:c r="N55" s="3" t="str">
        <x:v>Dữ liệu QA tổng hợp; xem fixture trong README.</x:v>
      </x:c>
      <x:c r="O55" s="3" t="str">
        <x:v>1. Mở /en/programmes/thac-si
2. Cuộn nội dung, mở menu, submit lỗi form nếu có</x:v>
      </x:c>
      <x:c r="P55" s="3" t="str">
        <x:v>Không lộ khóa dịch hoặc lẫn tiếng Việt trong nội dung thuộc phạm vi dịch; ngày/số/validation đúng locale.</x:v>
      </x:c>
      <x:c r="Q55" s="11" t="str"/>
      <x:c r="R55" s="9" t="str">
        <x:v>NEED CONFIRMATION</x:v>
      </x:c>
      <x:c r="S55" s="11" t="str">
        <x:v>QA/UAT — cần điền URL/build</x:v>
      </x:c>
      <x:c r="T55" s="11" t="str">
        <x:v>Cần điền phiên bản thực</x:v>
      </x:c>
      <x:c r="U55" s="11" t="str"/>
      <x:c r="V55" s="12" t="str"/>
      <x:c r="W55" s="11" t="str"/>
      <x:c r="X55" s="11" t="str"/>
      <x:c r="Y55" s="3" t="str">
        <x:v>Nguồn: frontend/src/shared/components/layout/LanguageToggle.tsx; frontend/src/messages. Need Confirmation: Chốt phạm vi dịch nội dung tĩnh và dữ liệu CMS.</x:v>
      </x:c>
    </x:row>
    <x:row r="56" ht="49" customHeight="1">
      <x:c r="A56" s="3" t="n">
        <x:v>55</x:v>
      </x:c>
      <x:c r="B56" s="3" t="str">
        <x:v>TC_I18N_016</x:v>
      </x:c>
      <x:c r="C56" s="3" t="str">
        <x:v>I18N</x:v>
      </x:c>
      <x:c r="D56" s="3" t="str">
        <x:v>Song ngữ Thạc sĩ</x:v>
      </x:c>
      <x:c r="E56" s="3" t="str">
        <x:v>Song ngữ Thạc sĩ</x:v>
      </x:c>
      <x:c r="F56" s="3" t="str">
        <x:v>Localization — Thạc sĩ: Back sau đổi locale</x:v>
      </x:c>
      <x:c r="G56" s="3" t="str">
        <x:v>Thạc sĩ: Back sau đổi locale</x:v>
      </x:c>
      <x:c r="H56" s="3" t="str">
        <x:v>PUB-001</x:v>
      </x:c>
      <x:c r="I56" s="3" t="str">
        <x:v>Khách truy cập</x:v>
      </x:c>
      <x:c r="J56" s="3" t="str">
        <x:v>Localization</x:v>
      </x:c>
      <x:c r="K56" s="3" t="str">
        <x:v>Medium</x:v>
      </x:c>
      <x:c r="L56" s="3" t="str">
        <x:v>Medium</x:v>
      </x:c>
      <x:c r="M56" s="3" t="str">
        <x:v>QA/UAT public sẵn sàng; không cần đăng nhập; demo=false cho case tích hợp CMS/public. Ghi viewport, OS và browser thực.</x:v>
      </x:c>
      <x:c r="N56" s="3" t="str">
        <x:v>Dữ liệu QA tổng hợp; xem fixture trong README.</x:v>
      </x:c>
      <x:c r="O56" s="3" t="str">
        <x:v>1. Mở /vi/programmes/thac-si
2. Nhấn EN rồi Back</x:v>
      </x:c>
      <x:c r="P56" s="3" t="str">
        <x:v>Back quay đúng trang VI trước đó; UI và URL locale đồng bộ.</x:v>
      </x:c>
      <x:c r="Q56" s="11" t="str"/>
      <x:c r="R56" s="8" t="str">
        <x:v>NOT RUN</x:v>
      </x:c>
      <x:c r="S56" s="11" t="str">
        <x:v>QA/UAT — cần điền URL/build</x:v>
      </x:c>
      <x:c r="T56" s="11" t="str">
        <x:v>Cần điền phiên bản thực</x:v>
      </x:c>
      <x:c r="U56" s="11" t="str"/>
      <x:c r="V56" s="12" t="str"/>
      <x:c r="W56" s="11" t="str"/>
      <x:c r="X56" s="11" t="str"/>
      <x:c r="Y56" s="3" t="str">
        <x:v>Nguồn: frontend/src/shared/components/layout/LanguageToggle.tsx; frontend/src/messages. </x:v>
      </x:c>
    </x:row>
    <x:row r="57" ht="49" customHeight="1">
      <x:c r="A57" s="3" t="n">
        <x:v>56</x:v>
      </x:c>
      <x:c r="B57" s="3" t="str">
        <x:v>TC_UI_041</x:v>
      </x:c>
      <x:c r="C57" s="3" t="str">
        <x:v>UI</x:v>
      </x:c>
      <x:c r="D57" s="3" t="str">
        <x:v>Responsive Tuyển sinh</x:v>
      </x:c>
      <x:c r="E57" s="3" t="str">
        <x:v>Responsive Tuyển sinh</x:v>
      </x:c>
      <x:c r="F57" s="3" t="str">
        <x:v>Responsive — Tuyển sinh tại 320px</x:v>
      </x:c>
      <x:c r="G57" s="3" t="str">
        <x:v>Tuyển sinh tại 320px</x:v>
      </x:c>
      <x:c r="H57" s="3" t="str">
        <x:v>NFR-003</x:v>
      </x:c>
      <x:c r="I57" s="3" t="str">
        <x:v>Khách truy cập</x:v>
      </x:c>
      <x:c r="J57" s="3" t="str">
        <x:v>Responsive</x:v>
      </x:c>
      <x:c r="K57" s="3" t="str">
        <x:v>High</x:v>
      </x:c>
      <x:c r="L57" s="3" t="str">
        <x:v>High</x:v>
      </x:c>
      <x:c r="M57" s="3" t="str">
        <x:v>QA/UAT public sẵn sàng; không cần đăng nhập; demo=false cho case tích hợp CMS/public. Ghi viewport, OS và browser thực.</x:v>
      </x:c>
      <x:c r="N57" s="3" t="str">
        <x:v>Viewport 320×900 CSS px; fixture có tên/tiêu đề dài và tiếng Việt.</x:v>
      </x:c>
      <x:c r="O57" s="3" t="str">
        <x:v>1. Mở /vi/admissions; viewport 320×900 CSS px, zoom100%
2. Cuộn hết trang và mở tương tác chính
3. Đo scrollWidth so clientWidth và chụp màn hình</x:v>
      </x:c>
      <x:c r="P57" s="3" t="str">
        <x:v>Không tràn ngang toàn trang; chữ/nút không chồng hoặc bị cắt; nội dung/ảnh không mất; bảng rộng cuộn trong vùng bảng. Menu và CTA chính thao tác được.</x:v>
      </x:c>
      <x:c r="Q57" s="11" t="str"/>
      <x:c r="R57" s="8" t="str">
        <x:v>NOT RUN</x:v>
      </x:c>
      <x:c r="S57" s="11" t="str">
        <x:v>QA/UAT — cần điền URL/build</x:v>
      </x:c>
      <x:c r="T57" s="11" t="str">
        <x:v>Cần điền phiên bản thực</x:v>
      </x:c>
      <x:c r="U57" s="11" t="str"/>
      <x:c r="V57" s="12" t="str"/>
      <x:c r="W57" s="11" t="str"/>
      <x:c r="X57" s="11" t="str"/>
      <x:c r="Y57" s="3" t="str">
        <x:v>Nguồn: frontend/src/app; admin/src/app/styles.css. Đánh giá khả dụng theo yêu cầu người dùng; ngưỡng WCAG chính thức vẫn cần phê duyệt.</x:v>
      </x:c>
    </x:row>
    <x:row r="58" ht="49" customHeight="1">
      <x:c r="A58" s="3" t="n">
        <x:v>57</x:v>
      </x:c>
      <x:c r="B58" s="3" t="str">
        <x:v>TC_UI_042</x:v>
      </x:c>
      <x:c r="C58" s="3" t="str">
        <x:v>UI</x:v>
      </x:c>
      <x:c r="D58" s="3" t="str">
        <x:v>Responsive Tuyển sinh</x:v>
      </x:c>
      <x:c r="E58" s="3" t="str">
        <x:v>Responsive Tuyển sinh</x:v>
      </x:c>
      <x:c r="F58" s="3" t="str">
        <x:v>Responsive — Tuyển sinh tại 375px</x:v>
      </x:c>
      <x:c r="G58" s="3" t="str">
        <x:v>Tuyển sinh tại 375px</x:v>
      </x:c>
      <x:c r="H58" s="3" t="str">
        <x:v>NFR-003</x:v>
      </x:c>
      <x:c r="I58" s="3" t="str">
        <x:v>Khách truy cập</x:v>
      </x:c>
      <x:c r="J58" s="3" t="str">
        <x:v>Responsive</x:v>
      </x:c>
      <x:c r="K58" s="3" t="str">
        <x:v>Medium</x:v>
      </x:c>
      <x:c r="L58" s="3" t="str">
        <x:v>Medium</x:v>
      </x:c>
      <x:c r="M58" s="3" t="str">
        <x:v>QA/UAT public sẵn sàng; không cần đăng nhập; demo=false cho case tích hợp CMS/public. Ghi viewport, OS và browser thực.</x:v>
      </x:c>
      <x:c r="N58" s="3" t="str">
        <x:v>Viewport 375×900 CSS px; fixture có tên/tiêu đề dài và tiếng Việt.</x:v>
      </x:c>
      <x:c r="O58" s="3" t="str">
        <x:v>1. Mở /vi/admissions; viewport 375×900 CSS px, zoom100%
2. Cuộn hết trang và mở tương tác chính
3. Đo scrollWidth so clientWidth và chụp màn hình</x:v>
      </x:c>
      <x:c r="P58" s="3" t="str">
        <x:v>Không tràn ngang toàn trang; chữ/nút không chồng hoặc bị cắt; nội dung/ảnh không mất; bảng rộng cuộn trong vùng bảng. Menu và CTA chính thao tác được.</x:v>
      </x:c>
      <x:c r="Q58" s="11" t="str"/>
      <x:c r="R58" s="8" t="str">
        <x:v>NOT RUN</x:v>
      </x:c>
      <x:c r="S58" s="11" t="str">
        <x:v>QA/UAT — cần điền URL/build</x:v>
      </x:c>
      <x:c r="T58" s="11" t="str">
        <x:v>Cần điền phiên bản thực</x:v>
      </x:c>
      <x:c r="U58" s="11" t="str"/>
      <x:c r="V58" s="12" t="str"/>
      <x:c r="W58" s="11" t="str"/>
      <x:c r="X58" s="11" t="str"/>
      <x:c r="Y58" s="3" t="str">
        <x:v>Nguồn: frontend/src/app; admin/src/app/styles.css. Đánh giá khả dụng theo yêu cầu người dùng; ngưỡng WCAG chính thức vẫn cần phê duyệt.</x:v>
      </x:c>
    </x:row>
    <x:row r="59" ht="49" customHeight="1">
      <x:c r="A59" s="3" t="n">
        <x:v>58</x:v>
      </x:c>
      <x:c r="B59" s="3" t="str">
        <x:v>TC_UI_043</x:v>
      </x:c>
      <x:c r="C59" s="3" t="str">
        <x:v>UI</x:v>
      </x:c>
      <x:c r="D59" s="3" t="str">
        <x:v>Responsive Tuyển sinh</x:v>
      </x:c>
      <x:c r="E59" s="3" t="str">
        <x:v>Responsive Tuyển sinh</x:v>
      </x:c>
      <x:c r="F59" s="3" t="str">
        <x:v>Responsive — Tuyển sinh tại 390px</x:v>
      </x:c>
      <x:c r="G59" s="3" t="str">
        <x:v>Tuyển sinh tại 390px</x:v>
      </x:c>
      <x:c r="H59" s="3" t="str">
        <x:v>NFR-003</x:v>
      </x:c>
      <x:c r="I59" s="3" t="str">
        <x:v>Khách truy cập</x:v>
      </x:c>
      <x:c r="J59" s="3" t="str">
        <x:v>Responsive</x:v>
      </x:c>
      <x:c r="K59" s="3" t="str">
        <x:v>Medium</x:v>
      </x:c>
      <x:c r="L59" s="3" t="str">
        <x:v>Medium</x:v>
      </x:c>
      <x:c r="M59" s="3" t="str">
        <x:v>QA/UAT public sẵn sàng; không cần đăng nhập; demo=false cho case tích hợp CMS/public. Ghi viewport, OS và browser thực.</x:v>
      </x:c>
      <x:c r="N59" s="3" t="str">
        <x:v>Viewport 390×900 CSS px; fixture có tên/tiêu đề dài và tiếng Việt.</x:v>
      </x:c>
      <x:c r="O59" s="3" t="str">
        <x:v>1. Mở /vi/admissions; viewport 390×900 CSS px, zoom100%
2. Cuộn hết trang và mở tương tác chính
3. Đo scrollWidth so clientWidth và chụp màn hình</x:v>
      </x:c>
      <x:c r="P59" s="3" t="str">
        <x:v>Không tràn ngang toàn trang; chữ/nút không chồng hoặc bị cắt; nội dung/ảnh không mất; bảng rộng cuộn trong vùng bảng. Menu và CTA chính thao tác được.</x:v>
      </x:c>
      <x:c r="Q59" s="11" t="str"/>
      <x:c r="R59" s="8" t="str">
        <x:v>NOT RUN</x:v>
      </x:c>
      <x:c r="S59" s="11" t="str">
        <x:v>QA/UAT — cần điền URL/build</x:v>
      </x:c>
      <x:c r="T59" s="11" t="str">
        <x:v>Cần điền phiên bản thực</x:v>
      </x:c>
      <x:c r="U59" s="11" t="str"/>
      <x:c r="V59" s="12" t="str"/>
      <x:c r="W59" s="11" t="str"/>
      <x:c r="X59" s="11" t="str"/>
      <x:c r="Y59" s="3" t="str">
        <x:v>Nguồn: frontend/src/app; admin/src/app/styles.css. Đánh giá khả dụng theo yêu cầu người dùng; ngưỡng WCAG chính thức vẫn cần phê duyệt.</x:v>
      </x:c>
    </x:row>
    <x:row r="60" ht="49" customHeight="1">
      <x:c r="A60" s="3" t="n">
        <x:v>59</x:v>
      </x:c>
      <x:c r="B60" s="3" t="str">
        <x:v>TC_UI_044</x:v>
      </x:c>
      <x:c r="C60" s="3" t="str">
        <x:v>UI</x:v>
      </x:c>
      <x:c r="D60" s="3" t="str">
        <x:v>Responsive Tuyển sinh</x:v>
      </x:c>
      <x:c r="E60" s="3" t="str">
        <x:v>Responsive Tuyển sinh</x:v>
      </x:c>
      <x:c r="F60" s="3" t="str">
        <x:v>Responsive — Tuyển sinh tại 768px</x:v>
      </x:c>
      <x:c r="G60" s="3" t="str">
        <x:v>Tuyển sinh tại 768px</x:v>
      </x:c>
      <x:c r="H60" s="3" t="str">
        <x:v>NFR-003</x:v>
      </x:c>
      <x:c r="I60" s="3" t="str">
        <x:v>Khách truy cập</x:v>
      </x:c>
      <x:c r="J60" s="3" t="str">
        <x:v>Responsive</x:v>
      </x:c>
      <x:c r="K60" s="3" t="str">
        <x:v>Medium</x:v>
      </x:c>
      <x:c r="L60" s="3" t="str">
        <x:v>Medium</x:v>
      </x:c>
      <x:c r="M60" s="3" t="str">
        <x:v>QA/UAT public sẵn sàng; không cần đăng nhập; demo=false cho case tích hợp CMS/public. Ghi viewport, OS và browser thực.</x:v>
      </x:c>
      <x:c r="N60" s="3" t="str">
        <x:v>Viewport 768×900 CSS px; fixture có tên/tiêu đề dài và tiếng Việt.</x:v>
      </x:c>
      <x:c r="O60" s="3" t="str">
        <x:v>1. Mở /vi/admissions; viewport 768×900 CSS px, zoom100%
2. Cuộn hết trang và mở tương tác chính
3. Đo scrollWidth so clientWidth và chụp màn hình</x:v>
      </x:c>
      <x:c r="P60" s="3" t="str">
        <x:v>Không tràn ngang toàn trang; chữ/nút không chồng hoặc bị cắt; nội dung/ảnh không mất; bảng rộng cuộn trong vùng bảng. Menu và CTA chính thao tác được.</x:v>
      </x:c>
      <x:c r="Q60" s="11" t="str"/>
      <x:c r="R60" s="8" t="str">
        <x:v>NOT RUN</x:v>
      </x:c>
      <x:c r="S60" s="11" t="str">
        <x:v>QA/UAT — cần điền URL/build</x:v>
      </x:c>
      <x:c r="T60" s="11" t="str">
        <x:v>Cần điền phiên bản thực</x:v>
      </x:c>
      <x:c r="U60" s="11" t="str"/>
      <x:c r="V60" s="12" t="str"/>
      <x:c r="W60" s="11" t="str"/>
      <x:c r="X60" s="11" t="str"/>
      <x:c r="Y60" s="3" t="str">
        <x:v>Nguồn: frontend/src/app; admin/src/app/styles.css. Đánh giá khả dụng theo yêu cầu người dùng; ngưỡng WCAG chính thức vẫn cần phê duyệt.</x:v>
      </x:c>
    </x:row>
    <x:row r="61" ht="49" customHeight="1">
      <x:c r="A61" s="3" t="n">
        <x:v>60</x:v>
      </x:c>
      <x:c r="B61" s="3" t="str">
        <x:v>TC_UI_045</x:v>
      </x:c>
      <x:c r="C61" s="3" t="str">
        <x:v>UI</x:v>
      </x:c>
      <x:c r="D61" s="3" t="str">
        <x:v>Responsive Tuyển sinh</x:v>
      </x:c>
      <x:c r="E61" s="3" t="str">
        <x:v>Responsive Tuyển sinh</x:v>
      </x:c>
      <x:c r="F61" s="3" t="str">
        <x:v>Responsive — Tuyển sinh tại 1024px</x:v>
      </x:c>
      <x:c r="G61" s="3" t="str">
        <x:v>Tuyển sinh tại 1024px</x:v>
      </x:c>
      <x:c r="H61" s="3" t="str">
        <x:v>NFR-003</x:v>
      </x:c>
      <x:c r="I61" s="3" t="str">
        <x:v>Khách truy cập</x:v>
      </x:c>
      <x:c r="J61" s="3" t="str">
        <x:v>Responsive</x:v>
      </x:c>
      <x:c r="K61" s="3" t="str">
        <x:v>Medium</x:v>
      </x:c>
      <x:c r="L61" s="3" t="str">
        <x:v>Medium</x:v>
      </x:c>
      <x:c r="M61" s="3" t="str">
        <x:v>QA/UAT public sẵn sàng; không cần đăng nhập; demo=false cho case tích hợp CMS/public. Ghi viewport, OS và browser thực.</x:v>
      </x:c>
      <x:c r="N61" s="3" t="str">
        <x:v>Viewport 1024×900 CSS px; fixture có tên/tiêu đề dài và tiếng Việt.</x:v>
      </x:c>
      <x:c r="O61" s="3" t="str">
        <x:v>1. Mở /vi/admissions; viewport 1024×900 CSS px, zoom100%
2. Cuộn hết trang và mở tương tác chính
3. Đo scrollWidth so clientWidth và chụp màn hình</x:v>
      </x:c>
      <x:c r="P61" s="3" t="str">
        <x:v>Không tràn ngang toàn trang; chữ/nút không chồng hoặc bị cắt; nội dung/ảnh không mất; bảng rộng cuộn trong vùng bảng. Menu và CTA chính thao tác được.</x:v>
      </x:c>
      <x:c r="Q61" s="11" t="str"/>
      <x:c r="R61" s="8" t="str">
        <x:v>NOT RUN</x:v>
      </x:c>
      <x:c r="S61" s="11" t="str">
        <x:v>QA/UAT — cần điền URL/build</x:v>
      </x:c>
      <x:c r="T61" s="11" t="str">
        <x:v>Cần điền phiên bản thực</x:v>
      </x:c>
      <x:c r="U61" s="11" t="str"/>
      <x:c r="V61" s="12" t="str"/>
      <x:c r="W61" s="11" t="str"/>
      <x:c r="X61" s="11" t="str"/>
      <x:c r="Y61" s="3" t="str">
        <x:v>Nguồn: frontend/src/app; admin/src/app/styles.css. Đánh giá khả dụng theo yêu cầu người dùng; ngưỡng WCAG chính thức vẫn cần phê duyệt.</x:v>
      </x:c>
    </x:row>
    <x:row r="62" ht="49" customHeight="1">
      <x:c r="A62" s="3" t="n">
        <x:v>61</x:v>
      </x:c>
      <x:c r="B62" s="3" t="str">
        <x:v>TC_UI_046</x:v>
      </x:c>
      <x:c r="C62" s="3" t="str">
        <x:v>UI</x:v>
      </x:c>
      <x:c r="D62" s="3" t="str">
        <x:v>Responsive Tuyển sinh</x:v>
      </x:c>
      <x:c r="E62" s="3" t="str">
        <x:v>Responsive Tuyển sinh</x:v>
      </x:c>
      <x:c r="F62" s="3" t="str">
        <x:v>Responsive — Tuyển sinh tại 1280px</x:v>
      </x:c>
      <x:c r="G62" s="3" t="str">
        <x:v>Tuyển sinh tại 1280px</x:v>
      </x:c>
      <x:c r="H62" s="3" t="str">
        <x:v>NFR-003</x:v>
      </x:c>
      <x:c r="I62" s="3" t="str">
        <x:v>Khách truy cập</x:v>
      </x:c>
      <x:c r="J62" s="3" t="str">
        <x:v>Responsive</x:v>
      </x:c>
      <x:c r="K62" s="3" t="str">
        <x:v>Medium</x:v>
      </x:c>
      <x:c r="L62" s="3" t="str">
        <x:v>Medium</x:v>
      </x:c>
      <x:c r="M62" s="3" t="str">
        <x:v>QA/UAT public sẵn sàng; không cần đăng nhập; demo=false cho case tích hợp CMS/public. Ghi viewport, OS và browser thực.</x:v>
      </x:c>
      <x:c r="N62" s="3" t="str">
        <x:v>Viewport 1280×900 CSS px; fixture có tên/tiêu đề dài và tiếng Việt.</x:v>
      </x:c>
      <x:c r="O62" s="3" t="str">
        <x:v>1. Mở /vi/admissions; viewport 1280×900 CSS px, zoom100%
2. Cuộn hết trang và mở tương tác chính
3. Đo scrollWidth so clientWidth và chụp màn hình</x:v>
      </x:c>
      <x:c r="P62" s="3" t="str">
        <x:v>Không tràn ngang toàn trang; chữ/nút không chồng hoặc bị cắt; nội dung/ảnh không mất; bảng rộng cuộn trong vùng bảng. Menu và CTA chính thao tác được.</x:v>
      </x:c>
      <x:c r="Q62" s="11" t="str"/>
      <x:c r="R62" s="8" t="str">
        <x:v>NOT RUN</x:v>
      </x:c>
      <x:c r="S62" s="11" t="str">
        <x:v>QA/UAT — cần điền URL/build</x:v>
      </x:c>
      <x:c r="T62" s="11" t="str">
        <x:v>Cần điền phiên bản thực</x:v>
      </x:c>
      <x:c r="U62" s="11" t="str"/>
      <x:c r="V62" s="12" t="str"/>
      <x:c r="W62" s="11" t="str"/>
      <x:c r="X62" s="11" t="str"/>
      <x:c r="Y62" s="3" t="str">
        <x:v>Nguồn: frontend/src/app; admin/src/app/styles.css. Đánh giá khả dụng theo yêu cầu người dùng; ngưỡng WCAG chính thức vẫn cần phê duyệt.</x:v>
      </x:c>
    </x:row>
    <x:row r="63" ht="49" customHeight="1">
      <x:c r="A63" s="3" t="n">
        <x:v>62</x:v>
      </x:c>
      <x:c r="B63" s="3" t="str">
        <x:v>TC_UI_047</x:v>
      </x:c>
      <x:c r="C63" s="3" t="str">
        <x:v>UI</x:v>
      </x:c>
      <x:c r="D63" s="3" t="str">
        <x:v>Responsive Tuyển sinh</x:v>
      </x:c>
      <x:c r="E63" s="3" t="str">
        <x:v>Responsive Tuyển sinh</x:v>
      </x:c>
      <x:c r="F63" s="3" t="str">
        <x:v>Responsive — Tuyển sinh tại 1440px</x:v>
      </x:c>
      <x:c r="G63" s="3" t="str">
        <x:v>Tuyển sinh tại 1440px</x:v>
      </x:c>
      <x:c r="H63" s="3" t="str">
        <x:v>NFR-003</x:v>
      </x:c>
      <x:c r="I63" s="3" t="str">
        <x:v>Khách truy cập</x:v>
      </x:c>
      <x:c r="J63" s="3" t="str">
        <x:v>Responsive</x:v>
      </x:c>
      <x:c r="K63" s="3" t="str">
        <x:v>Medium</x:v>
      </x:c>
      <x:c r="L63" s="3" t="str">
        <x:v>Medium</x:v>
      </x:c>
      <x:c r="M63" s="3" t="str">
        <x:v>QA/UAT public sẵn sàng; không cần đăng nhập; demo=false cho case tích hợp CMS/public. Ghi viewport, OS và browser thực.</x:v>
      </x:c>
      <x:c r="N63" s="3" t="str">
        <x:v>Viewport 1440×900 CSS px; fixture có tên/tiêu đề dài và tiếng Việt.</x:v>
      </x:c>
      <x:c r="O63" s="3" t="str">
        <x:v>1. Mở /vi/admissions; viewport 1440×900 CSS px, zoom100%
2. Cuộn hết trang và mở tương tác chính
3. Đo scrollWidth so clientWidth và chụp màn hình</x:v>
      </x:c>
      <x:c r="P63" s="3" t="str">
        <x:v>Không tràn ngang toàn trang; chữ/nút không chồng hoặc bị cắt; nội dung/ảnh không mất; bảng rộng cuộn trong vùng bảng. Menu và CTA chính thao tác được.</x:v>
      </x:c>
      <x:c r="Q63" s="11" t="str"/>
      <x:c r="R63" s="8" t="str">
        <x:v>NOT RUN</x:v>
      </x:c>
      <x:c r="S63" s="11" t="str">
        <x:v>QA/UAT — cần điền URL/build</x:v>
      </x:c>
      <x:c r="T63" s="11" t="str">
        <x:v>Cần điền phiên bản thực</x:v>
      </x:c>
      <x:c r="U63" s="11" t="str"/>
      <x:c r="V63" s="12" t="str"/>
      <x:c r="W63" s="11" t="str"/>
      <x:c r="X63" s="11" t="str"/>
      <x:c r="Y63" s="3" t="str">
        <x:v>Nguồn: frontend/src/app; admin/src/app/styles.css. Đánh giá khả dụng theo yêu cầu người dùng; ngưỡng WCAG chính thức vẫn cần phê duyệt.</x:v>
      </x:c>
    </x:row>
    <x:row r="64" ht="49" customHeight="1">
      <x:c r="A64" s="3" t="n">
        <x:v>63</x:v>
      </x:c>
      <x:c r="B64" s="3" t="str">
        <x:v>TC_UI_048</x:v>
      </x:c>
      <x:c r="C64" s="3" t="str">
        <x:v>UI</x:v>
      </x:c>
      <x:c r="D64" s="3" t="str">
        <x:v>Responsive Tuyển sinh</x:v>
      </x:c>
      <x:c r="E64" s="3" t="str">
        <x:v>Responsive Tuyển sinh</x:v>
      </x:c>
      <x:c r="F64" s="3" t="str">
        <x:v>Responsive — Tuyển sinh tại 1920px</x:v>
      </x:c>
      <x:c r="G64" s="3" t="str">
        <x:v>Tuyển sinh tại 1920px</x:v>
      </x:c>
      <x:c r="H64" s="3" t="str">
        <x:v>NFR-003</x:v>
      </x:c>
      <x:c r="I64" s="3" t="str">
        <x:v>Khách truy cập</x:v>
      </x:c>
      <x:c r="J64" s="3" t="str">
        <x:v>Responsive</x:v>
      </x:c>
      <x:c r="K64" s="3" t="str">
        <x:v>Medium</x:v>
      </x:c>
      <x:c r="L64" s="3" t="str">
        <x:v>Medium</x:v>
      </x:c>
      <x:c r="M64" s="3" t="str">
        <x:v>QA/UAT public sẵn sàng; không cần đăng nhập; demo=false cho case tích hợp CMS/public. Ghi viewport, OS và browser thực.</x:v>
      </x:c>
      <x:c r="N64" s="3" t="str">
        <x:v>Viewport 1920×900 CSS px; fixture có tên/tiêu đề dài và tiếng Việt.</x:v>
      </x:c>
      <x:c r="O64" s="3" t="str">
        <x:v>1. Mở /vi/admissions; viewport 1920×900 CSS px, zoom100%
2. Cuộn hết trang và mở tương tác chính
3. Đo scrollWidth so clientWidth và chụp màn hình</x:v>
      </x:c>
      <x:c r="P64" s="3" t="str">
        <x:v>Không tràn ngang toàn trang; chữ/nút không chồng hoặc bị cắt; nội dung/ảnh không mất; bảng rộng cuộn trong vùng bảng. Menu và CTA chính thao tác được.</x:v>
      </x:c>
      <x:c r="Q64" s="11" t="str"/>
      <x:c r="R64" s="8" t="str">
        <x:v>NOT RUN</x:v>
      </x:c>
      <x:c r="S64" s="11" t="str">
        <x:v>QA/UAT — cần điền URL/build</x:v>
      </x:c>
      <x:c r="T64" s="11" t="str">
        <x:v>Cần điền phiên bản thực</x:v>
      </x:c>
      <x:c r="U64" s="11" t="str"/>
      <x:c r="V64" s="12" t="str"/>
      <x:c r="W64" s="11" t="str"/>
      <x:c r="X64" s="11" t="str"/>
      <x:c r="Y64" s="3" t="str">
        <x:v>Nguồn: frontend/src/app; admin/src/app/styles.css. Đánh giá khả dụng theo yêu cầu người dùng; ngưỡng WCAG chính thức vẫn cần phê duyệt.</x:v>
      </x:c>
    </x:row>
    <x:row r="65" ht="49" customHeight="1">
      <x:c r="A65" s="3" t="n">
        <x:v>64</x:v>
      </x:c>
      <x:c r="B65" s="3" t="str">
        <x:v>TC_I18N_017</x:v>
      </x:c>
      <x:c r="C65" s="3" t="str">
        <x:v>I18N</x:v>
      </x:c>
      <x:c r="D65" s="3" t="str">
        <x:v>Song ngữ Tuyển sinh</x:v>
      </x:c>
      <x:c r="E65" s="3" t="str">
        <x:v>Song ngữ Tuyển sinh</x:v>
      </x:c>
      <x:c r="F65" s="3" t="str">
        <x:v>Localization — Tuyển sinh: Đổi VI sang EN</x:v>
      </x:c>
      <x:c r="G65" s="3" t="str">
        <x:v>Tuyển sinh: Đổi VI sang EN</x:v>
      </x:c>
      <x:c r="H65" s="3" t="str">
        <x:v>PUB-001</x:v>
      </x:c>
      <x:c r="I65" s="3" t="str">
        <x:v>Khách truy cập</x:v>
      </x:c>
      <x:c r="J65" s="3" t="str">
        <x:v>Localization</x:v>
      </x:c>
      <x:c r="K65" s="3" t="str">
        <x:v>Medium</x:v>
      </x:c>
      <x:c r="L65" s="3" t="str">
        <x:v>Medium</x:v>
      </x:c>
      <x:c r="M65" s="3" t="str">
        <x:v>QA/UAT public sẵn sàng; không cần đăng nhập; demo=false cho case tích hợp CMS/public. Ghi viewport, OS và browser thực.</x:v>
      </x:c>
      <x:c r="N65" s="3" t="str">
        <x:v>Dữ liệu QA tổng hợp; xem fixture trong README.</x:v>
      </x:c>
      <x:c r="O65" s="3" t="str">
        <x:v>1. Mở /vi/admissions
2. Nhấn EN
3. Refresh</x:v>
      </x:c>
      <x:c r="P65" s="3" t="str">
        <x:v>Prefix chuyển /en, giữ route tương ứng; active EN và html lang=en; refresh không trở về VI.</x:v>
      </x:c>
      <x:c r="Q65" s="11" t="str"/>
      <x:c r="R65" s="8" t="str">
        <x:v>NOT RUN</x:v>
      </x:c>
      <x:c r="S65" s="11" t="str">
        <x:v>QA/UAT — cần điền URL/build</x:v>
      </x:c>
      <x:c r="T65" s="11" t="str">
        <x:v>Cần điền phiên bản thực</x:v>
      </x:c>
      <x:c r="U65" s="11" t="str"/>
      <x:c r="V65" s="12" t="str"/>
      <x:c r="W65" s="11" t="str"/>
      <x:c r="X65" s="11" t="str"/>
      <x:c r="Y65" s="3" t="str">
        <x:v>Nguồn: frontend/src/shared/components/layout/LanguageToggle.tsx; frontend/src/messages. </x:v>
      </x:c>
    </x:row>
    <x:row r="66" ht="49" customHeight="1">
      <x:c r="A66" s="3" t="n">
        <x:v>65</x:v>
      </x:c>
      <x:c r="B66" s="3" t="str">
        <x:v>TC_I18N_018</x:v>
      </x:c>
      <x:c r="C66" s="3" t="str">
        <x:v>I18N</x:v>
      </x:c>
      <x:c r="D66" s="3" t="str">
        <x:v>Song ngữ Tuyển sinh</x:v>
      </x:c>
      <x:c r="E66" s="3" t="str">
        <x:v>Song ngữ Tuyển sinh</x:v>
      </x:c>
      <x:c r="F66" s="3" t="str">
        <x:v>Localization — Tuyển sinh: Bản dịch toàn trang</x:v>
      </x:c>
      <x:c r="G66" s="3" t="str">
        <x:v>Tuyển sinh: Bản dịch toàn trang</x:v>
      </x:c>
      <x:c r="H66" s="3" t="str">
        <x:v>PUB-001</x:v>
      </x:c>
      <x:c r="I66" s="3" t="str">
        <x:v>Khách truy cập</x:v>
      </x:c>
      <x:c r="J66" s="3" t="str">
        <x:v>Localization</x:v>
      </x:c>
      <x:c r="K66" s="3" t="str">
        <x:v>Medium</x:v>
      </x:c>
      <x:c r="L66" s="3" t="str">
        <x:v>Medium</x:v>
      </x:c>
      <x:c r="M66" s="3" t="str">
        <x:v>QA/UAT public sẵn sàng; không cần đăng nhập; demo=false cho case tích hợp CMS/public. Ghi viewport, OS và browser thực.</x:v>
      </x:c>
      <x:c r="N66" s="3" t="str">
        <x:v>Dữ liệu QA tổng hợp; xem fixture trong README.</x:v>
      </x:c>
      <x:c r="O66" s="3" t="str">
        <x:v>1. Mở /en/admissions
2. Cuộn nội dung, mở menu, submit lỗi form nếu có</x:v>
      </x:c>
      <x:c r="P66" s="3" t="str">
        <x:v>Không lộ khóa dịch hoặc lẫn tiếng Việt trong nội dung thuộc phạm vi dịch; ngày/số/validation đúng locale.</x:v>
      </x:c>
      <x:c r="Q66" s="11" t="str"/>
      <x:c r="R66" s="9" t="str">
        <x:v>NEED CONFIRMATION</x:v>
      </x:c>
      <x:c r="S66" s="11" t="str">
        <x:v>QA/UAT — cần điền URL/build</x:v>
      </x:c>
      <x:c r="T66" s="11" t="str">
        <x:v>Cần điền phiên bản thực</x:v>
      </x:c>
      <x:c r="U66" s="11" t="str"/>
      <x:c r="V66" s="12" t="str"/>
      <x:c r="W66" s="11" t="str"/>
      <x:c r="X66" s="11" t="str"/>
      <x:c r="Y66" s="3" t="str">
        <x:v>Nguồn: frontend/src/shared/components/layout/LanguageToggle.tsx; frontend/src/messages. Need Confirmation: Chốt phạm vi dịch nội dung tĩnh và dữ liệu CMS.</x:v>
      </x:c>
    </x:row>
    <x:row r="67" ht="49" customHeight="1">
      <x:c r="A67" s="3" t="n">
        <x:v>66</x:v>
      </x:c>
      <x:c r="B67" s="3" t="str">
        <x:v>TC_I18N_019</x:v>
      </x:c>
      <x:c r="C67" s="3" t="str">
        <x:v>I18N</x:v>
      </x:c>
      <x:c r="D67" s="3" t="str">
        <x:v>Song ngữ Tuyển sinh</x:v>
      </x:c>
      <x:c r="E67" s="3" t="str">
        <x:v>Song ngữ Tuyển sinh</x:v>
      </x:c>
      <x:c r="F67" s="3" t="str">
        <x:v>Localization — Tuyển sinh: Back sau đổi locale</x:v>
      </x:c>
      <x:c r="G67" s="3" t="str">
        <x:v>Tuyển sinh: Back sau đổi locale</x:v>
      </x:c>
      <x:c r="H67" s="3" t="str">
        <x:v>PUB-001</x:v>
      </x:c>
      <x:c r="I67" s="3" t="str">
        <x:v>Khách truy cập</x:v>
      </x:c>
      <x:c r="J67" s="3" t="str">
        <x:v>Localization</x:v>
      </x:c>
      <x:c r="K67" s="3" t="str">
        <x:v>Medium</x:v>
      </x:c>
      <x:c r="L67" s="3" t="str">
        <x:v>Medium</x:v>
      </x:c>
      <x:c r="M67" s="3" t="str">
        <x:v>QA/UAT public sẵn sàng; không cần đăng nhập; demo=false cho case tích hợp CMS/public. Ghi viewport, OS và browser thực.</x:v>
      </x:c>
      <x:c r="N67" s="3" t="str">
        <x:v>Dữ liệu QA tổng hợp; xem fixture trong README.</x:v>
      </x:c>
      <x:c r="O67" s="3" t="str">
        <x:v>1. Mở /vi/admissions
2. Nhấn EN rồi Back</x:v>
      </x:c>
      <x:c r="P67" s="3" t="str">
        <x:v>Back quay đúng trang VI trước đó; UI và URL locale đồng bộ.</x:v>
      </x:c>
      <x:c r="Q67" s="11" t="str"/>
      <x:c r="R67" s="8" t="str">
        <x:v>NOT RUN</x:v>
      </x:c>
      <x:c r="S67" s="11" t="str">
        <x:v>QA/UAT — cần điền URL/build</x:v>
      </x:c>
      <x:c r="T67" s="11" t="str">
        <x:v>Cần điền phiên bản thực</x:v>
      </x:c>
      <x:c r="U67" s="11" t="str"/>
      <x:c r="V67" s="12" t="str"/>
      <x:c r="W67" s="11" t="str"/>
      <x:c r="X67" s="11" t="str"/>
      <x:c r="Y67" s="3" t="str">
        <x:v>Nguồn: frontend/src/shared/components/layout/LanguageToggle.tsx; frontend/src/messages. </x:v>
      </x:c>
    </x:row>
    <x:row r="68" ht="49" customHeight="1">
      <x:c r="A68" s="3" t="n">
        <x:v>67</x:v>
      </x:c>
      <x:c r="B68" s="3" t="str">
        <x:v>TC_UI_049</x:v>
      </x:c>
      <x:c r="C68" s="3" t="str">
        <x:v>UI</x:v>
      </x:c>
      <x:c r="D68" s="3" t="str">
        <x:v>Responsive Học bổng</x:v>
      </x:c>
      <x:c r="E68" s="3" t="str">
        <x:v>Responsive Học bổng</x:v>
      </x:c>
      <x:c r="F68" s="3" t="str">
        <x:v>Responsive — Học bổng tại 320px</x:v>
      </x:c>
      <x:c r="G68" s="3" t="str">
        <x:v>Học bổng tại 320px</x:v>
      </x:c>
      <x:c r="H68" s="3" t="str">
        <x:v>NFR-003</x:v>
      </x:c>
      <x:c r="I68" s="3" t="str">
        <x:v>Khách truy cập</x:v>
      </x:c>
      <x:c r="J68" s="3" t="str">
        <x:v>Responsive</x:v>
      </x:c>
      <x:c r="K68" s="3" t="str">
        <x:v>High</x:v>
      </x:c>
      <x:c r="L68" s="3" t="str">
        <x:v>High</x:v>
      </x:c>
      <x:c r="M68" s="3" t="str">
        <x:v>QA/UAT public sẵn sàng; không cần đăng nhập; demo=false cho case tích hợp CMS/public. Ghi viewport, OS và browser thực.</x:v>
      </x:c>
      <x:c r="N68" s="3" t="str">
        <x:v>Viewport 320×900 CSS px; fixture có tên/tiêu đề dài và tiếng Việt.</x:v>
      </x:c>
      <x:c r="O68" s="3" t="str">
        <x:v>1. Mở /vi/admissions/hoc-bong; viewport 320×900 CSS px, zoom100%
2. Cuộn hết trang và mở tương tác chính
3. Đo scrollWidth so clientWidth và chụp màn hình</x:v>
      </x:c>
      <x:c r="P68" s="3" t="str">
        <x:v>Không tràn ngang toàn trang; chữ/nút không chồng hoặc bị cắt; nội dung/ảnh không mất; bảng rộng cuộn trong vùng bảng. Menu và CTA chính thao tác được.</x:v>
      </x:c>
      <x:c r="Q68" s="11" t="str"/>
      <x:c r="R68" s="8" t="str">
        <x:v>NOT RUN</x:v>
      </x:c>
      <x:c r="S68" s="11" t="str">
        <x:v>QA/UAT — cần điền URL/build</x:v>
      </x:c>
      <x:c r="T68" s="11" t="str">
        <x:v>Cần điền phiên bản thực</x:v>
      </x:c>
      <x:c r="U68" s="11" t="str"/>
      <x:c r="V68" s="12" t="str"/>
      <x:c r="W68" s="11" t="str"/>
      <x:c r="X68" s="11" t="str"/>
      <x:c r="Y68" s="3" t="str">
        <x:v>Nguồn: frontend/src/app; admin/src/app/styles.css. Đánh giá khả dụng theo yêu cầu người dùng; ngưỡng WCAG chính thức vẫn cần phê duyệt.</x:v>
      </x:c>
    </x:row>
    <x:row r="69" ht="49" customHeight="1">
      <x:c r="A69" s="3" t="n">
        <x:v>68</x:v>
      </x:c>
      <x:c r="B69" s="3" t="str">
        <x:v>TC_UI_050</x:v>
      </x:c>
      <x:c r="C69" s="3" t="str">
        <x:v>UI</x:v>
      </x:c>
      <x:c r="D69" s="3" t="str">
        <x:v>Responsive Học bổng</x:v>
      </x:c>
      <x:c r="E69" s="3" t="str">
        <x:v>Responsive Học bổng</x:v>
      </x:c>
      <x:c r="F69" s="3" t="str">
        <x:v>Responsive — Học bổng tại 375px</x:v>
      </x:c>
      <x:c r="G69" s="3" t="str">
        <x:v>Học bổng tại 375px</x:v>
      </x:c>
      <x:c r="H69" s="3" t="str">
        <x:v>NFR-003</x:v>
      </x:c>
      <x:c r="I69" s="3" t="str">
        <x:v>Khách truy cập</x:v>
      </x:c>
      <x:c r="J69" s="3" t="str">
        <x:v>Responsive</x:v>
      </x:c>
      <x:c r="K69" s="3" t="str">
        <x:v>Medium</x:v>
      </x:c>
      <x:c r="L69" s="3" t="str">
        <x:v>Medium</x:v>
      </x:c>
      <x:c r="M69" s="3" t="str">
        <x:v>QA/UAT public sẵn sàng; không cần đăng nhập; demo=false cho case tích hợp CMS/public. Ghi viewport, OS và browser thực.</x:v>
      </x:c>
      <x:c r="N69" s="3" t="str">
        <x:v>Viewport 375×900 CSS px; fixture có tên/tiêu đề dài và tiếng Việt.</x:v>
      </x:c>
      <x:c r="O69" s="3" t="str">
        <x:v>1. Mở /vi/admissions/hoc-bong; viewport 375×900 CSS px, zoom100%
2. Cuộn hết trang và mở tương tác chính
3. Đo scrollWidth so clientWidth và chụp màn hình</x:v>
      </x:c>
      <x:c r="P69" s="3" t="str">
        <x:v>Không tràn ngang toàn trang; chữ/nút không chồng hoặc bị cắt; nội dung/ảnh không mất; bảng rộng cuộn trong vùng bảng. Menu và CTA chính thao tác được.</x:v>
      </x:c>
      <x:c r="Q69" s="11" t="str"/>
      <x:c r="R69" s="8" t="str">
        <x:v>NOT RUN</x:v>
      </x:c>
      <x:c r="S69" s="11" t="str">
        <x:v>QA/UAT — cần điền URL/build</x:v>
      </x:c>
      <x:c r="T69" s="11" t="str">
        <x:v>Cần điền phiên bản thực</x:v>
      </x:c>
      <x:c r="U69" s="11" t="str"/>
      <x:c r="V69" s="12" t="str"/>
      <x:c r="W69" s="11" t="str"/>
      <x:c r="X69" s="11" t="str"/>
      <x:c r="Y69" s="3" t="str">
        <x:v>Nguồn: frontend/src/app; admin/src/app/styles.css. Đánh giá khả dụng theo yêu cầu người dùng; ngưỡng WCAG chính thức vẫn cần phê duyệt.</x:v>
      </x:c>
    </x:row>
    <x:row r="70" ht="49" customHeight="1">
      <x:c r="A70" s="3" t="n">
        <x:v>69</x:v>
      </x:c>
      <x:c r="B70" s="3" t="str">
        <x:v>TC_UI_051</x:v>
      </x:c>
      <x:c r="C70" s="3" t="str">
        <x:v>UI</x:v>
      </x:c>
      <x:c r="D70" s="3" t="str">
        <x:v>Responsive Học bổng</x:v>
      </x:c>
      <x:c r="E70" s="3" t="str">
        <x:v>Responsive Học bổng</x:v>
      </x:c>
      <x:c r="F70" s="3" t="str">
        <x:v>Responsive — Học bổng tại 390px</x:v>
      </x:c>
      <x:c r="G70" s="3" t="str">
        <x:v>Học bổng tại 390px</x:v>
      </x:c>
      <x:c r="H70" s="3" t="str">
        <x:v>NFR-003</x:v>
      </x:c>
      <x:c r="I70" s="3" t="str">
        <x:v>Khách truy cập</x:v>
      </x:c>
      <x:c r="J70" s="3" t="str">
        <x:v>Responsive</x:v>
      </x:c>
      <x:c r="K70" s="3" t="str">
        <x:v>Medium</x:v>
      </x:c>
      <x:c r="L70" s="3" t="str">
        <x:v>Medium</x:v>
      </x:c>
      <x:c r="M70" s="3" t="str">
        <x:v>QA/UAT public sẵn sàng; không cần đăng nhập; demo=false cho case tích hợp CMS/public. Ghi viewport, OS và browser thực.</x:v>
      </x:c>
      <x:c r="N70" s="3" t="str">
        <x:v>Viewport 390×900 CSS px; fixture có tên/tiêu đề dài và tiếng Việt.</x:v>
      </x:c>
      <x:c r="O70" s="3" t="str">
        <x:v>1. Mở /vi/admissions/hoc-bong; viewport 390×900 CSS px, zoom100%
2. Cuộn hết trang và mở tương tác chính
3. Đo scrollWidth so clientWidth và chụp màn hình</x:v>
      </x:c>
      <x:c r="P70" s="3" t="str">
        <x:v>Không tràn ngang toàn trang; chữ/nút không chồng hoặc bị cắt; nội dung/ảnh không mất; bảng rộng cuộn trong vùng bảng. Menu và CTA chính thao tác được.</x:v>
      </x:c>
      <x:c r="Q70" s="11" t="str"/>
      <x:c r="R70" s="8" t="str">
        <x:v>NOT RUN</x:v>
      </x:c>
      <x:c r="S70" s="11" t="str">
        <x:v>QA/UAT — cần điền URL/build</x:v>
      </x:c>
      <x:c r="T70" s="11" t="str">
        <x:v>Cần điền phiên bản thực</x:v>
      </x:c>
      <x:c r="U70" s="11" t="str"/>
      <x:c r="V70" s="12" t="str"/>
      <x:c r="W70" s="11" t="str"/>
      <x:c r="X70" s="11" t="str"/>
      <x:c r="Y70" s="3" t="str">
        <x:v>Nguồn: frontend/src/app; admin/src/app/styles.css. Đánh giá khả dụng theo yêu cầu người dùng; ngưỡng WCAG chính thức vẫn cần phê duyệt.</x:v>
      </x:c>
    </x:row>
    <x:row r="71" ht="49" customHeight="1">
      <x:c r="A71" s="3" t="n">
        <x:v>70</x:v>
      </x:c>
      <x:c r="B71" s="3" t="str">
        <x:v>TC_UI_052</x:v>
      </x:c>
      <x:c r="C71" s="3" t="str">
        <x:v>UI</x:v>
      </x:c>
      <x:c r="D71" s="3" t="str">
        <x:v>Responsive Học bổng</x:v>
      </x:c>
      <x:c r="E71" s="3" t="str">
        <x:v>Responsive Học bổng</x:v>
      </x:c>
      <x:c r="F71" s="3" t="str">
        <x:v>Responsive — Học bổng tại 768px</x:v>
      </x:c>
      <x:c r="G71" s="3" t="str">
        <x:v>Học bổng tại 768px</x:v>
      </x:c>
      <x:c r="H71" s="3" t="str">
        <x:v>NFR-003</x:v>
      </x:c>
      <x:c r="I71" s="3" t="str">
        <x:v>Khách truy cập</x:v>
      </x:c>
      <x:c r="J71" s="3" t="str">
        <x:v>Responsive</x:v>
      </x:c>
      <x:c r="K71" s="3" t="str">
        <x:v>Medium</x:v>
      </x:c>
      <x:c r="L71" s="3" t="str">
        <x:v>Medium</x:v>
      </x:c>
      <x:c r="M71" s="3" t="str">
        <x:v>QA/UAT public sẵn sàng; không cần đăng nhập; demo=false cho case tích hợp CMS/public. Ghi viewport, OS và browser thực.</x:v>
      </x:c>
      <x:c r="N71" s="3" t="str">
        <x:v>Viewport 768×900 CSS px; fixture có tên/tiêu đề dài và tiếng Việt.</x:v>
      </x:c>
      <x:c r="O71" s="3" t="str">
        <x:v>1. Mở /vi/admissions/hoc-bong; viewport 768×900 CSS px, zoom100%
2. Cuộn hết trang và mở tương tác chính
3. Đo scrollWidth so clientWidth và chụp màn hình</x:v>
      </x:c>
      <x:c r="P71" s="3" t="str">
        <x:v>Không tràn ngang toàn trang; chữ/nút không chồng hoặc bị cắt; nội dung/ảnh không mất; bảng rộng cuộn trong vùng bảng. Menu và CTA chính thao tác được.</x:v>
      </x:c>
      <x:c r="Q71" s="11" t="str"/>
      <x:c r="R71" s="8" t="str">
        <x:v>NOT RUN</x:v>
      </x:c>
      <x:c r="S71" s="11" t="str">
        <x:v>QA/UAT — cần điền URL/build</x:v>
      </x:c>
      <x:c r="T71" s="11" t="str">
        <x:v>Cần điền phiên bản thực</x:v>
      </x:c>
      <x:c r="U71" s="11" t="str"/>
      <x:c r="V71" s="12" t="str"/>
      <x:c r="W71" s="11" t="str"/>
      <x:c r="X71" s="11" t="str"/>
      <x:c r="Y71" s="3" t="str">
        <x:v>Nguồn: frontend/src/app; admin/src/app/styles.css. Đánh giá khả dụng theo yêu cầu người dùng; ngưỡng WCAG chính thức vẫn cần phê duyệt.</x:v>
      </x:c>
    </x:row>
    <x:row r="72" ht="49" customHeight="1">
      <x:c r="A72" s="3" t="n">
        <x:v>71</x:v>
      </x:c>
      <x:c r="B72" s="3" t="str">
        <x:v>TC_UI_053</x:v>
      </x:c>
      <x:c r="C72" s="3" t="str">
        <x:v>UI</x:v>
      </x:c>
      <x:c r="D72" s="3" t="str">
        <x:v>Responsive Học bổng</x:v>
      </x:c>
      <x:c r="E72" s="3" t="str">
        <x:v>Responsive Học bổng</x:v>
      </x:c>
      <x:c r="F72" s="3" t="str">
        <x:v>Responsive — Học bổng tại 1024px</x:v>
      </x:c>
      <x:c r="G72" s="3" t="str">
        <x:v>Học bổng tại 1024px</x:v>
      </x:c>
      <x:c r="H72" s="3" t="str">
        <x:v>NFR-003</x:v>
      </x:c>
      <x:c r="I72" s="3" t="str">
        <x:v>Khách truy cập</x:v>
      </x:c>
      <x:c r="J72" s="3" t="str">
        <x:v>Responsive</x:v>
      </x:c>
      <x:c r="K72" s="3" t="str">
        <x:v>Medium</x:v>
      </x:c>
      <x:c r="L72" s="3" t="str">
        <x:v>Medium</x:v>
      </x:c>
      <x:c r="M72" s="3" t="str">
        <x:v>QA/UAT public sẵn sàng; không cần đăng nhập; demo=false cho case tích hợp CMS/public. Ghi viewport, OS và browser thực.</x:v>
      </x:c>
      <x:c r="N72" s="3" t="str">
        <x:v>Viewport 1024×900 CSS px; fixture có tên/tiêu đề dài và tiếng Việt.</x:v>
      </x:c>
      <x:c r="O72" s="3" t="str">
        <x:v>1. Mở /vi/admissions/hoc-bong; viewport 1024×900 CSS px, zoom100%
2. Cuộn hết trang và mở tương tác chính
3. Đo scrollWidth so clientWidth và chụp màn hình</x:v>
      </x:c>
      <x:c r="P72" s="3" t="str">
        <x:v>Không tràn ngang toàn trang; chữ/nút không chồng hoặc bị cắt; nội dung/ảnh không mất; bảng rộng cuộn trong vùng bảng. Menu và CTA chính thao tác được.</x:v>
      </x:c>
      <x:c r="Q72" s="11" t="str"/>
      <x:c r="R72" s="8" t="str">
        <x:v>NOT RUN</x:v>
      </x:c>
      <x:c r="S72" s="11" t="str">
        <x:v>QA/UAT — cần điền URL/build</x:v>
      </x:c>
      <x:c r="T72" s="11" t="str">
        <x:v>Cần điền phiên bản thực</x:v>
      </x:c>
      <x:c r="U72" s="11" t="str"/>
      <x:c r="V72" s="12" t="str"/>
      <x:c r="W72" s="11" t="str"/>
      <x:c r="X72" s="11" t="str"/>
      <x:c r="Y72" s="3" t="str">
        <x:v>Nguồn: frontend/src/app; admin/src/app/styles.css. Đánh giá khả dụng theo yêu cầu người dùng; ngưỡng WCAG chính thức vẫn cần phê duyệt.</x:v>
      </x:c>
    </x:row>
    <x:row r="73" ht="49" customHeight="1">
      <x:c r="A73" s="3" t="n">
        <x:v>72</x:v>
      </x:c>
      <x:c r="B73" s="3" t="str">
        <x:v>TC_UI_054</x:v>
      </x:c>
      <x:c r="C73" s="3" t="str">
        <x:v>UI</x:v>
      </x:c>
      <x:c r="D73" s="3" t="str">
        <x:v>Responsive Học bổng</x:v>
      </x:c>
      <x:c r="E73" s="3" t="str">
        <x:v>Responsive Học bổng</x:v>
      </x:c>
      <x:c r="F73" s="3" t="str">
        <x:v>Responsive — Học bổng tại 1280px</x:v>
      </x:c>
      <x:c r="G73" s="3" t="str">
        <x:v>Học bổng tại 1280px</x:v>
      </x:c>
      <x:c r="H73" s="3" t="str">
        <x:v>NFR-003</x:v>
      </x:c>
      <x:c r="I73" s="3" t="str">
        <x:v>Khách truy cập</x:v>
      </x:c>
      <x:c r="J73" s="3" t="str">
        <x:v>Responsive</x:v>
      </x:c>
      <x:c r="K73" s="3" t="str">
        <x:v>Medium</x:v>
      </x:c>
      <x:c r="L73" s="3" t="str">
        <x:v>Medium</x:v>
      </x:c>
      <x:c r="M73" s="3" t="str">
        <x:v>QA/UAT public sẵn sàng; không cần đăng nhập; demo=false cho case tích hợp CMS/public. Ghi viewport, OS và browser thực.</x:v>
      </x:c>
      <x:c r="N73" s="3" t="str">
        <x:v>Viewport 1280×900 CSS px; fixture có tên/tiêu đề dài và tiếng Việt.</x:v>
      </x:c>
      <x:c r="O73" s="3" t="str">
        <x:v>1. Mở /vi/admissions/hoc-bong; viewport 1280×900 CSS px, zoom100%
2. Cuộn hết trang và mở tương tác chính
3. Đo scrollWidth so clientWidth và chụp màn hình</x:v>
      </x:c>
      <x:c r="P73" s="3" t="str">
        <x:v>Không tràn ngang toàn trang; chữ/nút không chồng hoặc bị cắt; nội dung/ảnh không mất; bảng rộng cuộn trong vùng bảng. Menu và CTA chính thao tác được.</x:v>
      </x:c>
      <x:c r="Q73" s="11" t="str"/>
      <x:c r="R73" s="8" t="str">
        <x:v>NOT RUN</x:v>
      </x:c>
      <x:c r="S73" s="11" t="str">
        <x:v>QA/UAT — cần điền URL/build</x:v>
      </x:c>
      <x:c r="T73" s="11" t="str">
        <x:v>Cần điền phiên bản thực</x:v>
      </x:c>
      <x:c r="U73" s="11" t="str"/>
      <x:c r="V73" s="12" t="str"/>
      <x:c r="W73" s="11" t="str"/>
      <x:c r="X73" s="11" t="str"/>
      <x:c r="Y73" s="3" t="str">
        <x:v>Nguồn: frontend/src/app; admin/src/app/styles.css. Đánh giá khả dụng theo yêu cầu người dùng; ngưỡng WCAG chính thức vẫn cần phê duyệt.</x:v>
      </x:c>
    </x:row>
    <x:row r="74" ht="49" customHeight="1">
      <x:c r="A74" s="3" t="n">
        <x:v>73</x:v>
      </x:c>
      <x:c r="B74" s="3" t="str">
        <x:v>TC_UI_055</x:v>
      </x:c>
      <x:c r="C74" s="3" t="str">
        <x:v>UI</x:v>
      </x:c>
      <x:c r="D74" s="3" t="str">
        <x:v>Responsive Học bổng</x:v>
      </x:c>
      <x:c r="E74" s="3" t="str">
        <x:v>Responsive Học bổng</x:v>
      </x:c>
      <x:c r="F74" s="3" t="str">
        <x:v>Responsive — Học bổng tại 1440px</x:v>
      </x:c>
      <x:c r="G74" s="3" t="str">
        <x:v>Học bổng tại 1440px</x:v>
      </x:c>
      <x:c r="H74" s="3" t="str">
        <x:v>NFR-003</x:v>
      </x:c>
      <x:c r="I74" s="3" t="str">
        <x:v>Khách truy cập</x:v>
      </x:c>
      <x:c r="J74" s="3" t="str">
        <x:v>Responsive</x:v>
      </x:c>
      <x:c r="K74" s="3" t="str">
        <x:v>Medium</x:v>
      </x:c>
      <x:c r="L74" s="3" t="str">
        <x:v>Medium</x:v>
      </x:c>
      <x:c r="M74" s="3" t="str">
        <x:v>QA/UAT public sẵn sàng; không cần đăng nhập; demo=false cho case tích hợp CMS/public. Ghi viewport, OS và browser thực.</x:v>
      </x:c>
      <x:c r="N74" s="3" t="str">
        <x:v>Viewport 1440×900 CSS px; fixture có tên/tiêu đề dài và tiếng Việt.</x:v>
      </x:c>
      <x:c r="O74" s="3" t="str">
        <x:v>1. Mở /vi/admissions/hoc-bong; viewport 1440×900 CSS px, zoom100%
2. Cuộn hết trang và mở tương tác chính
3. Đo scrollWidth so clientWidth và chụp màn hình</x:v>
      </x:c>
      <x:c r="P74" s="3" t="str">
        <x:v>Không tràn ngang toàn trang; chữ/nút không chồng hoặc bị cắt; nội dung/ảnh không mất; bảng rộng cuộn trong vùng bảng. Menu và CTA chính thao tác được.</x:v>
      </x:c>
      <x:c r="Q74" s="11" t="str"/>
      <x:c r="R74" s="8" t="str">
        <x:v>NOT RUN</x:v>
      </x:c>
      <x:c r="S74" s="11" t="str">
        <x:v>QA/UAT — cần điền URL/build</x:v>
      </x:c>
      <x:c r="T74" s="11" t="str">
        <x:v>Cần điền phiên bản thực</x:v>
      </x:c>
      <x:c r="U74" s="11" t="str"/>
      <x:c r="V74" s="12" t="str"/>
      <x:c r="W74" s="11" t="str"/>
      <x:c r="X74" s="11" t="str"/>
      <x:c r="Y74" s="3" t="str">
        <x:v>Nguồn: frontend/src/app; admin/src/app/styles.css. Đánh giá khả dụng theo yêu cầu người dùng; ngưỡng WCAG chính thức vẫn cần phê duyệt.</x:v>
      </x:c>
    </x:row>
    <x:row r="75" ht="49" customHeight="1">
      <x:c r="A75" s="3" t="n">
        <x:v>74</x:v>
      </x:c>
      <x:c r="B75" s="3" t="str">
        <x:v>TC_UI_056</x:v>
      </x:c>
      <x:c r="C75" s="3" t="str">
        <x:v>UI</x:v>
      </x:c>
      <x:c r="D75" s="3" t="str">
        <x:v>Responsive Học bổng</x:v>
      </x:c>
      <x:c r="E75" s="3" t="str">
        <x:v>Responsive Học bổng</x:v>
      </x:c>
      <x:c r="F75" s="3" t="str">
        <x:v>Responsive — Học bổng tại 1920px</x:v>
      </x:c>
      <x:c r="G75" s="3" t="str">
        <x:v>Học bổng tại 1920px</x:v>
      </x:c>
      <x:c r="H75" s="3" t="str">
        <x:v>NFR-003</x:v>
      </x:c>
      <x:c r="I75" s="3" t="str">
        <x:v>Khách truy cập</x:v>
      </x:c>
      <x:c r="J75" s="3" t="str">
        <x:v>Responsive</x:v>
      </x:c>
      <x:c r="K75" s="3" t="str">
        <x:v>Medium</x:v>
      </x:c>
      <x:c r="L75" s="3" t="str">
        <x:v>Medium</x:v>
      </x:c>
      <x:c r="M75" s="3" t="str">
        <x:v>QA/UAT public sẵn sàng; không cần đăng nhập; demo=false cho case tích hợp CMS/public. Ghi viewport, OS và browser thực.</x:v>
      </x:c>
      <x:c r="N75" s="3" t="str">
        <x:v>Viewport 1920×900 CSS px; fixture có tên/tiêu đề dài và tiếng Việt.</x:v>
      </x:c>
      <x:c r="O75" s="3" t="str">
        <x:v>1. Mở /vi/admissions/hoc-bong; viewport 1920×900 CSS px, zoom100%
2. Cuộn hết trang và mở tương tác chính
3. Đo scrollWidth so clientWidth và chụp màn hình</x:v>
      </x:c>
      <x:c r="P75" s="3" t="str">
        <x:v>Không tràn ngang toàn trang; chữ/nút không chồng hoặc bị cắt; nội dung/ảnh không mất; bảng rộng cuộn trong vùng bảng. Menu và CTA chính thao tác được.</x:v>
      </x:c>
      <x:c r="Q75" s="11" t="str"/>
      <x:c r="R75" s="8" t="str">
        <x:v>NOT RUN</x:v>
      </x:c>
      <x:c r="S75" s="11" t="str">
        <x:v>QA/UAT — cần điền URL/build</x:v>
      </x:c>
      <x:c r="T75" s="11" t="str">
        <x:v>Cần điền phiên bản thực</x:v>
      </x:c>
      <x:c r="U75" s="11" t="str"/>
      <x:c r="V75" s="12" t="str"/>
      <x:c r="W75" s="11" t="str"/>
      <x:c r="X75" s="11" t="str"/>
      <x:c r="Y75" s="3" t="str">
        <x:v>Nguồn: frontend/src/app; admin/src/app/styles.css. Đánh giá khả dụng theo yêu cầu người dùng; ngưỡng WCAG chính thức vẫn cần phê duyệt.</x:v>
      </x:c>
    </x:row>
    <x:row r="76" ht="49" customHeight="1">
      <x:c r="A76" s="3" t="n">
        <x:v>75</x:v>
      </x:c>
      <x:c r="B76" s="3" t="str">
        <x:v>TC_I18N_020</x:v>
      </x:c>
      <x:c r="C76" s="3" t="str">
        <x:v>I18N</x:v>
      </x:c>
      <x:c r="D76" s="3" t="str">
        <x:v>Song ngữ Học bổng</x:v>
      </x:c>
      <x:c r="E76" s="3" t="str">
        <x:v>Song ngữ Học bổng</x:v>
      </x:c>
      <x:c r="F76" s="3" t="str">
        <x:v>Localization — Học bổng: Đổi VI sang EN</x:v>
      </x:c>
      <x:c r="G76" s="3" t="str">
        <x:v>Học bổng: Đổi VI sang EN</x:v>
      </x:c>
      <x:c r="H76" s="3" t="str">
        <x:v>PUB-001</x:v>
      </x:c>
      <x:c r="I76" s="3" t="str">
        <x:v>Khách truy cập</x:v>
      </x:c>
      <x:c r="J76" s="3" t="str">
        <x:v>Localization</x:v>
      </x:c>
      <x:c r="K76" s="3" t="str">
        <x:v>Medium</x:v>
      </x:c>
      <x:c r="L76" s="3" t="str">
        <x:v>Medium</x:v>
      </x:c>
      <x:c r="M76" s="3" t="str">
        <x:v>QA/UAT public sẵn sàng; không cần đăng nhập; demo=false cho case tích hợp CMS/public. Ghi viewport, OS và browser thực.</x:v>
      </x:c>
      <x:c r="N76" s="3" t="str">
        <x:v>Dữ liệu QA tổng hợp; xem fixture trong README.</x:v>
      </x:c>
      <x:c r="O76" s="3" t="str">
        <x:v>1. Mở /vi/admissions/hoc-bong
2. Nhấn EN
3. Refresh</x:v>
      </x:c>
      <x:c r="P76" s="3" t="str">
        <x:v>Prefix chuyển /en, giữ route tương ứng; active EN và html lang=en; refresh không trở về VI.</x:v>
      </x:c>
      <x:c r="Q76" s="11" t="str"/>
      <x:c r="R76" s="8" t="str">
        <x:v>NOT RUN</x:v>
      </x:c>
      <x:c r="S76" s="11" t="str">
        <x:v>QA/UAT — cần điền URL/build</x:v>
      </x:c>
      <x:c r="T76" s="11" t="str">
        <x:v>Cần điền phiên bản thực</x:v>
      </x:c>
      <x:c r="U76" s="11" t="str"/>
      <x:c r="V76" s="12" t="str"/>
      <x:c r="W76" s="11" t="str"/>
      <x:c r="X76" s="11" t="str"/>
      <x:c r="Y76" s="3" t="str">
        <x:v>Nguồn: frontend/src/shared/components/layout/LanguageToggle.tsx; frontend/src/messages. </x:v>
      </x:c>
    </x:row>
    <x:row r="77" ht="49" customHeight="1">
      <x:c r="A77" s="3" t="n">
        <x:v>76</x:v>
      </x:c>
      <x:c r="B77" s="3" t="str">
        <x:v>TC_I18N_021</x:v>
      </x:c>
      <x:c r="C77" s="3" t="str">
        <x:v>I18N</x:v>
      </x:c>
      <x:c r="D77" s="3" t="str">
        <x:v>Song ngữ Học bổng</x:v>
      </x:c>
      <x:c r="E77" s="3" t="str">
        <x:v>Song ngữ Học bổng</x:v>
      </x:c>
      <x:c r="F77" s="3" t="str">
        <x:v>Localization — Học bổng: Bản dịch toàn trang</x:v>
      </x:c>
      <x:c r="G77" s="3" t="str">
        <x:v>Học bổng: Bản dịch toàn trang</x:v>
      </x:c>
      <x:c r="H77" s="3" t="str">
        <x:v>PUB-001</x:v>
      </x:c>
      <x:c r="I77" s="3" t="str">
        <x:v>Khách truy cập</x:v>
      </x:c>
      <x:c r="J77" s="3" t="str">
        <x:v>Localization</x:v>
      </x:c>
      <x:c r="K77" s="3" t="str">
        <x:v>Medium</x:v>
      </x:c>
      <x:c r="L77" s="3" t="str">
        <x:v>Medium</x:v>
      </x:c>
      <x:c r="M77" s="3" t="str">
        <x:v>QA/UAT public sẵn sàng; không cần đăng nhập; demo=false cho case tích hợp CMS/public. Ghi viewport, OS và browser thực.</x:v>
      </x:c>
      <x:c r="N77" s="3" t="str">
        <x:v>Dữ liệu QA tổng hợp; xem fixture trong README.</x:v>
      </x:c>
      <x:c r="O77" s="3" t="str">
        <x:v>1. Mở /en/admissions/hoc-bong
2. Cuộn nội dung, mở menu, submit lỗi form nếu có</x:v>
      </x:c>
      <x:c r="P77" s="3" t="str">
        <x:v>Không lộ khóa dịch hoặc lẫn tiếng Việt trong nội dung thuộc phạm vi dịch; ngày/số/validation đúng locale.</x:v>
      </x:c>
      <x:c r="Q77" s="11" t="str"/>
      <x:c r="R77" s="9" t="str">
        <x:v>NEED CONFIRMATION</x:v>
      </x:c>
      <x:c r="S77" s="11" t="str">
        <x:v>QA/UAT — cần điền URL/build</x:v>
      </x:c>
      <x:c r="T77" s="11" t="str">
        <x:v>Cần điền phiên bản thực</x:v>
      </x:c>
      <x:c r="U77" s="11" t="str"/>
      <x:c r="V77" s="12" t="str"/>
      <x:c r="W77" s="11" t="str"/>
      <x:c r="X77" s="11" t="str"/>
      <x:c r="Y77" s="3" t="str">
        <x:v>Nguồn: frontend/src/shared/components/layout/LanguageToggle.tsx; frontend/src/messages. Need Confirmation: Chốt phạm vi dịch nội dung tĩnh và dữ liệu CMS.</x:v>
      </x:c>
    </x:row>
    <x:row r="78" ht="49" customHeight="1">
      <x:c r="A78" s="3" t="n">
        <x:v>77</x:v>
      </x:c>
      <x:c r="B78" s="3" t="str">
        <x:v>TC_I18N_022</x:v>
      </x:c>
      <x:c r="C78" s="3" t="str">
        <x:v>I18N</x:v>
      </x:c>
      <x:c r="D78" s="3" t="str">
        <x:v>Song ngữ Học bổng</x:v>
      </x:c>
      <x:c r="E78" s="3" t="str">
        <x:v>Song ngữ Học bổng</x:v>
      </x:c>
      <x:c r="F78" s="3" t="str">
        <x:v>Localization — Học bổng: Back sau đổi locale</x:v>
      </x:c>
      <x:c r="G78" s="3" t="str">
        <x:v>Học bổng: Back sau đổi locale</x:v>
      </x:c>
      <x:c r="H78" s="3" t="str">
        <x:v>PUB-001</x:v>
      </x:c>
      <x:c r="I78" s="3" t="str">
        <x:v>Khách truy cập</x:v>
      </x:c>
      <x:c r="J78" s="3" t="str">
        <x:v>Localization</x:v>
      </x:c>
      <x:c r="K78" s="3" t="str">
        <x:v>Medium</x:v>
      </x:c>
      <x:c r="L78" s="3" t="str">
        <x:v>Medium</x:v>
      </x:c>
      <x:c r="M78" s="3" t="str">
        <x:v>QA/UAT public sẵn sàng; không cần đăng nhập; demo=false cho case tích hợp CMS/public. Ghi viewport, OS và browser thực.</x:v>
      </x:c>
      <x:c r="N78" s="3" t="str">
        <x:v>Dữ liệu QA tổng hợp; xem fixture trong README.</x:v>
      </x:c>
      <x:c r="O78" s="3" t="str">
        <x:v>1. Mở /vi/admissions/hoc-bong
2. Nhấn EN rồi Back</x:v>
      </x:c>
      <x:c r="P78" s="3" t="str">
        <x:v>Back quay đúng trang VI trước đó; UI và URL locale đồng bộ.</x:v>
      </x:c>
      <x:c r="Q78" s="11" t="str"/>
      <x:c r="R78" s="8" t="str">
        <x:v>NOT RUN</x:v>
      </x:c>
      <x:c r="S78" s="11" t="str">
        <x:v>QA/UAT — cần điền URL/build</x:v>
      </x:c>
      <x:c r="T78" s="11" t="str">
        <x:v>Cần điền phiên bản thực</x:v>
      </x:c>
      <x:c r="U78" s="11" t="str"/>
      <x:c r="V78" s="12" t="str"/>
      <x:c r="W78" s="11" t="str"/>
      <x:c r="X78" s="11" t="str"/>
      <x:c r="Y78" s="3" t="str">
        <x:v>Nguồn: frontend/src/shared/components/layout/LanguageToggle.tsx; frontend/src/messages. </x:v>
      </x:c>
    </x:row>
    <x:row r="79" ht="49" customHeight="1">
      <x:c r="A79" s="3" t="n">
        <x:v>78</x:v>
      </x:c>
      <x:c r="B79" s="3" t="str">
        <x:v>TC_UI_057</x:v>
      </x:c>
      <x:c r="C79" s="3" t="str">
        <x:v>UI</x:v>
      </x:c>
      <x:c r="D79" s="3" t="str">
        <x:v>Responsive Nghiên cứu</x:v>
      </x:c>
      <x:c r="E79" s="3" t="str">
        <x:v>Responsive Nghiên cứu</x:v>
      </x:c>
      <x:c r="F79" s="3" t="str">
        <x:v>Responsive — Nghiên cứu tại 320px</x:v>
      </x:c>
      <x:c r="G79" s="3" t="str">
        <x:v>Nghiên cứu tại 320px</x:v>
      </x:c>
      <x:c r="H79" s="3" t="str">
        <x:v>NFR-003</x:v>
      </x:c>
      <x:c r="I79" s="3" t="str">
        <x:v>Khách truy cập</x:v>
      </x:c>
      <x:c r="J79" s="3" t="str">
        <x:v>Responsive</x:v>
      </x:c>
      <x:c r="K79" s="3" t="str">
        <x:v>High</x:v>
      </x:c>
      <x:c r="L79" s="3" t="str">
        <x:v>High</x:v>
      </x:c>
      <x:c r="M79" s="3" t="str">
        <x:v>QA/UAT public sẵn sàng; không cần đăng nhập; demo=false cho case tích hợp CMS/public. Ghi viewport, OS và browser thực.</x:v>
      </x:c>
      <x:c r="N79" s="3" t="str">
        <x:v>Viewport 320×900 CSS px; fixture có tên/tiêu đề dài và tiếng Việt.</x:v>
      </x:c>
      <x:c r="O79" s="3" t="str">
        <x:v>1. Mở /vi/research; viewport 320×900 CSS px, zoom100%
2. Cuộn hết trang và mở tương tác chính
3. Đo scrollWidth so clientWidth và chụp màn hình</x:v>
      </x:c>
      <x:c r="P79" s="3" t="str">
        <x:v>Không tràn ngang toàn trang; chữ/nút không chồng hoặc bị cắt; nội dung/ảnh không mất; bảng rộng cuộn trong vùng bảng. Menu và CTA chính thao tác được.</x:v>
      </x:c>
      <x:c r="Q79" s="11" t="str"/>
      <x:c r="R79" s="8" t="str">
        <x:v>NOT RUN</x:v>
      </x:c>
      <x:c r="S79" s="11" t="str">
        <x:v>QA/UAT — cần điền URL/build</x:v>
      </x:c>
      <x:c r="T79" s="11" t="str">
        <x:v>Cần điền phiên bản thực</x:v>
      </x:c>
      <x:c r="U79" s="11" t="str"/>
      <x:c r="V79" s="12" t="str"/>
      <x:c r="W79" s="11" t="str"/>
      <x:c r="X79" s="11" t="str"/>
      <x:c r="Y79" s="3" t="str">
        <x:v>Nguồn: frontend/src/app; admin/src/app/styles.css. Đánh giá khả dụng theo yêu cầu người dùng; ngưỡng WCAG chính thức vẫn cần phê duyệt.</x:v>
      </x:c>
    </x:row>
    <x:row r="80" ht="49" customHeight="1">
      <x:c r="A80" s="3" t="n">
        <x:v>79</x:v>
      </x:c>
      <x:c r="B80" s="3" t="str">
        <x:v>TC_UI_058</x:v>
      </x:c>
      <x:c r="C80" s="3" t="str">
        <x:v>UI</x:v>
      </x:c>
      <x:c r="D80" s="3" t="str">
        <x:v>Responsive Nghiên cứu</x:v>
      </x:c>
      <x:c r="E80" s="3" t="str">
        <x:v>Responsive Nghiên cứu</x:v>
      </x:c>
      <x:c r="F80" s="3" t="str">
        <x:v>Responsive — Nghiên cứu tại 375px</x:v>
      </x:c>
      <x:c r="G80" s="3" t="str">
        <x:v>Nghiên cứu tại 375px</x:v>
      </x:c>
      <x:c r="H80" s="3" t="str">
        <x:v>NFR-003</x:v>
      </x:c>
      <x:c r="I80" s="3" t="str">
        <x:v>Khách truy cập</x:v>
      </x:c>
      <x:c r="J80" s="3" t="str">
        <x:v>Responsive</x:v>
      </x:c>
      <x:c r="K80" s="3" t="str">
        <x:v>Medium</x:v>
      </x:c>
      <x:c r="L80" s="3" t="str">
        <x:v>Medium</x:v>
      </x:c>
      <x:c r="M80" s="3" t="str">
        <x:v>QA/UAT public sẵn sàng; không cần đăng nhập; demo=false cho case tích hợp CMS/public. Ghi viewport, OS và browser thực.</x:v>
      </x:c>
      <x:c r="N80" s="3" t="str">
        <x:v>Viewport 375×900 CSS px; fixture có tên/tiêu đề dài và tiếng Việt.</x:v>
      </x:c>
      <x:c r="O80" s="3" t="str">
        <x:v>1. Mở /vi/research; viewport 375×900 CSS px, zoom100%
2. Cuộn hết trang và mở tương tác chính
3. Đo scrollWidth so clientWidth và chụp màn hình</x:v>
      </x:c>
      <x:c r="P80" s="3" t="str">
        <x:v>Không tràn ngang toàn trang; chữ/nút không chồng hoặc bị cắt; nội dung/ảnh không mất; bảng rộng cuộn trong vùng bảng. Menu và CTA chính thao tác được.</x:v>
      </x:c>
      <x:c r="Q80" s="11" t="str"/>
      <x:c r="R80" s="8" t="str">
        <x:v>NOT RUN</x:v>
      </x:c>
      <x:c r="S80" s="11" t="str">
        <x:v>QA/UAT — cần điền URL/build</x:v>
      </x:c>
      <x:c r="T80" s="11" t="str">
        <x:v>Cần điền phiên bản thực</x:v>
      </x:c>
      <x:c r="U80" s="11" t="str"/>
      <x:c r="V80" s="12" t="str"/>
      <x:c r="W80" s="11" t="str"/>
      <x:c r="X80" s="11" t="str"/>
      <x:c r="Y80" s="3" t="str">
        <x:v>Nguồn: frontend/src/app; admin/src/app/styles.css. Đánh giá khả dụng theo yêu cầu người dùng; ngưỡng WCAG chính thức vẫn cần phê duyệt.</x:v>
      </x:c>
    </x:row>
    <x:row r="81" ht="49" customHeight="1">
      <x:c r="A81" s="3" t="n">
        <x:v>80</x:v>
      </x:c>
      <x:c r="B81" s="3" t="str">
        <x:v>TC_UI_059</x:v>
      </x:c>
      <x:c r="C81" s="3" t="str">
        <x:v>UI</x:v>
      </x:c>
      <x:c r="D81" s="3" t="str">
        <x:v>Responsive Nghiên cứu</x:v>
      </x:c>
      <x:c r="E81" s="3" t="str">
        <x:v>Responsive Nghiên cứu</x:v>
      </x:c>
      <x:c r="F81" s="3" t="str">
        <x:v>Responsive — Nghiên cứu tại 390px</x:v>
      </x:c>
      <x:c r="G81" s="3" t="str">
        <x:v>Nghiên cứu tại 390px</x:v>
      </x:c>
      <x:c r="H81" s="3" t="str">
        <x:v>NFR-003</x:v>
      </x:c>
      <x:c r="I81" s="3" t="str">
        <x:v>Khách truy cập</x:v>
      </x:c>
      <x:c r="J81" s="3" t="str">
        <x:v>Responsive</x:v>
      </x:c>
      <x:c r="K81" s="3" t="str">
        <x:v>Medium</x:v>
      </x:c>
      <x:c r="L81" s="3" t="str">
        <x:v>Medium</x:v>
      </x:c>
      <x:c r="M81" s="3" t="str">
        <x:v>QA/UAT public sẵn sàng; không cần đăng nhập; demo=false cho case tích hợp CMS/public. Ghi viewport, OS và browser thực.</x:v>
      </x:c>
      <x:c r="N81" s="3" t="str">
        <x:v>Viewport 390×900 CSS px; fixture có tên/tiêu đề dài và tiếng Việt.</x:v>
      </x:c>
      <x:c r="O81" s="3" t="str">
        <x:v>1. Mở /vi/research; viewport 390×900 CSS px, zoom100%
2. Cuộn hết trang và mở tương tác chính
3. Đo scrollWidth so clientWidth và chụp màn hình</x:v>
      </x:c>
      <x:c r="P81" s="3" t="str">
        <x:v>Không tràn ngang toàn trang; chữ/nút không chồng hoặc bị cắt; nội dung/ảnh không mất; bảng rộng cuộn trong vùng bảng. Menu và CTA chính thao tác được.</x:v>
      </x:c>
      <x:c r="Q81" s="11" t="str"/>
      <x:c r="R81" s="8" t="str">
        <x:v>NOT RUN</x:v>
      </x:c>
      <x:c r="S81" s="11" t="str">
        <x:v>QA/UAT — cần điền URL/build</x:v>
      </x:c>
      <x:c r="T81" s="11" t="str">
        <x:v>Cần điền phiên bản thực</x:v>
      </x:c>
      <x:c r="U81" s="11" t="str"/>
      <x:c r="V81" s="12" t="str"/>
      <x:c r="W81" s="11" t="str"/>
      <x:c r="X81" s="11" t="str"/>
      <x:c r="Y81" s="3" t="str">
        <x:v>Nguồn: frontend/src/app; admin/src/app/styles.css. Đánh giá khả dụng theo yêu cầu người dùng; ngưỡng WCAG chính thức vẫn cần phê duyệt.</x:v>
      </x:c>
    </x:row>
    <x:row r="82" ht="49" customHeight="1">
      <x:c r="A82" s="3" t="n">
        <x:v>81</x:v>
      </x:c>
      <x:c r="B82" s="3" t="str">
        <x:v>TC_UI_060</x:v>
      </x:c>
      <x:c r="C82" s="3" t="str">
        <x:v>UI</x:v>
      </x:c>
      <x:c r="D82" s="3" t="str">
        <x:v>Responsive Nghiên cứu</x:v>
      </x:c>
      <x:c r="E82" s="3" t="str">
        <x:v>Responsive Nghiên cứu</x:v>
      </x:c>
      <x:c r="F82" s="3" t="str">
        <x:v>Responsive — Nghiên cứu tại 768px</x:v>
      </x:c>
      <x:c r="G82" s="3" t="str">
        <x:v>Nghiên cứu tại 768px</x:v>
      </x:c>
      <x:c r="H82" s="3" t="str">
        <x:v>NFR-003</x:v>
      </x:c>
      <x:c r="I82" s="3" t="str">
        <x:v>Khách truy cập</x:v>
      </x:c>
      <x:c r="J82" s="3" t="str">
        <x:v>Responsive</x:v>
      </x:c>
      <x:c r="K82" s="3" t="str">
        <x:v>Medium</x:v>
      </x:c>
      <x:c r="L82" s="3" t="str">
        <x:v>Medium</x:v>
      </x:c>
      <x:c r="M82" s="3" t="str">
        <x:v>QA/UAT public sẵn sàng; không cần đăng nhập; demo=false cho case tích hợp CMS/public. Ghi viewport, OS và browser thực.</x:v>
      </x:c>
      <x:c r="N82" s="3" t="str">
        <x:v>Viewport 768×900 CSS px; fixture có tên/tiêu đề dài và tiếng Việt.</x:v>
      </x:c>
      <x:c r="O82" s="3" t="str">
        <x:v>1. Mở /vi/research; viewport 768×900 CSS px, zoom100%
2. Cuộn hết trang và mở tương tác chính
3. Đo scrollWidth so clientWidth và chụp màn hình</x:v>
      </x:c>
      <x:c r="P82" s="3" t="str">
        <x:v>Không tràn ngang toàn trang; chữ/nút không chồng hoặc bị cắt; nội dung/ảnh không mất; bảng rộng cuộn trong vùng bảng. Menu và CTA chính thao tác được.</x:v>
      </x:c>
      <x:c r="Q82" s="11" t="str"/>
      <x:c r="R82" s="8" t="str">
        <x:v>NOT RUN</x:v>
      </x:c>
      <x:c r="S82" s="11" t="str">
        <x:v>QA/UAT — cần điền URL/build</x:v>
      </x:c>
      <x:c r="T82" s="11" t="str">
        <x:v>Cần điền phiên bản thực</x:v>
      </x:c>
      <x:c r="U82" s="11" t="str"/>
      <x:c r="V82" s="12" t="str"/>
      <x:c r="W82" s="11" t="str"/>
      <x:c r="X82" s="11" t="str"/>
      <x:c r="Y82" s="3" t="str">
        <x:v>Nguồn: frontend/src/app; admin/src/app/styles.css. Đánh giá khả dụng theo yêu cầu người dùng; ngưỡng WCAG chính thức vẫn cần phê duyệt.</x:v>
      </x:c>
    </x:row>
    <x:row r="83" ht="49" customHeight="1">
      <x:c r="A83" s="3" t="n">
        <x:v>82</x:v>
      </x:c>
      <x:c r="B83" s="3" t="str">
        <x:v>TC_UI_061</x:v>
      </x:c>
      <x:c r="C83" s="3" t="str">
        <x:v>UI</x:v>
      </x:c>
      <x:c r="D83" s="3" t="str">
        <x:v>Responsive Nghiên cứu</x:v>
      </x:c>
      <x:c r="E83" s="3" t="str">
        <x:v>Responsive Nghiên cứu</x:v>
      </x:c>
      <x:c r="F83" s="3" t="str">
        <x:v>Responsive — Nghiên cứu tại 1024px</x:v>
      </x:c>
      <x:c r="G83" s="3" t="str">
        <x:v>Nghiên cứu tại 1024px</x:v>
      </x:c>
      <x:c r="H83" s="3" t="str">
        <x:v>NFR-003</x:v>
      </x:c>
      <x:c r="I83" s="3" t="str">
        <x:v>Khách truy cập</x:v>
      </x:c>
      <x:c r="J83" s="3" t="str">
        <x:v>Responsive</x:v>
      </x:c>
      <x:c r="K83" s="3" t="str">
        <x:v>Medium</x:v>
      </x:c>
      <x:c r="L83" s="3" t="str">
        <x:v>Medium</x:v>
      </x:c>
      <x:c r="M83" s="3" t="str">
        <x:v>QA/UAT public sẵn sàng; không cần đăng nhập; demo=false cho case tích hợp CMS/public. Ghi viewport, OS và browser thực.</x:v>
      </x:c>
      <x:c r="N83" s="3" t="str">
        <x:v>Viewport 1024×900 CSS px; fixture có tên/tiêu đề dài và tiếng Việt.</x:v>
      </x:c>
      <x:c r="O83" s="3" t="str">
        <x:v>1. Mở /vi/research; viewport 1024×900 CSS px, zoom100%
2. Cuộn hết trang và mở tương tác chính
3. Đo scrollWidth so clientWidth và chụp màn hình</x:v>
      </x:c>
      <x:c r="P83" s="3" t="str">
        <x:v>Không tràn ngang toàn trang; chữ/nút không chồng hoặc bị cắt; nội dung/ảnh không mất; bảng rộng cuộn trong vùng bảng. Menu và CTA chính thao tác được.</x:v>
      </x:c>
      <x:c r="Q83" s="11" t="str"/>
      <x:c r="R83" s="8" t="str">
        <x:v>NOT RUN</x:v>
      </x:c>
      <x:c r="S83" s="11" t="str">
        <x:v>QA/UAT — cần điền URL/build</x:v>
      </x:c>
      <x:c r="T83" s="11" t="str">
        <x:v>Cần điền phiên bản thực</x:v>
      </x:c>
      <x:c r="U83" s="11" t="str"/>
      <x:c r="V83" s="12" t="str"/>
      <x:c r="W83" s="11" t="str"/>
      <x:c r="X83" s="11" t="str"/>
      <x:c r="Y83" s="3" t="str">
        <x:v>Nguồn: frontend/src/app; admin/src/app/styles.css. Đánh giá khả dụng theo yêu cầu người dùng; ngưỡng WCAG chính thức vẫn cần phê duyệt.</x:v>
      </x:c>
    </x:row>
    <x:row r="84" ht="49" customHeight="1">
      <x:c r="A84" s="3" t="n">
        <x:v>83</x:v>
      </x:c>
      <x:c r="B84" s="3" t="str">
        <x:v>TC_UI_062</x:v>
      </x:c>
      <x:c r="C84" s="3" t="str">
        <x:v>UI</x:v>
      </x:c>
      <x:c r="D84" s="3" t="str">
        <x:v>Responsive Nghiên cứu</x:v>
      </x:c>
      <x:c r="E84" s="3" t="str">
        <x:v>Responsive Nghiên cứu</x:v>
      </x:c>
      <x:c r="F84" s="3" t="str">
        <x:v>Responsive — Nghiên cứu tại 1280px</x:v>
      </x:c>
      <x:c r="G84" s="3" t="str">
        <x:v>Nghiên cứu tại 1280px</x:v>
      </x:c>
      <x:c r="H84" s="3" t="str">
        <x:v>NFR-003</x:v>
      </x:c>
      <x:c r="I84" s="3" t="str">
        <x:v>Khách truy cập</x:v>
      </x:c>
      <x:c r="J84" s="3" t="str">
        <x:v>Responsive</x:v>
      </x:c>
      <x:c r="K84" s="3" t="str">
        <x:v>Medium</x:v>
      </x:c>
      <x:c r="L84" s="3" t="str">
        <x:v>Medium</x:v>
      </x:c>
      <x:c r="M84" s="3" t="str">
        <x:v>QA/UAT public sẵn sàng; không cần đăng nhập; demo=false cho case tích hợp CMS/public. Ghi viewport, OS và browser thực.</x:v>
      </x:c>
      <x:c r="N84" s="3" t="str">
        <x:v>Viewport 1280×900 CSS px; fixture có tên/tiêu đề dài và tiếng Việt.</x:v>
      </x:c>
      <x:c r="O84" s="3" t="str">
        <x:v>1. Mở /vi/research; viewport 1280×900 CSS px, zoom100%
2. Cuộn hết trang và mở tương tác chính
3. Đo scrollWidth so clientWidth và chụp màn hình</x:v>
      </x:c>
      <x:c r="P84" s="3" t="str">
        <x:v>Không tràn ngang toàn trang; chữ/nút không chồng hoặc bị cắt; nội dung/ảnh không mất; bảng rộng cuộn trong vùng bảng. Menu và CTA chính thao tác được.</x:v>
      </x:c>
      <x:c r="Q84" s="11" t="str"/>
      <x:c r="R84" s="8" t="str">
        <x:v>NOT RUN</x:v>
      </x:c>
      <x:c r="S84" s="11" t="str">
        <x:v>QA/UAT — cần điền URL/build</x:v>
      </x:c>
      <x:c r="T84" s="11" t="str">
        <x:v>Cần điền phiên bản thực</x:v>
      </x:c>
      <x:c r="U84" s="11" t="str"/>
      <x:c r="V84" s="12" t="str"/>
      <x:c r="W84" s="11" t="str"/>
      <x:c r="X84" s="11" t="str"/>
      <x:c r="Y84" s="3" t="str">
        <x:v>Nguồn: frontend/src/app; admin/src/app/styles.css. Đánh giá khả dụng theo yêu cầu người dùng; ngưỡng WCAG chính thức vẫn cần phê duyệt.</x:v>
      </x:c>
    </x:row>
    <x:row r="85" ht="49" customHeight="1">
      <x:c r="A85" s="3" t="n">
        <x:v>84</x:v>
      </x:c>
      <x:c r="B85" s="3" t="str">
        <x:v>TC_UI_063</x:v>
      </x:c>
      <x:c r="C85" s="3" t="str">
        <x:v>UI</x:v>
      </x:c>
      <x:c r="D85" s="3" t="str">
        <x:v>Responsive Nghiên cứu</x:v>
      </x:c>
      <x:c r="E85" s="3" t="str">
        <x:v>Responsive Nghiên cứu</x:v>
      </x:c>
      <x:c r="F85" s="3" t="str">
        <x:v>Responsive — Nghiên cứu tại 1440px</x:v>
      </x:c>
      <x:c r="G85" s="3" t="str">
        <x:v>Nghiên cứu tại 1440px</x:v>
      </x:c>
      <x:c r="H85" s="3" t="str">
        <x:v>NFR-003</x:v>
      </x:c>
      <x:c r="I85" s="3" t="str">
        <x:v>Khách truy cập</x:v>
      </x:c>
      <x:c r="J85" s="3" t="str">
        <x:v>Responsive</x:v>
      </x:c>
      <x:c r="K85" s="3" t="str">
        <x:v>Medium</x:v>
      </x:c>
      <x:c r="L85" s="3" t="str">
        <x:v>Medium</x:v>
      </x:c>
      <x:c r="M85" s="3" t="str">
        <x:v>QA/UAT public sẵn sàng; không cần đăng nhập; demo=false cho case tích hợp CMS/public. Ghi viewport, OS và browser thực.</x:v>
      </x:c>
      <x:c r="N85" s="3" t="str">
        <x:v>Viewport 1440×900 CSS px; fixture có tên/tiêu đề dài và tiếng Việt.</x:v>
      </x:c>
      <x:c r="O85" s="3" t="str">
        <x:v>1. Mở /vi/research; viewport 1440×900 CSS px, zoom100%
2. Cuộn hết trang và mở tương tác chính
3. Đo scrollWidth so clientWidth và chụp màn hình</x:v>
      </x:c>
      <x:c r="P85" s="3" t="str">
        <x:v>Không tràn ngang toàn trang; chữ/nút không chồng hoặc bị cắt; nội dung/ảnh không mất; bảng rộng cuộn trong vùng bảng. Menu và CTA chính thao tác được.</x:v>
      </x:c>
      <x:c r="Q85" s="11" t="str"/>
      <x:c r="R85" s="8" t="str">
        <x:v>NOT RUN</x:v>
      </x:c>
      <x:c r="S85" s="11" t="str">
        <x:v>QA/UAT — cần điền URL/build</x:v>
      </x:c>
      <x:c r="T85" s="11" t="str">
        <x:v>Cần điền phiên bản thực</x:v>
      </x:c>
      <x:c r="U85" s="11" t="str"/>
      <x:c r="V85" s="12" t="str"/>
      <x:c r="W85" s="11" t="str"/>
      <x:c r="X85" s="11" t="str"/>
      <x:c r="Y85" s="3" t="str">
        <x:v>Nguồn: frontend/src/app; admin/src/app/styles.css. Đánh giá khả dụng theo yêu cầu người dùng; ngưỡng WCAG chính thức vẫn cần phê duyệt.</x:v>
      </x:c>
    </x:row>
    <x:row r="86" ht="49" customHeight="1">
      <x:c r="A86" s="3" t="n">
        <x:v>85</x:v>
      </x:c>
      <x:c r="B86" s="3" t="str">
        <x:v>TC_UI_064</x:v>
      </x:c>
      <x:c r="C86" s="3" t="str">
        <x:v>UI</x:v>
      </x:c>
      <x:c r="D86" s="3" t="str">
        <x:v>Responsive Nghiên cứu</x:v>
      </x:c>
      <x:c r="E86" s="3" t="str">
        <x:v>Responsive Nghiên cứu</x:v>
      </x:c>
      <x:c r="F86" s="3" t="str">
        <x:v>Responsive — Nghiên cứu tại 1920px</x:v>
      </x:c>
      <x:c r="G86" s="3" t="str">
        <x:v>Nghiên cứu tại 1920px</x:v>
      </x:c>
      <x:c r="H86" s="3" t="str">
        <x:v>NFR-003</x:v>
      </x:c>
      <x:c r="I86" s="3" t="str">
        <x:v>Khách truy cập</x:v>
      </x:c>
      <x:c r="J86" s="3" t="str">
        <x:v>Responsive</x:v>
      </x:c>
      <x:c r="K86" s="3" t="str">
        <x:v>Medium</x:v>
      </x:c>
      <x:c r="L86" s="3" t="str">
        <x:v>Medium</x:v>
      </x:c>
      <x:c r="M86" s="3" t="str">
        <x:v>QA/UAT public sẵn sàng; không cần đăng nhập; demo=false cho case tích hợp CMS/public. Ghi viewport, OS và browser thực.</x:v>
      </x:c>
      <x:c r="N86" s="3" t="str">
        <x:v>Viewport 1920×900 CSS px; fixture có tên/tiêu đề dài và tiếng Việt.</x:v>
      </x:c>
      <x:c r="O86" s="3" t="str">
        <x:v>1. Mở /vi/research; viewport 1920×900 CSS px, zoom100%
2. Cuộn hết trang và mở tương tác chính
3. Đo scrollWidth so clientWidth và chụp màn hình</x:v>
      </x:c>
      <x:c r="P86" s="3" t="str">
        <x:v>Không tràn ngang toàn trang; chữ/nút không chồng hoặc bị cắt; nội dung/ảnh không mất; bảng rộng cuộn trong vùng bảng. Menu và CTA chính thao tác được.</x:v>
      </x:c>
      <x:c r="Q86" s="11" t="str"/>
      <x:c r="R86" s="8" t="str">
        <x:v>NOT RUN</x:v>
      </x:c>
      <x:c r="S86" s="11" t="str">
        <x:v>QA/UAT — cần điền URL/build</x:v>
      </x:c>
      <x:c r="T86" s="11" t="str">
        <x:v>Cần điền phiên bản thực</x:v>
      </x:c>
      <x:c r="U86" s="11" t="str"/>
      <x:c r="V86" s="12" t="str"/>
      <x:c r="W86" s="11" t="str"/>
      <x:c r="X86" s="11" t="str"/>
      <x:c r="Y86" s="3" t="str">
        <x:v>Nguồn: frontend/src/app; admin/src/app/styles.css. Đánh giá khả dụng theo yêu cầu người dùng; ngưỡng WCAG chính thức vẫn cần phê duyệt.</x:v>
      </x:c>
    </x:row>
    <x:row r="87" ht="49" customHeight="1">
      <x:c r="A87" s="3" t="n">
        <x:v>86</x:v>
      </x:c>
      <x:c r="B87" s="3" t="str">
        <x:v>TC_I18N_023</x:v>
      </x:c>
      <x:c r="C87" s="3" t="str">
        <x:v>I18N</x:v>
      </x:c>
      <x:c r="D87" s="3" t="str">
        <x:v>Song ngữ Nghiên cứu</x:v>
      </x:c>
      <x:c r="E87" s="3" t="str">
        <x:v>Song ngữ Nghiên cứu</x:v>
      </x:c>
      <x:c r="F87" s="3" t="str">
        <x:v>Localization — Nghiên cứu: Đổi VI sang EN</x:v>
      </x:c>
      <x:c r="G87" s="3" t="str">
        <x:v>Nghiên cứu: Đổi VI sang EN</x:v>
      </x:c>
      <x:c r="H87" s="3" t="str">
        <x:v>PUB-001</x:v>
      </x:c>
      <x:c r="I87" s="3" t="str">
        <x:v>Khách truy cập</x:v>
      </x:c>
      <x:c r="J87" s="3" t="str">
        <x:v>Localization</x:v>
      </x:c>
      <x:c r="K87" s="3" t="str">
        <x:v>Medium</x:v>
      </x:c>
      <x:c r="L87" s="3" t="str">
        <x:v>Medium</x:v>
      </x:c>
      <x:c r="M87" s="3" t="str">
        <x:v>QA/UAT public sẵn sàng; không cần đăng nhập; demo=false cho case tích hợp CMS/public. Ghi viewport, OS và browser thực.</x:v>
      </x:c>
      <x:c r="N87" s="3" t="str">
        <x:v>Dữ liệu QA tổng hợp; xem fixture trong README.</x:v>
      </x:c>
      <x:c r="O87" s="3" t="str">
        <x:v>1. Mở /vi/research
2. Nhấn EN
3. Refresh</x:v>
      </x:c>
      <x:c r="P87" s="3" t="str">
        <x:v>Prefix chuyển /en, giữ route tương ứng; active EN và html lang=en; refresh không trở về VI.</x:v>
      </x:c>
      <x:c r="Q87" s="11" t="str"/>
      <x:c r="R87" s="8" t="str">
        <x:v>NOT RUN</x:v>
      </x:c>
      <x:c r="S87" s="11" t="str">
        <x:v>QA/UAT — cần điền URL/build</x:v>
      </x:c>
      <x:c r="T87" s="11" t="str">
        <x:v>Cần điền phiên bản thực</x:v>
      </x:c>
      <x:c r="U87" s="11" t="str"/>
      <x:c r="V87" s="12" t="str"/>
      <x:c r="W87" s="11" t="str"/>
      <x:c r="X87" s="11" t="str"/>
      <x:c r="Y87" s="3" t="str">
        <x:v>Nguồn: frontend/src/shared/components/layout/LanguageToggle.tsx; frontend/src/messages. </x:v>
      </x:c>
    </x:row>
    <x:row r="88" ht="49" customHeight="1">
      <x:c r="A88" s="3" t="n">
        <x:v>87</x:v>
      </x:c>
      <x:c r="B88" s="3" t="str">
        <x:v>TC_I18N_024</x:v>
      </x:c>
      <x:c r="C88" s="3" t="str">
        <x:v>I18N</x:v>
      </x:c>
      <x:c r="D88" s="3" t="str">
        <x:v>Song ngữ Nghiên cứu</x:v>
      </x:c>
      <x:c r="E88" s="3" t="str">
        <x:v>Song ngữ Nghiên cứu</x:v>
      </x:c>
      <x:c r="F88" s="3" t="str">
        <x:v>Localization — Nghiên cứu: Bản dịch toàn trang</x:v>
      </x:c>
      <x:c r="G88" s="3" t="str">
        <x:v>Nghiên cứu: Bản dịch toàn trang</x:v>
      </x:c>
      <x:c r="H88" s="3" t="str">
        <x:v>PUB-001</x:v>
      </x:c>
      <x:c r="I88" s="3" t="str">
        <x:v>Khách truy cập</x:v>
      </x:c>
      <x:c r="J88" s="3" t="str">
        <x:v>Localization</x:v>
      </x:c>
      <x:c r="K88" s="3" t="str">
        <x:v>Medium</x:v>
      </x:c>
      <x:c r="L88" s="3" t="str">
        <x:v>Medium</x:v>
      </x:c>
      <x:c r="M88" s="3" t="str">
        <x:v>QA/UAT public sẵn sàng; không cần đăng nhập; demo=false cho case tích hợp CMS/public. Ghi viewport, OS và browser thực.</x:v>
      </x:c>
      <x:c r="N88" s="3" t="str">
        <x:v>Dữ liệu QA tổng hợp; xem fixture trong README.</x:v>
      </x:c>
      <x:c r="O88" s="3" t="str">
        <x:v>1. Mở /en/research
2. Cuộn nội dung, mở menu, submit lỗi form nếu có</x:v>
      </x:c>
      <x:c r="P88" s="3" t="str">
        <x:v>Không lộ khóa dịch hoặc lẫn tiếng Việt trong nội dung thuộc phạm vi dịch; ngày/số/validation đúng locale.</x:v>
      </x:c>
      <x:c r="Q88" s="11" t="str"/>
      <x:c r="R88" s="9" t="str">
        <x:v>NEED CONFIRMATION</x:v>
      </x:c>
      <x:c r="S88" s="11" t="str">
        <x:v>QA/UAT — cần điền URL/build</x:v>
      </x:c>
      <x:c r="T88" s="11" t="str">
        <x:v>Cần điền phiên bản thực</x:v>
      </x:c>
      <x:c r="U88" s="11" t="str"/>
      <x:c r="V88" s="12" t="str"/>
      <x:c r="W88" s="11" t="str"/>
      <x:c r="X88" s="11" t="str"/>
      <x:c r="Y88" s="3" t="str">
        <x:v>Nguồn: frontend/src/shared/components/layout/LanguageToggle.tsx; frontend/src/messages. Need Confirmation: Chốt phạm vi dịch nội dung tĩnh và dữ liệu CMS.</x:v>
      </x:c>
    </x:row>
    <x:row r="89" ht="49" customHeight="1">
      <x:c r="A89" s="3" t="n">
        <x:v>88</x:v>
      </x:c>
      <x:c r="B89" s="3" t="str">
        <x:v>TC_I18N_025</x:v>
      </x:c>
      <x:c r="C89" s="3" t="str">
        <x:v>I18N</x:v>
      </x:c>
      <x:c r="D89" s="3" t="str">
        <x:v>Song ngữ Nghiên cứu</x:v>
      </x:c>
      <x:c r="E89" s="3" t="str">
        <x:v>Song ngữ Nghiên cứu</x:v>
      </x:c>
      <x:c r="F89" s="3" t="str">
        <x:v>Localization — Nghiên cứu: Back sau đổi locale</x:v>
      </x:c>
      <x:c r="G89" s="3" t="str">
        <x:v>Nghiên cứu: Back sau đổi locale</x:v>
      </x:c>
      <x:c r="H89" s="3" t="str">
        <x:v>PUB-001</x:v>
      </x:c>
      <x:c r="I89" s="3" t="str">
        <x:v>Khách truy cập</x:v>
      </x:c>
      <x:c r="J89" s="3" t="str">
        <x:v>Localization</x:v>
      </x:c>
      <x:c r="K89" s="3" t="str">
        <x:v>Medium</x:v>
      </x:c>
      <x:c r="L89" s="3" t="str">
        <x:v>Medium</x:v>
      </x:c>
      <x:c r="M89" s="3" t="str">
        <x:v>QA/UAT public sẵn sàng; không cần đăng nhập; demo=false cho case tích hợp CMS/public. Ghi viewport, OS và browser thực.</x:v>
      </x:c>
      <x:c r="N89" s="3" t="str">
        <x:v>Dữ liệu QA tổng hợp; xem fixture trong README.</x:v>
      </x:c>
      <x:c r="O89" s="3" t="str">
        <x:v>1. Mở /vi/research
2. Nhấn EN rồi Back</x:v>
      </x:c>
      <x:c r="P89" s="3" t="str">
        <x:v>Back quay đúng trang VI trước đó; UI và URL locale đồng bộ.</x:v>
      </x:c>
      <x:c r="Q89" s="11" t="str"/>
      <x:c r="R89" s="8" t="str">
        <x:v>NOT RUN</x:v>
      </x:c>
      <x:c r="S89" s="11" t="str">
        <x:v>QA/UAT — cần điền URL/build</x:v>
      </x:c>
      <x:c r="T89" s="11" t="str">
        <x:v>Cần điền phiên bản thực</x:v>
      </x:c>
      <x:c r="U89" s="11" t="str"/>
      <x:c r="V89" s="12" t="str"/>
      <x:c r="W89" s="11" t="str"/>
      <x:c r="X89" s="11" t="str"/>
      <x:c r="Y89" s="3" t="str">
        <x:v>Nguồn: frontend/src/shared/components/layout/LanguageToggle.tsx; frontend/src/messages. </x:v>
      </x:c>
    </x:row>
    <x:row r="90" ht="49" customHeight="1">
      <x:c r="A90" s="3" t="n">
        <x:v>89</x:v>
      </x:c>
      <x:c r="B90" s="3" t="str">
        <x:v>TC_UI_065</x:v>
      </x:c>
      <x:c r="C90" s="3" t="str">
        <x:v>UI</x:v>
      </x:c>
      <x:c r="D90" s="3" t="str">
        <x:v>Responsive Công bố</x:v>
      </x:c>
      <x:c r="E90" s="3" t="str">
        <x:v>Responsive Công bố</x:v>
      </x:c>
      <x:c r="F90" s="3" t="str">
        <x:v>Responsive — Công bố tại 320px</x:v>
      </x:c>
      <x:c r="G90" s="3" t="str">
        <x:v>Công bố tại 320px</x:v>
      </x:c>
      <x:c r="H90" s="3" t="str">
        <x:v>NFR-003</x:v>
      </x:c>
      <x:c r="I90" s="3" t="str">
        <x:v>Khách truy cập</x:v>
      </x:c>
      <x:c r="J90" s="3" t="str">
        <x:v>Responsive</x:v>
      </x:c>
      <x:c r="K90" s="3" t="str">
        <x:v>High</x:v>
      </x:c>
      <x:c r="L90" s="3" t="str">
        <x:v>High</x:v>
      </x:c>
      <x:c r="M90" s="3" t="str">
        <x:v>QA/UAT public sẵn sàng; không cần đăng nhập; demo=false cho case tích hợp CMS/public. Ghi viewport, OS và browser thực.</x:v>
      </x:c>
      <x:c r="N90" s="3" t="str">
        <x:v>Viewport 320×900 CSS px; fixture có tên/tiêu đề dài và tiếng Việt.</x:v>
      </x:c>
      <x:c r="O90" s="3" t="str">
        <x:v>1. Mở /vi/research/cong-bo; viewport 320×900 CSS px, zoom100%
2. Cuộn hết trang và mở tương tác chính
3. Đo scrollWidth so clientWidth và chụp màn hình</x:v>
      </x:c>
      <x:c r="P90" s="3" t="str">
        <x:v>Không tràn ngang toàn trang; chữ/nút không chồng hoặc bị cắt; nội dung/ảnh không mất; bảng rộng cuộn trong vùng bảng. Menu và CTA chính thao tác được.</x:v>
      </x:c>
      <x:c r="Q90" s="11" t="str"/>
      <x:c r="R90" s="8" t="str">
        <x:v>NOT RUN</x:v>
      </x:c>
      <x:c r="S90" s="11" t="str">
        <x:v>QA/UAT — cần điền URL/build</x:v>
      </x:c>
      <x:c r="T90" s="11" t="str">
        <x:v>Cần điền phiên bản thực</x:v>
      </x:c>
      <x:c r="U90" s="11" t="str"/>
      <x:c r="V90" s="12" t="str"/>
      <x:c r="W90" s="11" t="str"/>
      <x:c r="X90" s="11" t="str"/>
      <x:c r="Y90" s="3" t="str">
        <x:v>Nguồn: frontend/src/app; admin/src/app/styles.css. Đánh giá khả dụng theo yêu cầu người dùng; ngưỡng WCAG chính thức vẫn cần phê duyệt.</x:v>
      </x:c>
    </x:row>
    <x:row r="91" ht="49" customHeight="1">
      <x:c r="A91" s="3" t="n">
        <x:v>90</x:v>
      </x:c>
      <x:c r="B91" s="3" t="str">
        <x:v>TC_UI_066</x:v>
      </x:c>
      <x:c r="C91" s="3" t="str">
        <x:v>UI</x:v>
      </x:c>
      <x:c r="D91" s="3" t="str">
        <x:v>Responsive Công bố</x:v>
      </x:c>
      <x:c r="E91" s="3" t="str">
        <x:v>Responsive Công bố</x:v>
      </x:c>
      <x:c r="F91" s="3" t="str">
        <x:v>Responsive — Công bố tại 375px</x:v>
      </x:c>
      <x:c r="G91" s="3" t="str">
        <x:v>Công bố tại 375px</x:v>
      </x:c>
      <x:c r="H91" s="3" t="str">
        <x:v>NFR-003</x:v>
      </x:c>
      <x:c r="I91" s="3" t="str">
        <x:v>Khách truy cập</x:v>
      </x:c>
      <x:c r="J91" s="3" t="str">
        <x:v>Responsive</x:v>
      </x:c>
      <x:c r="K91" s="3" t="str">
        <x:v>Medium</x:v>
      </x:c>
      <x:c r="L91" s="3" t="str">
        <x:v>Medium</x:v>
      </x:c>
      <x:c r="M91" s="3" t="str">
        <x:v>QA/UAT public sẵn sàng; không cần đăng nhập; demo=false cho case tích hợp CMS/public. Ghi viewport, OS và browser thực.</x:v>
      </x:c>
      <x:c r="N91" s="3" t="str">
        <x:v>Viewport 375×900 CSS px; fixture có tên/tiêu đề dài và tiếng Việt.</x:v>
      </x:c>
      <x:c r="O91" s="3" t="str">
        <x:v>1. Mở /vi/research/cong-bo; viewport 375×900 CSS px, zoom100%
2. Cuộn hết trang và mở tương tác chính
3. Đo scrollWidth so clientWidth và chụp màn hình</x:v>
      </x:c>
      <x:c r="P91" s="3" t="str">
        <x:v>Không tràn ngang toàn trang; chữ/nút không chồng hoặc bị cắt; nội dung/ảnh không mất; bảng rộng cuộn trong vùng bảng. Menu và CTA chính thao tác được.</x:v>
      </x:c>
      <x:c r="Q91" s="11" t="str"/>
      <x:c r="R91" s="8" t="str">
        <x:v>NOT RUN</x:v>
      </x:c>
      <x:c r="S91" s="11" t="str">
        <x:v>QA/UAT — cần điền URL/build</x:v>
      </x:c>
      <x:c r="T91" s="11" t="str">
        <x:v>Cần điền phiên bản thực</x:v>
      </x:c>
      <x:c r="U91" s="11" t="str"/>
      <x:c r="V91" s="12" t="str"/>
      <x:c r="W91" s="11" t="str"/>
      <x:c r="X91" s="11" t="str"/>
      <x:c r="Y91" s="3" t="str">
        <x:v>Nguồn: frontend/src/app; admin/src/app/styles.css. Đánh giá khả dụng theo yêu cầu người dùng; ngưỡng WCAG chính thức vẫn cần phê duyệt.</x:v>
      </x:c>
    </x:row>
    <x:row r="92" ht="49" customHeight="1">
      <x:c r="A92" s="3" t="n">
        <x:v>91</x:v>
      </x:c>
      <x:c r="B92" s="3" t="str">
        <x:v>TC_UI_067</x:v>
      </x:c>
      <x:c r="C92" s="3" t="str">
        <x:v>UI</x:v>
      </x:c>
      <x:c r="D92" s="3" t="str">
        <x:v>Responsive Công bố</x:v>
      </x:c>
      <x:c r="E92" s="3" t="str">
        <x:v>Responsive Công bố</x:v>
      </x:c>
      <x:c r="F92" s="3" t="str">
        <x:v>Responsive — Công bố tại 390px</x:v>
      </x:c>
      <x:c r="G92" s="3" t="str">
        <x:v>Công bố tại 390px</x:v>
      </x:c>
      <x:c r="H92" s="3" t="str">
        <x:v>NFR-003</x:v>
      </x:c>
      <x:c r="I92" s="3" t="str">
        <x:v>Khách truy cập</x:v>
      </x:c>
      <x:c r="J92" s="3" t="str">
        <x:v>Responsive</x:v>
      </x:c>
      <x:c r="K92" s="3" t="str">
        <x:v>Medium</x:v>
      </x:c>
      <x:c r="L92" s="3" t="str">
        <x:v>Medium</x:v>
      </x:c>
      <x:c r="M92" s="3" t="str">
        <x:v>QA/UAT public sẵn sàng; không cần đăng nhập; demo=false cho case tích hợp CMS/public. Ghi viewport, OS và browser thực.</x:v>
      </x:c>
      <x:c r="N92" s="3" t="str">
        <x:v>Viewport 390×900 CSS px; fixture có tên/tiêu đề dài và tiếng Việt.</x:v>
      </x:c>
      <x:c r="O92" s="3" t="str">
        <x:v>1. Mở /vi/research/cong-bo; viewport 390×900 CSS px, zoom100%
2. Cuộn hết trang và mở tương tác chính
3. Đo scrollWidth so clientWidth và chụp màn hình</x:v>
      </x:c>
      <x:c r="P92" s="3" t="str">
        <x:v>Không tràn ngang toàn trang; chữ/nút không chồng hoặc bị cắt; nội dung/ảnh không mất; bảng rộng cuộn trong vùng bảng. Menu và CTA chính thao tác được.</x:v>
      </x:c>
      <x:c r="Q92" s="11" t="str"/>
      <x:c r="R92" s="8" t="str">
        <x:v>NOT RUN</x:v>
      </x:c>
      <x:c r="S92" s="11" t="str">
        <x:v>QA/UAT — cần điền URL/build</x:v>
      </x:c>
      <x:c r="T92" s="11" t="str">
        <x:v>Cần điền phiên bản thực</x:v>
      </x:c>
      <x:c r="U92" s="11" t="str"/>
      <x:c r="V92" s="12" t="str"/>
      <x:c r="W92" s="11" t="str"/>
      <x:c r="X92" s="11" t="str"/>
      <x:c r="Y92" s="3" t="str">
        <x:v>Nguồn: frontend/src/app; admin/src/app/styles.css. Đánh giá khả dụng theo yêu cầu người dùng; ngưỡng WCAG chính thức vẫn cần phê duyệt.</x:v>
      </x:c>
    </x:row>
    <x:row r="93" ht="49" customHeight="1">
      <x:c r="A93" s="3" t="n">
        <x:v>92</x:v>
      </x:c>
      <x:c r="B93" s="3" t="str">
        <x:v>TC_UI_068</x:v>
      </x:c>
      <x:c r="C93" s="3" t="str">
        <x:v>UI</x:v>
      </x:c>
      <x:c r="D93" s="3" t="str">
        <x:v>Responsive Công bố</x:v>
      </x:c>
      <x:c r="E93" s="3" t="str">
        <x:v>Responsive Công bố</x:v>
      </x:c>
      <x:c r="F93" s="3" t="str">
        <x:v>Responsive — Công bố tại 768px</x:v>
      </x:c>
      <x:c r="G93" s="3" t="str">
        <x:v>Công bố tại 768px</x:v>
      </x:c>
      <x:c r="H93" s="3" t="str">
        <x:v>NFR-003</x:v>
      </x:c>
      <x:c r="I93" s="3" t="str">
        <x:v>Khách truy cập</x:v>
      </x:c>
      <x:c r="J93" s="3" t="str">
        <x:v>Responsive</x:v>
      </x:c>
      <x:c r="K93" s="3" t="str">
        <x:v>Medium</x:v>
      </x:c>
      <x:c r="L93" s="3" t="str">
        <x:v>Medium</x:v>
      </x:c>
      <x:c r="M93" s="3" t="str">
        <x:v>QA/UAT public sẵn sàng; không cần đăng nhập; demo=false cho case tích hợp CMS/public. Ghi viewport, OS và browser thực.</x:v>
      </x:c>
      <x:c r="N93" s="3" t="str">
        <x:v>Viewport 768×900 CSS px; fixture có tên/tiêu đề dài và tiếng Việt.</x:v>
      </x:c>
      <x:c r="O93" s="3" t="str">
        <x:v>1. Mở /vi/research/cong-bo; viewport 768×900 CSS px, zoom100%
2. Cuộn hết trang và mở tương tác chính
3. Đo scrollWidth so clientWidth và chụp màn hình</x:v>
      </x:c>
      <x:c r="P93" s="3" t="str">
        <x:v>Không tràn ngang toàn trang; chữ/nút không chồng hoặc bị cắt; nội dung/ảnh không mất; bảng rộng cuộn trong vùng bảng. Menu và CTA chính thao tác được.</x:v>
      </x:c>
      <x:c r="Q93" s="11" t="str"/>
      <x:c r="R93" s="8" t="str">
        <x:v>NOT RUN</x:v>
      </x:c>
      <x:c r="S93" s="11" t="str">
        <x:v>QA/UAT — cần điền URL/build</x:v>
      </x:c>
      <x:c r="T93" s="11" t="str">
        <x:v>Cần điền phiên bản thực</x:v>
      </x:c>
      <x:c r="U93" s="11" t="str"/>
      <x:c r="V93" s="12" t="str"/>
      <x:c r="W93" s="11" t="str"/>
      <x:c r="X93" s="11" t="str"/>
      <x:c r="Y93" s="3" t="str">
        <x:v>Nguồn: frontend/src/app; admin/src/app/styles.css. Đánh giá khả dụng theo yêu cầu người dùng; ngưỡng WCAG chính thức vẫn cần phê duyệt.</x:v>
      </x:c>
    </x:row>
    <x:row r="94" ht="49" customHeight="1">
      <x:c r="A94" s="3" t="n">
        <x:v>93</x:v>
      </x:c>
      <x:c r="B94" s="3" t="str">
        <x:v>TC_UI_069</x:v>
      </x:c>
      <x:c r="C94" s="3" t="str">
        <x:v>UI</x:v>
      </x:c>
      <x:c r="D94" s="3" t="str">
        <x:v>Responsive Công bố</x:v>
      </x:c>
      <x:c r="E94" s="3" t="str">
        <x:v>Responsive Công bố</x:v>
      </x:c>
      <x:c r="F94" s="3" t="str">
        <x:v>Responsive — Công bố tại 1024px</x:v>
      </x:c>
      <x:c r="G94" s="3" t="str">
        <x:v>Công bố tại 1024px</x:v>
      </x:c>
      <x:c r="H94" s="3" t="str">
        <x:v>NFR-003</x:v>
      </x:c>
      <x:c r="I94" s="3" t="str">
        <x:v>Khách truy cập</x:v>
      </x:c>
      <x:c r="J94" s="3" t="str">
        <x:v>Responsive</x:v>
      </x:c>
      <x:c r="K94" s="3" t="str">
        <x:v>Medium</x:v>
      </x:c>
      <x:c r="L94" s="3" t="str">
        <x:v>Medium</x:v>
      </x:c>
      <x:c r="M94" s="3" t="str">
        <x:v>QA/UAT public sẵn sàng; không cần đăng nhập; demo=false cho case tích hợp CMS/public. Ghi viewport, OS và browser thực.</x:v>
      </x:c>
      <x:c r="N94" s="3" t="str">
        <x:v>Viewport 1024×900 CSS px; fixture có tên/tiêu đề dài và tiếng Việt.</x:v>
      </x:c>
      <x:c r="O94" s="3" t="str">
        <x:v>1. Mở /vi/research/cong-bo; viewport 1024×900 CSS px, zoom100%
2. Cuộn hết trang và mở tương tác chính
3. Đo scrollWidth so clientWidth và chụp màn hình</x:v>
      </x:c>
      <x:c r="P94" s="3" t="str">
        <x:v>Không tràn ngang toàn trang; chữ/nút không chồng hoặc bị cắt; nội dung/ảnh không mất; bảng rộng cuộn trong vùng bảng. Menu và CTA chính thao tác được.</x:v>
      </x:c>
      <x:c r="Q94" s="11" t="str"/>
      <x:c r="R94" s="8" t="str">
        <x:v>NOT RUN</x:v>
      </x:c>
      <x:c r="S94" s="11" t="str">
        <x:v>QA/UAT — cần điền URL/build</x:v>
      </x:c>
      <x:c r="T94" s="11" t="str">
        <x:v>Cần điền phiên bản thực</x:v>
      </x:c>
      <x:c r="U94" s="11" t="str"/>
      <x:c r="V94" s="12" t="str"/>
      <x:c r="W94" s="11" t="str"/>
      <x:c r="X94" s="11" t="str"/>
      <x:c r="Y94" s="3" t="str">
        <x:v>Nguồn: frontend/src/app; admin/src/app/styles.css. Đánh giá khả dụng theo yêu cầu người dùng; ngưỡng WCAG chính thức vẫn cần phê duyệt.</x:v>
      </x:c>
    </x:row>
    <x:row r="95" ht="49" customHeight="1">
      <x:c r="A95" s="3" t="n">
        <x:v>94</x:v>
      </x:c>
      <x:c r="B95" s="3" t="str">
        <x:v>TC_UI_070</x:v>
      </x:c>
      <x:c r="C95" s="3" t="str">
        <x:v>UI</x:v>
      </x:c>
      <x:c r="D95" s="3" t="str">
        <x:v>Responsive Công bố</x:v>
      </x:c>
      <x:c r="E95" s="3" t="str">
        <x:v>Responsive Công bố</x:v>
      </x:c>
      <x:c r="F95" s="3" t="str">
        <x:v>Responsive — Công bố tại 1280px</x:v>
      </x:c>
      <x:c r="G95" s="3" t="str">
        <x:v>Công bố tại 1280px</x:v>
      </x:c>
      <x:c r="H95" s="3" t="str">
        <x:v>NFR-003</x:v>
      </x:c>
      <x:c r="I95" s="3" t="str">
        <x:v>Khách truy cập</x:v>
      </x:c>
      <x:c r="J95" s="3" t="str">
        <x:v>Responsive</x:v>
      </x:c>
      <x:c r="K95" s="3" t="str">
        <x:v>Medium</x:v>
      </x:c>
      <x:c r="L95" s="3" t="str">
        <x:v>Medium</x:v>
      </x:c>
      <x:c r="M95" s="3" t="str">
        <x:v>QA/UAT public sẵn sàng; không cần đăng nhập; demo=false cho case tích hợp CMS/public. Ghi viewport, OS và browser thực.</x:v>
      </x:c>
      <x:c r="N95" s="3" t="str">
        <x:v>Viewport 1280×900 CSS px; fixture có tên/tiêu đề dài và tiếng Việt.</x:v>
      </x:c>
      <x:c r="O95" s="3" t="str">
        <x:v>1. Mở /vi/research/cong-bo; viewport 1280×900 CSS px, zoom100%
2. Cuộn hết trang và mở tương tác chính
3. Đo scrollWidth so clientWidth và chụp màn hình</x:v>
      </x:c>
      <x:c r="P95" s="3" t="str">
        <x:v>Không tràn ngang toàn trang; chữ/nút không chồng hoặc bị cắt; nội dung/ảnh không mất; bảng rộng cuộn trong vùng bảng. Menu và CTA chính thao tác được.</x:v>
      </x:c>
      <x:c r="Q95" s="11" t="str"/>
      <x:c r="R95" s="8" t="str">
        <x:v>NOT RUN</x:v>
      </x:c>
      <x:c r="S95" s="11" t="str">
        <x:v>QA/UAT — cần điền URL/build</x:v>
      </x:c>
      <x:c r="T95" s="11" t="str">
        <x:v>Cần điền phiên bản thực</x:v>
      </x:c>
      <x:c r="U95" s="11" t="str"/>
      <x:c r="V95" s="12" t="str"/>
      <x:c r="W95" s="11" t="str"/>
      <x:c r="X95" s="11" t="str"/>
      <x:c r="Y95" s="3" t="str">
        <x:v>Nguồn: frontend/src/app; admin/src/app/styles.css. Đánh giá khả dụng theo yêu cầu người dùng; ngưỡng WCAG chính thức vẫn cần phê duyệt.</x:v>
      </x:c>
    </x:row>
    <x:row r="96" ht="49" customHeight="1">
      <x:c r="A96" s="3" t="n">
        <x:v>95</x:v>
      </x:c>
      <x:c r="B96" s="3" t="str">
        <x:v>TC_UI_071</x:v>
      </x:c>
      <x:c r="C96" s="3" t="str">
        <x:v>UI</x:v>
      </x:c>
      <x:c r="D96" s="3" t="str">
        <x:v>Responsive Công bố</x:v>
      </x:c>
      <x:c r="E96" s="3" t="str">
        <x:v>Responsive Công bố</x:v>
      </x:c>
      <x:c r="F96" s="3" t="str">
        <x:v>Responsive — Công bố tại 1440px</x:v>
      </x:c>
      <x:c r="G96" s="3" t="str">
        <x:v>Công bố tại 1440px</x:v>
      </x:c>
      <x:c r="H96" s="3" t="str">
        <x:v>NFR-003</x:v>
      </x:c>
      <x:c r="I96" s="3" t="str">
        <x:v>Khách truy cập</x:v>
      </x:c>
      <x:c r="J96" s="3" t="str">
        <x:v>Responsive</x:v>
      </x:c>
      <x:c r="K96" s="3" t="str">
        <x:v>Medium</x:v>
      </x:c>
      <x:c r="L96" s="3" t="str">
        <x:v>Medium</x:v>
      </x:c>
      <x:c r="M96" s="3" t="str">
        <x:v>QA/UAT public sẵn sàng; không cần đăng nhập; demo=false cho case tích hợp CMS/public. Ghi viewport, OS và browser thực.</x:v>
      </x:c>
      <x:c r="N96" s="3" t="str">
        <x:v>Viewport 1440×900 CSS px; fixture có tên/tiêu đề dài và tiếng Việt.</x:v>
      </x:c>
      <x:c r="O96" s="3" t="str">
        <x:v>1. Mở /vi/research/cong-bo; viewport 1440×900 CSS px, zoom100%
2. Cuộn hết trang và mở tương tác chính
3. Đo scrollWidth so clientWidth và chụp màn hình</x:v>
      </x:c>
      <x:c r="P96" s="3" t="str">
        <x:v>Không tràn ngang toàn trang; chữ/nút không chồng hoặc bị cắt; nội dung/ảnh không mất; bảng rộng cuộn trong vùng bảng. Menu và CTA chính thao tác được.</x:v>
      </x:c>
      <x:c r="Q96" s="11" t="str"/>
      <x:c r="R96" s="8" t="str">
        <x:v>NOT RUN</x:v>
      </x:c>
      <x:c r="S96" s="11" t="str">
        <x:v>QA/UAT — cần điền URL/build</x:v>
      </x:c>
      <x:c r="T96" s="11" t="str">
        <x:v>Cần điền phiên bản thực</x:v>
      </x:c>
      <x:c r="U96" s="11" t="str"/>
      <x:c r="V96" s="12" t="str"/>
      <x:c r="W96" s="11" t="str"/>
      <x:c r="X96" s="11" t="str"/>
      <x:c r="Y96" s="3" t="str">
        <x:v>Nguồn: frontend/src/app; admin/src/app/styles.css. Đánh giá khả dụng theo yêu cầu người dùng; ngưỡng WCAG chính thức vẫn cần phê duyệt.</x:v>
      </x:c>
    </x:row>
    <x:row r="97" ht="49" customHeight="1">
      <x:c r="A97" s="3" t="n">
        <x:v>96</x:v>
      </x:c>
      <x:c r="B97" s="3" t="str">
        <x:v>TC_UI_072</x:v>
      </x:c>
      <x:c r="C97" s="3" t="str">
        <x:v>UI</x:v>
      </x:c>
      <x:c r="D97" s="3" t="str">
        <x:v>Responsive Công bố</x:v>
      </x:c>
      <x:c r="E97" s="3" t="str">
        <x:v>Responsive Công bố</x:v>
      </x:c>
      <x:c r="F97" s="3" t="str">
        <x:v>Responsive — Công bố tại 1920px</x:v>
      </x:c>
      <x:c r="G97" s="3" t="str">
        <x:v>Công bố tại 1920px</x:v>
      </x:c>
      <x:c r="H97" s="3" t="str">
        <x:v>NFR-003</x:v>
      </x:c>
      <x:c r="I97" s="3" t="str">
        <x:v>Khách truy cập</x:v>
      </x:c>
      <x:c r="J97" s="3" t="str">
        <x:v>Responsive</x:v>
      </x:c>
      <x:c r="K97" s="3" t="str">
        <x:v>Medium</x:v>
      </x:c>
      <x:c r="L97" s="3" t="str">
        <x:v>Medium</x:v>
      </x:c>
      <x:c r="M97" s="3" t="str">
        <x:v>QA/UAT public sẵn sàng; không cần đăng nhập; demo=false cho case tích hợp CMS/public. Ghi viewport, OS và browser thực.</x:v>
      </x:c>
      <x:c r="N97" s="3" t="str">
        <x:v>Viewport 1920×900 CSS px; fixture có tên/tiêu đề dài và tiếng Việt.</x:v>
      </x:c>
      <x:c r="O97" s="3" t="str">
        <x:v>1. Mở /vi/research/cong-bo; viewport 1920×900 CSS px, zoom100%
2. Cuộn hết trang và mở tương tác chính
3. Đo scrollWidth so clientWidth và chụp màn hình</x:v>
      </x:c>
      <x:c r="P97" s="3" t="str">
        <x:v>Không tràn ngang toàn trang; chữ/nút không chồng hoặc bị cắt; nội dung/ảnh không mất; bảng rộng cuộn trong vùng bảng. Menu và CTA chính thao tác được.</x:v>
      </x:c>
      <x:c r="Q97" s="11" t="str"/>
      <x:c r="R97" s="8" t="str">
        <x:v>NOT RUN</x:v>
      </x:c>
      <x:c r="S97" s="11" t="str">
        <x:v>QA/UAT — cần điền URL/build</x:v>
      </x:c>
      <x:c r="T97" s="11" t="str">
        <x:v>Cần điền phiên bản thực</x:v>
      </x:c>
      <x:c r="U97" s="11" t="str"/>
      <x:c r="V97" s="12" t="str"/>
      <x:c r="W97" s="11" t="str"/>
      <x:c r="X97" s="11" t="str"/>
      <x:c r="Y97" s="3" t="str">
        <x:v>Nguồn: frontend/src/app; admin/src/app/styles.css. Đánh giá khả dụng theo yêu cầu người dùng; ngưỡng WCAG chính thức vẫn cần phê duyệt.</x:v>
      </x:c>
    </x:row>
    <x:row r="98" ht="49" customHeight="1">
      <x:c r="A98" s="3" t="n">
        <x:v>97</x:v>
      </x:c>
      <x:c r="B98" s="3" t="str">
        <x:v>TC_I18N_026</x:v>
      </x:c>
      <x:c r="C98" s="3" t="str">
        <x:v>I18N</x:v>
      </x:c>
      <x:c r="D98" s="3" t="str">
        <x:v>Song ngữ Công bố</x:v>
      </x:c>
      <x:c r="E98" s="3" t="str">
        <x:v>Song ngữ Công bố</x:v>
      </x:c>
      <x:c r="F98" s="3" t="str">
        <x:v>Localization — Công bố: Đổi VI sang EN</x:v>
      </x:c>
      <x:c r="G98" s="3" t="str">
        <x:v>Công bố: Đổi VI sang EN</x:v>
      </x:c>
      <x:c r="H98" s="3" t="str">
        <x:v>PUB-001</x:v>
      </x:c>
      <x:c r="I98" s="3" t="str">
        <x:v>Khách truy cập</x:v>
      </x:c>
      <x:c r="J98" s="3" t="str">
        <x:v>Localization</x:v>
      </x:c>
      <x:c r="K98" s="3" t="str">
        <x:v>Medium</x:v>
      </x:c>
      <x:c r="L98" s="3" t="str">
        <x:v>Medium</x:v>
      </x:c>
      <x:c r="M98" s="3" t="str">
        <x:v>QA/UAT public sẵn sàng; không cần đăng nhập; demo=false cho case tích hợp CMS/public. Ghi viewport, OS và browser thực.</x:v>
      </x:c>
      <x:c r="N98" s="3" t="str">
        <x:v>Dữ liệu QA tổng hợp; xem fixture trong README.</x:v>
      </x:c>
      <x:c r="O98" s="3" t="str">
        <x:v>1. Mở /vi/research/cong-bo
2. Nhấn EN
3. Refresh</x:v>
      </x:c>
      <x:c r="P98" s="3" t="str">
        <x:v>Prefix chuyển /en, giữ route tương ứng; active EN và html lang=en; refresh không trở về VI.</x:v>
      </x:c>
      <x:c r="Q98" s="11" t="str"/>
      <x:c r="R98" s="8" t="str">
        <x:v>NOT RUN</x:v>
      </x:c>
      <x:c r="S98" s="11" t="str">
        <x:v>QA/UAT — cần điền URL/build</x:v>
      </x:c>
      <x:c r="T98" s="11" t="str">
        <x:v>Cần điền phiên bản thực</x:v>
      </x:c>
      <x:c r="U98" s="11" t="str"/>
      <x:c r="V98" s="12" t="str"/>
      <x:c r="W98" s="11" t="str"/>
      <x:c r="X98" s="11" t="str"/>
      <x:c r="Y98" s="3" t="str">
        <x:v>Nguồn: frontend/src/shared/components/layout/LanguageToggle.tsx; frontend/src/messages. </x:v>
      </x:c>
    </x:row>
    <x:row r="99" ht="49" customHeight="1">
      <x:c r="A99" s="3" t="n">
        <x:v>98</x:v>
      </x:c>
      <x:c r="B99" s="3" t="str">
        <x:v>TC_I18N_027</x:v>
      </x:c>
      <x:c r="C99" s="3" t="str">
        <x:v>I18N</x:v>
      </x:c>
      <x:c r="D99" s="3" t="str">
        <x:v>Song ngữ Công bố</x:v>
      </x:c>
      <x:c r="E99" s="3" t="str">
        <x:v>Song ngữ Công bố</x:v>
      </x:c>
      <x:c r="F99" s="3" t="str">
        <x:v>Localization — Công bố: Bản dịch toàn trang</x:v>
      </x:c>
      <x:c r="G99" s="3" t="str">
        <x:v>Công bố: Bản dịch toàn trang</x:v>
      </x:c>
      <x:c r="H99" s="3" t="str">
        <x:v>PUB-001</x:v>
      </x:c>
      <x:c r="I99" s="3" t="str">
        <x:v>Khách truy cập</x:v>
      </x:c>
      <x:c r="J99" s="3" t="str">
        <x:v>Localization</x:v>
      </x:c>
      <x:c r="K99" s="3" t="str">
        <x:v>Medium</x:v>
      </x:c>
      <x:c r="L99" s="3" t="str">
        <x:v>Medium</x:v>
      </x:c>
      <x:c r="M99" s="3" t="str">
        <x:v>QA/UAT public sẵn sàng; không cần đăng nhập; demo=false cho case tích hợp CMS/public. Ghi viewport, OS và browser thực.</x:v>
      </x:c>
      <x:c r="N99" s="3" t="str">
        <x:v>Dữ liệu QA tổng hợp; xem fixture trong README.</x:v>
      </x:c>
      <x:c r="O99" s="3" t="str">
        <x:v>1. Mở /en/research/cong-bo
2. Cuộn nội dung, mở menu, submit lỗi form nếu có</x:v>
      </x:c>
      <x:c r="P99" s="3" t="str">
        <x:v>Không lộ khóa dịch hoặc lẫn tiếng Việt trong nội dung thuộc phạm vi dịch; ngày/số/validation đúng locale.</x:v>
      </x:c>
      <x:c r="Q99" s="11" t="str"/>
      <x:c r="R99" s="9" t="str">
        <x:v>NEED CONFIRMATION</x:v>
      </x:c>
      <x:c r="S99" s="11" t="str">
        <x:v>QA/UAT — cần điền URL/build</x:v>
      </x:c>
      <x:c r="T99" s="11" t="str">
        <x:v>Cần điền phiên bản thực</x:v>
      </x:c>
      <x:c r="U99" s="11" t="str"/>
      <x:c r="V99" s="12" t="str"/>
      <x:c r="W99" s="11" t="str"/>
      <x:c r="X99" s="11" t="str"/>
      <x:c r="Y99" s="3" t="str">
        <x:v>Nguồn: frontend/src/shared/components/layout/LanguageToggle.tsx; frontend/src/messages. Need Confirmation: Chốt phạm vi dịch nội dung tĩnh và dữ liệu CMS.</x:v>
      </x:c>
    </x:row>
    <x:row r="100" ht="49" customHeight="1">
      <x:c r="A100" s="3" t="n">
        <x:v>99</x:v>
      </x:c>
      <x:c r="B100" s="3" t="str">
        <x:v>TC_I18N_028</x:v>
      </x:c>
      <x:c r="C100" s="3" t="str">
        <x:v>I18N</x:v>
      </x:c>
      <x:c r="D100" s="3" t="str">
        <x:v>Song ngữ Công bố</x:v>
      </x:c>
      <x:c r="E100" s="3" t="str">
        <x:v>Song ngữ Công bố</x:v>
      </x:c>
      <x:c r="F100" s="3" t="str">
        <x:v>Localization — Công bố: Back sau đổi locale</x:v>
      </x:c>
      <x:c r="G100" s="3" t="str">
        <x:v>Công bố: Back sau đổi locale</x:v>
      </x:c>
      <x:c r="H100" s="3" t="str">
        <x:v>PUB-001</x:v>
      </x:c>
      <x:c r="I100" s="3" t="str">
        <x:v>Khách truy cập</x:v>
      </x:c>
      <x:c r="J100" s="3" t="str">
        <x:v>Localization</x:v>
      </x:c>
      <x:c r="K100" s="3" t="str">
        <x:v>Medium</x:v>
      </x:c>
      <x:c r="L100" s="3" t="str">
        <x:v>Medium</x:v>
      </x:c>
      <x:c r="M100" s="3" t="str">
        <x:v>QA/UAT public sẵn sàng; không cần đăng nhập; demo=false cho case tích hợp CMS/public. Ghi viewport, OS và browser thực.</x:v>
      </x:c>
      <x:c r="N100" s="3" t="str">
        <x:v>Dữ liệu QA tổng hợp; xem fixture trong README.</x:v>
      </x:c>
      <x:c r="O100" s="3" t="str">
        <x:v>1. Mở /vi/research/cong-bo
2. Nhấn EN rồi Back</x:v>
      </x:c>
      <x:c r="P100" s="3" t="str">
        <x:v>Back quay đúng trang VI trước đó; UI và URL locale đồng bộ.</x:v>
      </x:c>
      <x:c r="Q100" s="11" t="str"/>
      <x:c r="R100" s="8" t="str">
        <x:v>NOT RUN</x:v>
      </x:c>
      <x:c r="S100" s="11" t="str">
        <x:v>QA/UAT — cần điền URL/build</x:v>
      </x:c>
      <x:c r="T100" s="11" t="str">
        <x:v>Cần điền phiên bản thực</x:v>
      </x:c>
      <x:c r="U100" s="11" t="str"/>
      <x:c r="V100" s="12" t="str"/>
      <x:c r="W100" s="11" t="str"/>
      <x:c r="X100" s="11" t="str"/>
      <x:c r="Y100" s="3" t="str">
        <x:v>Nguồn: frontend/src/shared/components/layout/LanguageToggle.tsx; frontend/src/messages. </x:v>
      </x:c>
    </x:row>
    <x:row r="101" ht="49" customHeight="1">
      <x:c r="A101" s="3" t="n">
        <x:v>100</x:v>
      </x:c>
      <x:c r="B101" s="3" t="str">
        <x:v>TC_UI_073</x:v>
      </x:c>
      <x:c r="C101" s="3" t="str">
        <x:v>UI</x:v>
      </x:c>
      <x:c r="D101" s="3" t="str">
        <x:v>Responsive Người học</x:v>
      </x:c>
      <x:c r="E101" s="3" t="str">
        <x:v>Responsive Người học</x:v>
      </x:c>
      <x:c r="F101" s="3" t="str">
        <x:v>Responsive — Người học tại 320px</x:v>
      </x:c>
      <x:c r="G101" s="3" t="str">
        <x:v>Người học tại 320px</x:v>
      </x:c>
      <x:c r="H101" s="3" t="str">
        <x:v>NFR-003</x:v>
      </x:c>
      <x:c r="I101" s="3" t="str">
        <x:v>Khách truy cập</x:v>
      </x:c>
      <x:c r="J101" s="3" t="str">
        <x:v>Responsive</x:v>
      </x:c>
      <x:c r="K101" s="3" t="str">
        <x:v>High</x:v>
      </x:c>
      <x:c r="L101" s="3" t="str">
        <x:v>High</x:v>
      </x:c>
      <x:c r="M101" s="3" t="str">
        <x:v>QA/UAT public sẵn sàng; không cần đăng nhập; demo=false cho case tích hợp CMS/public. Ghi viewport, OS và browser thực.</x:v>
      </x:c>
      <x:c r="N101" s="3" t="str">
        <x:v>Viewport 320×900 CSS px; fixture có tên/tiêu đề dài và tiếng Việt.</x:v>
      </x:c>
      <x:c r="O101" s="3" t="str">
        <x:v>1. Mở /vi/student-success; viewport 320×900 CSS px, zoom100%
2. Cuộn hết trang và mở tương tác chính
3. Đo scrollWidth so clientWidth và chụp màn hình</x:v>
      </x:c>
      <x:c r="P101" s="3" t="str">
        <x:v>Không tràn ngang toàn trang; chữ/nút không chồng hoặc bị cắt; nội dung/ảnh không mất; bảng rộng cuộn trong vùng bảng. Menu và CTA chính thao tác được.</x:v>
      </x:c>
      <x:c r="Q101" s="11" t="str"/>
      <x:c r="R101" s="8" t="str">
        <x:v>NOT RUN</x:v>
      </x:c>
      <x:c r="S101" s="11" t="str">
        <x:v>QA/UAT — cần điền URL/build</x:v>
      </x:c>
      <x:c r="T101" s="11" t="str">
        <x:v>Cần điền phiên bản thực</x:v>
      </x:c>
      <x:c r="U101" s="11" t="str"/>
      <x:c r="V101" s="12" t="str"/>
      <x:c r="W101" s="11" t="str"/>
      <x:c r="X101" s="11" t="str"/>
      <x:c r="Y101" s="3" t="str">
        <x:v>Nguồn: frontend/src/app; admin/src/app/styles.css. Đánh giá khả dụng theo yêu cầu người dùng; ngưỡng WCAG chính thức vẫn cần phê duyệt.</x:v>
      </x:c>
    </x:row>
    <x:row r="102" ht="49" customHeight="1">
      <x:c r="A102" s="3" t="n">
        <x:v>101</x:v>
      </x:c>
      <x:c r="B102" s="3" t="str">
        <x:v>TC_UI_074</x:v>
      </x:c>
      <x:c r="C102" s="3" t="str">
        <x:v>UI</x:v>
      </x:c>
      <x:c r="D102" s="3" t="str">
        <x:v>Responsive Người học</x:v>
      </x:c>
      <x:c r="E102" s="3" t="str">
        <x:v>Responsive Người học</x:v>
      </x:c>
      <x:c r="F102" s="3" t="str">
        <x:v>Responsive — Người học tại 375px</x:v>
      </x:c>
      <x:c r="G102" s="3" t="str">
        <x:v>Người học tại 375px</x:v>
      </x:c>
      <x:c r="H102" s="3" t="str">
        <x:v>NFR-003</x:v>
      </x:c>
      <x:c r="I102" s="3" t="str">
        <x:v>Khách truy cập</x:v>
      </x:c>
      <x:c r="J102" s="3" t="str">
        <x:v>Responsive</x:v>
      </x:c>
      <x:c r="K102" s="3" t="str">
        <x:v>Medium</x:v>
      </x:c>
      <x:c r="L102" s="3" t="str">
        <x:v>Medium</x:v>
      </x:c>
      <x:c r="M102" s="3" t="str">
        <x:v>QA/UAT public sẵn sàng; không cần đăng nhập; demo=false cho case tích hợp CMS/public. Ghi viewport, OS và browser thực.</x:v>
      </x:c>
      <x:c r="N102" s="3" t="str">
        <x:v>Viewport 375×900 CSS px; fixture có tên/tiêu đề dài và tiếng Việt.</x:v>
      </x:c>
      <x:c r="O102" s="3" t="str">
        <x:v>1. Mở /vi/student-success; viewport 375×900 CSS px, zoom100%
2. Cuộn hết trang và mở tương tác chính
3. Đo scrollWidth so clientWidth và chụp màn hình</x:v>
      </x:c>
      <x:c r="P102" s="3" t="str">
        <x:v>Không tràn ngang toàn trang; chữ/nút không chồng hoặc bị cắt; nội dung/ảnh không mất; bảng rộng cuộn trong vùng bảng. Menu và CTA chính thao tác được.</x:v>
      </x:c>
      <x:c r="Q102" s="11" t="str"/>
      <x:c r="R102" s="8" t="str">
        <x:v>NOT RUN</x:v>
      </x:c>
      <x:c r="S102" s="11" t="str">
        <x:v>QA/UAT — cần điền URL/build</x:v>
      </x:c>
      <x:c r="T102" s="11" t="str">
        <x:v>Cần điền phiên bản thực</x:v>
      </x:c>
      <x:c r="U102" s="11" t="str"/>
      <x:c r="V102" s="12" t="str"/>
      <x:c r="W102" s="11" t="str"/>
      <x:c r="X102" s="11" t="str"/>
      <x:c r="Y102" s="3" t="str">
        <x:v>Nguồn: frontend/src/app; admin/src/app/styles.css. Đánh giá khả dụng theo yêu cầu người dùng; ngưỡng WCAG chính thức vẫn cần phê duyệt.</x:v>
      </x:c>
    </x:row>
    <x:row r="103" ht="49" customHeight="1">
      <x:c r="A103" s="3" t="n">
        <x:v>102</x:v>
      </x:c>
      <x:c r="B103" s="3" t="str">
        <x:v>TC_UI_075</x:v>
      </x:c>
      <x:c r="C103" s="3" t="str">
        <x:v>UI</x:v>
      </x:c>
      <x:c r="D103" s="3" t="str">
        <x:v>Responsive Người học</x:v>
      </x:c>
      <x:c r="E103" s="3" t="str">
        <x:v>Responsive Người học</x:v>
      </x:c>
      <x:c r="F103" s="3" t="str">
        <x:v>Responsive — Người học tại 390px</x:v>
      </x:c>
      <x:c r="G103" s="3" t="str">
        <x:v>Người học tại 390px</x:v>
      </x:c>
      <x:c r="H103" s="3" t="str">
        <x:v>NFR-003</x:v>
      </x:c>
      <x:c r="I103" s="3" t="str">
        <x:v>Khách truy cập</x:v>
      </x:c>
      <x:c r="J103" s="3" t="str">
        <x:v>Responsive</x:v>
      </x:c>
      <x:c r="K103" s="3" t="str">
        <x:v>Medium</x:v>
      </x:c>
      <x:c r="L103" s="3" t="str">
        <x:v>Medium</x:v>
      </x:c>
      <x:c r="M103" s="3" t="str">
        <x:v>QA/UAT public sẵn sàng; không cần đăng nhập; demo=false cho case tích hợp CMS/public. Ghi viewport, OS và browser thực.</x:v>
      </x:c>
      <x:c r="N103" s="3" t="str">
        <x:v>Viewport 390×900 CSS px; fixture có tên/tiêu đề dài và tiếng Việt.</x:v>
      </x:c>
      <x:c r="O103" s="3" t="str">
        <x:v>1. Mở /vi/student-success; viewport 390×900 CSS px, zoom100%
2. Cuộn hết trang và mở tương tác chính
3. Đo scrollWidth so clientWidth và chụp màn hình</x:v>
      </x:c>
      <x:c r="P103" s="3" t="str">
        <x:v>Không tràn ngang toàn trang; chữ/nút không chồng hoặc bị cắt; nội dung/ảnh không mất; bảng rộng cuộn trong vùng bảng. Menu và CTA chính thao tác được.</x:v>
      </x:c>
      <x:c r="Q103" s="11" t="str"/>
      <x:c r="R103" s="8" t="str">
        <x:v>NOT RUN</x:v>
      </x:c>
      <x:c r="S103" s="11" t="str">
        <x:v>QA/UAT — cần điền URL/build</x:v>
      </x:c>
      <x:c r="T103" s="11" t="str">
        <x:v>Cần điền phiên bản thực</x:v>
      </x:c>
      <x:c r="U103" s="11" t="str"/>
      <x:c r="V103" s="12" t="str"/>
      <x:c r="W103" s="11" t="str"/>
      <x:c r="X103" s="11" t="str"/>
      <x:c r="Y103" s="3" t="str">
        <x:v>Nguồn: frontend/src/app; admin/src/app/styles.css. Đánh giá khả dụng theo yêu cầu người dùng; ngưỡng WCAG chính thức vẫn cần phê duyệt.</x:v>
      </x:c>
    </x:row>
    <x:row r="104" ht="49" customHeight="1">
      <x:c r="A104" s="3" t="n">
        <x:v>103</x:v>
      </x:c>
      <x:c r="B104" s="3" t="str">
        <x:v>TC_UI_076</x:v>
      </x:c>
      <x:c r="C104" s="3" t="str">
        <x:v>UI</x:v>
      </x:c>
      <x:c r="D104" s="3" t="str">
        <x:v>Responsive Người học</x:v>
      </x:c>
      <x:c r="E104" s="3" t="str">
        <x:v>Responsive Người học</x:v>
      </x:c>
      <x:c r="F104" s="3" t="str">
        <x:v>Responsive — Người học tại 768px</x:v>
      </x:c>
      <x:c r="G104" s="3" t="str">
        <x:v>Người học tại 768px</x:v>
      </x:c>
      <x:c r="H104" s="3" t="str">
        <x:v>NFR-003</x:v>
      </x:c>
      <x:c r="I104" s="3" t="str">
        <x:v>Khách truy cập</x:v>
      </x:c>
      <x:c r="J104" s="3" t="str">
        <x:v>Responsive</x:v>
      </x:c>
      <x:c r="K104" s="3" t="str">
        <x:v>Medium</x:v>
      </x:c>
      <x:c r="L104" s="3" t="str">
        <x:v>Medium</x:v>
      </x:c>
      <x:c r="M104" s="3" t="str">
        <x:v>QA/UAT public sẵn sàng; không cần đăng nhập; demo=false cho case tích hợp CMS/public. Ghi viewport, OS và browser thực.</x:v>
      </x:c>
      <x:c r="N104" s="3" t="str">
        <x:v>Viewport 768×900 CSS px; fixture có tên/tiêu đề dài và tiếng Việt.</x:v>
      </x:c>
      <x:c r="O104" s="3" t="str">
        <x:v>1. Mở /vi/student-success; viewport 768×900 CSS px, zoom100%
2. Cuộn hết trang và mở tương tác chính
3. Đo scrollWidth so clientWidth và chụp màn hình</x:v>
      </x:c>
      <x:c r="P104" s="3" t="str">
        <x:v>Không tràn ngang toàn trang; chữ/nút không chồng hoặc bị cắt; nội dung/ảnh không mất; bảng rộng cuộn trong vùng bảng. Menu và CTA chính thao tác được.</x:v>
      </x:c>
      <x:c r="Q104" s="11" t="str"/>
      <x:c r="R104" s="8" t="str">
        <x:v>NOT RUN</x:v>
      </x:c>
      <x:c r="S104" s="11" t="str">
        <x:v>QA/UAT — cần điền URL/build</x:v>
      </x:c>
      <x:c r="T104" s="11" t="str">
        <x:v>Cần điền phiên bản thực</x:v>
      </x:c>
      <x:c r="U104" s="11" t="str"/>
      <x:c r="V104" s="12" t="str"/>
      <x:c r="W104" s="11" t="str"/>
      <x:c r="X104" s="11" t="str"/>
      <x:c r="Y104" s="3" t="str">
        <x:v>Nguồn: frontend/src/app; admin/src/app/styles.css. Đánh giá khả dụng theo yêu cầu người dùng; ngưỡng WCAG chính thức vẫn cần phê duyệt.</x:v>
      </x:c>
    </x:row>
    <x:row r="105" ht="49" customHeight="1">
      <x:c r="A105" s="3" t="n">
        <x:v>104</x:v>
      </x:c>
      <x:c r="B105" s="3" t="str">
        <x:v>TC_UI_077</x:v>
      </x:c>
      <x:c r="C105" s="3" t="str">
        <x:v>UI</x:v>
      </x:c>
      <x:c r="D105" s="3" t="str">
        <x:v>Responsive Người học</x:v>
      </x:c>
      <x:c r="E105" s="3" t="str">
        <x:v>Responsive Người học</x:v>
      </x:c>
      <x:c r="F105" s="3" t="str">
        <x:v>Responsive — Người học tại 1024px</x:v>
      </x:c>
      <x:c r="G105" s="3" t="str">
        <x:v>Người học tại 1024px</x:v>
      </x:c>
      <x:c r="H105" s="3" t="str">
        <x:v>NFR-003</x:v>
      </x:c>
      <x:c r="I105" s="3" t="str">
        <x:v>Khách truy cập</x:v>
      </x:c>
      <x:c r="J105" s="3" t="str">
        <x:v>Responsive</x:v>
      </x:c>
      <x:c r="K105" s="3" t="str">
        <x:v>Medium</x:v>
      </x:c>
      <x:c r="L105" s="3" t="str">
        <x:v>Medium</x:v>
      </x:c>
      <x:c r="M105" s="3" t="str">
        <x:v>QA/UAT public sẵn sàng; không cần đăng nhập; demo=false cho case tích hợp CMS/public. Ghi viewport, OS và browser thực.</x:v>
      </x:c>
      <x:c r="N105" s="3" t="str">
        <x:v>Viewport 1024×900 CSS px; fixture có tên/tiêu đề dài và tiếng Việt.</x:v>
      </x:c>
      <x:c r="O105" s="3" t="str">
        <x:v>1. Mở /vi/student-success; viewport 1024×900 CSS px, zoom100%
2. Cuộn hết trang và mở tương tác chính
3. Đo scrollWidth so clientWidth và chụp màn hình</x:v>
      </x:c>
      <x:c r="P105" s="3" t="str">
        <x:v>Không tràn ngang toàn trang; chữ/nút không chồng hoặc bị cắt; nội dung/ảnh không mất; bảng rộng cuộn trong vùng bảng. Menu và CTA chính thao tác được.</x:v>
      </x:c>
      <x:c r="Q105" s="11" t="str"/>
      <x:c r="R105" s="8" t="str">
        <x:v>NOT RUN</x:v>
      </x:c>
      <x:c r="S105" s="11" t="str">
        <x:v>QA/UAT — cần điền URL/build</x:v>
      </x:c>
      <x:c r="T105" s="11" t="str">
        <x:v>Cần điền phiên bản thực</x:v>
      </x:c>
      <x:c r="U105" s="11" t="str"/>
      <x:c r="V105" s="12" t="str"/>
      <x:c r="W105" s="11" t="str"/>
      <x:c r="X105" s="11" t="str"/>
      <x:c r="Y105" s="3" t="str">
        <x:v>Nguồn: frontend/src/app; admin/src/app/styles.css. Đánh giá khả dụng theo yêu cầu người dùng; ngưỡng WCAG chính thức vẫn cần phê duyệt.</x:v>
      </x:c>
    </x:row>
    <x:row r="106" ht="49" customHeight="1">
      <x:c r="A106" s="3" t="n">
        <x:v>105</x:v>
      </x:c>
      <x:c r="B106" s="3" t="str">
        <x:v>TC_UI_078</x:v>
      </x:c>
      <x:c r="C106" s="3" t="str">
        <x:v>UI</x:v>
      </x:c>
      <x:c r="D106" s="3" t="str">
        <x:v>Responsive Người học</x:v>
      </x:c>
      <x:c r="E106" s="3" t="str">
        <x:v>Responsive Người học</x:v>
      </x:c>
      <x:c r="F106" s="3" t="str">
        <x:v>Responsive — Người học tại 1280px</x:v>
      </x:c>
      <x:c r="G106" s="3" t="str">
        <x:v>Người học tại 1280px</x:v>
      </x:c>
      <x:c r="H106" s="3" t="str">
        <x:v>NFR-003</x:v>
      </x:c>
      <x:c r="I106" s="3" t="str">
        <x:v>Khách truy cập</x:v>
      </x:c>
      <x:c r="J106" s="3" t="str">
        <x:v>Responsive</x:v>
      </x:c>
      <x:c r="K106" s="3" t="str">
        <x:v>Medium</x:v>
      </x:c>
      <x:c r="L106" s="3" t="str">
        <x:v>Medium</x:v>
      </x:c>
      <x:c r="M106" s="3" t="str">
        <x:v>QA/UAT public sẵn sàng; không cần đăng nhập; demo=false cho case tích hợp CMS/public. Ghi viewport, OS và browser thực.</x:v>
      </x:c>
      <x:c r="N106" s="3" t="str">
        <x:v>Viewport 1280×900 CSS px; fixture có tên/tiêu đề dài và tiếng Việt.</x:v>
      </x:c>
      <x:c r="O106" s="3" t="str">
        <x:v>1. Mở /vi/student-success; viewport 1280×900 CSS px, zoom100%
2. Cuộn hết trang và mở tương tác chính
3. Đo scrollWidth so clientWidth và chụp màn hình</x:v>
      </x:c>
      <x:c r="P106" s="3" t="str">
        <x:v>Không tràn ngang toàn trang; chữ/nút không chồng hoặc bị cắt; nội dung/ảnh không mất; bảng rộng cuộn trong vùng bảng. Menu và CTA chính thao tác được.</x:v>
      </x:c>
      <x:c r="Q106" s="11" t="str"/>
      <x:c r="R106" s="8" t="str">
        <x:v>NOT RUN</x:v>
      </x:c>
      <x:c r="S106" s="11" t="str">
        <x:v>QA/UAT — cần điền URL/build</x:v>
      </x:c>
      <x:c r="T106" s="11" t="str">
        <x:v>Cần điền phiên bản thực</x:v>
      </x:c>
      <x:c r="U106" s="11" t="str"/>
      <x:c r="V106" s="12" t="str"/>
      <x:c r="W106" s="11" t="str"/>
      <x:c r="X106" s="11" t="str"/>
      <x:c r="Y106" s="3" t="str">
        <x:v>Nguồn: frontend/src/app; admin/src/app/styles.css. Đánh giá khả dụng theo yêu cầu người dùng; ngưỡng WCAG chính thức vẫn cần phê duyệt.</x:v>
      </x:c>
    </x:row>
    <x:row r="107" ht="49" customHeight="1">
      <x:c r="A107" s="3" t="n">
        <x:v>106</x:v>
      </x:c>
      <x:c r="B107" s="3" t="str">
        <x:v>TC_UI_079</x:v>
      </x:c>
      <x:c r="C107" s="3" t="str">
        <x:v>UI</x:v>
      </x:c>
      <x:c r="D107" s="3" t="str">
        <x:v>Responsive Người học</x:v>
      </x:c>
      <x:c r="E107" s="3" t="str">
        <x:v>Responsive Người học</x:v>
      </x:c>
      <x:c r="F107" s="3" t="str">
        <x:v>Responsive — Người học tại 1440px</x:v>
      </x:c>
      <x:c r="G107" s="3" t="str">
        <x:v>Người học tại 1440px</x:v>
      </x:c>
      <x:c r="H107" s="3" t="str">
        <x:v>NFR-003</x:v>
      </x:c>
      <x:c r="I107" s="3" t="str">
        <x:v>Khách truy cập</x:v>
      </x:c>
      <x:c r="J107" s="3" t="str">
        <x:v>Responsive</x:v>
      </x:c>
      <x:c r="K107" s="3" t="str">
        <x:v>Medium</x:v>
      </x:c>
      <x:c r="L107" s="3" t="str">
        <x:v>Medium</x:v>
      </x:c>
      <x:c r="M107" s="3" t="str">
        <x:v>QA/UAT public sẵn sàng; không cần đăng nhập; demo=false cho case tích hợp CMS/public. Ghi viewport, OS và browser thực.</x:v>
      </x:c>
      <x:c r="N107" s="3" t="str">
        <x:v>Viewport 1440×900 CSS px; fixture có tên/tiêu đề dài và tiếng Việt.</x:v>
      </x:c>
      <x:c r="O107" s="3" t="str">
        <x:v>1. Mở /vi/student-success; viewport 1440×900 CSS px, zoom100%
2. Cuộn hết trang và mở tương tác chính
3. Đo scrollWidth so clientWidth và chụp màn hình</x:v>
      </x:c>
      <x:c r="P107" s="3" t="str">
        <x:v>Không tràn ngang toàn trang; chữ/nút không chồng hoặc bị cắt; nội dung/ảnh không mất; bảng rộng cuộn trong vùng bảng. Menu và CTA chính thao tác được.</x:v>
      </x:c>
      <x:c r="Q107" s="11" t="str"/>
      <x:c r="R107" s="8" t="str">
        <x:v>NOT RUN</x:v>
      </x:c>
      <x:c r="S107" s="11" t="str">
        <x:v>QA/UAT — cần điền URL/build</x:v>
      </x:c>
      <x:c r="T107" s="11" t="str">
        <x:v>Cần điền phiên bản thực</x:v>
      </x:c>
      <x:c r="U107" s="11" t="str"/>
      <x:c r="V107" s="12" t="str"/>
      <x:c r="W107" s="11" t="str"/>
      <x:c r="X107" s="11" t="str"/>
      <x:c r="Y107" s="3" t="str">
        <x:v>Nguồn: frontend/src/app; admin/src/app/styles.css. Đánh giá khả dụng theo yêu cầu người dùng; ngưỡng WCAG chính thức vẫn cần phê duyệt.</x:v>
      </x:c>
    </x:row>
    <x:row r="108" ht="49" customHeight="1">
      <x:c r="A108" s="3" t="n">
        <x:v>107</x:v>
      </x:c>
      <x:c r="B108" s="3" t="str">
        <x:v>TC_UI_080</x:v>
      </x:c>
      <x:c r="C108" s="3" t="str">
        <x:v>UI</x:v>
      </x:c>
      <x:c r="D108" s="3" t="str">
        <x:v>Responsive Người học</x:v>
      </x:c>
      <x:c r="E108" s="3" t="str">
        <x:v>Responsive Người học</x:v>
      </x:c>
      <x:c r="F108" s="3" t="str">
        <x:v>Responsive — Người học tại 1920px</x:v>
      </x:c>
      <x:c r="G108" s="3" t="str">
        <x:v>Người học tại 1920px</x:v>
      </x:c>
      <x:c r="H108" s="3" t="str">
        <x:v>NFR-003</x:v>
      </x:c>
      <x:c r="I108" s="3" t="str">
        <x:v>Khách truy cập</x:v>
      </x:c>
      <x:c r="J108" s="3" t="str">
        <x:v>Responsive</x:v>
      </x:c>
      <x:c r="K108" s="3" t="str">
        <x:v>Medium</x:v>
      </x:c>
      <x:c r="L108" s="3" t="str">
        <x:v>Medium</x:v>
      </x:c>
      <x:c r="M108" s="3" t="str">
        <x:v>QA/UAT public sẵn sàng; không cần đăng nhập; demo=false cho case tích hợp CMS/public. Ghi viewport, OS và browser thực.</x:v>
      </x:c>
      <x:c r="N108" s="3" t="str">
        <x:v>Viewport 1920×900 CSS px; fixture có tên/tiêu đề dài và tiếng Việt.</x:v>
      </x:c>
      <x:c r="O108" s="3" t="str">
        <x:v>1. Mở /vi/student-success; viewport 1920×900 CSS px, zoom100%
2. Cuộn hết trang và mở tương tác chính
3. Đo scrollWidth so clientWidth và chụp màn hình</x:v>
      </x:c>
      <x:c r="P108" s="3" t="str">
        <x:v>Không tràn ngang toàn trang; chữ/nút không chồng hoặc bị cắt; nội dung/ảnh không mất; bảng rộng cuộn trong vùng bảng. Menu và CTA chính thao tác được.</x:v>
      </x:c>
      <x:c r="Q108" s="11" t="str"/>
      <x:c r="R108" s="8" t="str">
        <x:v>NOT RUN</x:v>
      </x:c>
      <x:c r="S108" s="11" t="str">
        <x:v>QA/UAT — cần điền URL/build</x:v>
      </x:c>
      <x:c r="T108" s="11" t="str">
        <x:v>Cần điền phiên bản thực</x:v>
      </x:c>
      <x:c r="U108" s="11" t="str"/>
      <x:c r="V108" s="12" t="str"/>
      <x:c r="W108" s="11" t="str"/>
      <x:c r="X108" s="11" t="str"/>
      <x:c r="Y108" s="3" t="str">
        <x:v>Nguồn: frontend/src/app; admin/src/app/styles.css. Đánh giá khả dụng theo yêu cầu người dùng; ngưỡng WCAG chính thức vẫn cần phê duyệt.</x:v>
      </x:c>
    </x:row>
    <x:row r="109" ht="49" customHeight="1">
      <x:c r="A109" s="3" t="n">
        <x:v>108</x:v>
      </x:c>
      <x:c r="B109" s="3" t="str">
        <x:v>TC_I18N_029</x:v>
      </x:c>
      <x:c r="C109" s="3" t="str">
        <x:v>I18N</x:v>
      </x:c>
      <x:c r="D109" s="3" t="str">
        <x:v>Song ngữ Người học</x:v>
      </x:c>
      <x:c r="E109" s="3" t="str">
        <x:v>Song ngữ Người học</x:v>
      </x:c>
      <x:c r="F109" s="3" t="str">
        <x:v>Localization — Người học: Đổi VI sang EN</x:v>
      </x:c>
      <x:c r="G109" s="3" t="str">
        <x:v>Người học: Đổi VI sang EN</x:v>
      </x:c>
      <x:c r="H109" s="3" t="str">
        <x:v>PUB-001</x:v>
      </x:c>
      <x:c r="I109" s="3" t="str">
        <x:v>Khách truy cập</x:v>
      </x:c>
      <x:c r="J109" s="3" t="str">
        <x:v>Localization</x:v>
      </x:c>
      <x:c r="K109" s="3" t="str">
        <x:v>Medium</x:v>
      </x:c>
      <x:c r="L109" s="3" t="str">
        <x:v>Medium</x:v>
      </x:c>
      <x:c r="M109" s="3" t="str">
        <x:v>QA/UAT public sẵn sàng; không cần đăng nhập; demo=false cho case tích hợp CMS/public. Ghi viewport, OS và browser thực.</x:v>
      </x:c>
      <x:c r="N109" s="3" t="str">
        <x:v>Dữ liệu QA tổng hợp; xem fixture trong README.</x:v>
      </x:c>
      <x:c r="O109" s="3" t="str">
        <x:v>1. Mở /vi/student-success
2. Nhấn EN
3. Refresh</x:v>
      </x:c>
      <x:c r="P109" s="3" t="str">
        <x:v>Prefix chuyển /en, giữ route tương ứng; active EN và html lang=en; refresh không trở về VI.</x:v>
      </x:c>
      <x:c r="Q109" s="11" t="str"/>
      <x:c r="R109" s="8" t="str">
        <x:v>NOT RUN</x:v>
      </x:c>
      <x:c r="S109" s="11" t="str">
        <x:v>QA/UAT — cần điền URL/build</x:v>
      </x:c>
      <x:c r="T109" s="11" t="str">
        <x:v>Cần điền phiên bản thực</x:v>
      </x:c>
      <x:c r="U109" s="11" t="str"/>
      <x:c r="V109" s="12" t="str"/>
      <x:c r="W109" s="11" t="str"/>
      <x:c r="X109" s="11" t="str"/>
      <x:c r="Y109" s="3" t="str">
        <x:v>Nguồn: frontend/src/shared/components/layout/LanguageToggle.tsx; frontend/src/messages. </x:v>
      </x:c>
    </x:row>
    <x:row r="110" ht="49" customHeight="1">
      <x:c r="A110" s="3" t="n">
        <x:v>109</x:v>
      </x:c>
      <x:c r="B110" s="3" t="str">
        <x:v>TC_I18N_030</x:v>
      </x:c>
      <x:c r="C110" s="3" t="str">
        <x:v>I18N</x:v>
      </x:c>
      <x:c r="D110" s="3" t="str">
        <x:v>Song ngữ Người học</x:v>
      </x:c>
      <x:c r="E110" s="3" t="str">
        <x:v>Song ngữ Người học</x:v>
      </x:c>
      <x:c r="F110" s="3" t="str">
        <x:v>Localization — Người học: Bản dịch toàn trang</x:v>
      </x:c>
      <x:c r="G110" s="3" t="str">
        <x:v>Người học: Bản dịch toàn trang</x:v>
      </x:c>
      <x:c r="H110" s="3" t="str">
        <x:v>PUB-001</x:v>
      </x:c>
      <x:c r="I110" s="3" t="str">
        <x:v>Khách truy cập</x:v>
      </x:c>
      <x:c r="J110" s="3" t="str">
        <x:v>Localization</x:v>
      </x:c>
      <x:c r="K110" s="3" t="str">
        <x:v>Medium</x:v>
      </x:c>
      <x:c r="L110" s="3" t="str">
        <x:v>Medium</x:v>
      </x:c>
      <x:c r="M110" s="3" t="str">
        <x:v>QA/UAT public sẵn sàng; không cần đăng nhập; demo=false cho case tích hợp CMS/public. Ghi viewport, OS và browser thực.</x:v>
      </x:c>
      <x:c r="N110" s="3" t="str">
        <x:v>Dữ liệu QA tổng hợp; xem fixture trong README.</x:v>
      </x:c>
      <x:c r="O110" s="3" t="str">
        <x:v>1. Mở /en/student-success
2. Cuộn nội dung, mở menu, submit lỗi form nếu có</x:v>
      </x:c>
      <x:c r="P110" s="3" t="str">
        <x:v>Không lộ khóa dịch hoặc lẫn tiếng Việt trong nội dung thuộc phạm vi dịch; ngày/số/validation đúng locale.</x:v>
      </x:c>
      <x:c r="Q110" s="11" t="str"/>
      <x:c r="R110" s="9" t="str">
        <x:v>NEED CONFIRMATION</x:v>
      </x:c>
      <x:c r="S110" s="11" t="str">
        <x:v>QA/UAT — cần điền URL/build</x:v>
      </x:c>
      <x:c r="T110" s="11" t="str">
        <x:v>Cần điền phiên bản thực</x:v>
      </x:c>
      <x:c r="U110" s="11" t="str"/>
      <x:c r="V110" s="12" t="str"/>
      <x:c r="W110" s="11" t="str"/>
      <x:c r="X110" s="11" t="str"/>
      <x:c r="Y110" s="3" t="str">
        <x:v>Nguồn: frontend/src/shared/components/layout/LanguageToggle.tsx; frontend/src/messages. Need Confirmation: Chốt phạm vi dịch nội dung tĩnh và dữ liệu CMS.</x:v>
      </x:c>
    </x:row>
    <x:row r="111" ht="49" customHeight="1">
      <x:c r="A111" s="3" t="n">
        <x:v>110</x:v>
      </x:c>
      <x:c r="B111" s="3" t="str">
        <x:v>TC_I18N_031</x:v>
      </x:c>
      <x:c r="C111" s="3" t="str">
        <x:v>I18N</x:v>
      </x:c>
      <x:c r="D111" s="3" t="str">
        <x:v>Song ngữ Người học</x:v>
      </x:c>
      <x:c r="E111" s="3" t="str">
        <x:v>Song ngữ Người học</x:v>
      </x:c>
      <x:c r="F111" s="3" t="str">
        <x:v>Localization — Người học: Back sau đổi locale</x:v>
      </x:c>
      <x:c r="G111" s="3" t="str">
        <x:v>Người học: Back sau đổi locale</x:v>
      </x:c>
      <x:c r="H111" s="3" t="str">
        <x:v>PUB-001</x:v>
      </x:c>
      <x:c r="I111" s="3" t="str">
        <x:v>Khách truy cập</x:v>
      </x:c>
      <x:c r="J111" s="3" t="str">
        <x:v>Localization</x:v>
      </x:c>
      <x:c r="K111" s="3" t="str">
        <x:v>Medium</x:v>
      </x:c>
      <x:c r="L111" s="3" t="str">
        <x:v>Medium</x:v>
      </x:c>
      <x:c r="M111" s="3" t="str">
        <x:v>QA/UAT public sẵn sàng; không cần đăng nhập; demo=false cho case tích hợp CMS/public. Ghi viewport, OS và browser thực.</x:v>
      </x:c>
      <x:c r="N111" s="3" t="str">
        <x:v>Dữ liệu QA tổng hợp; xem fixture trong README.</x:v>
      </x:c>
      <x:c r="O111" s="3" t="str">
        <x:v>1. Mở /vi/student-success
2. Nhấn EN rồi Back</x:v>
      </x:c>
      <x:c r="P111" s="3" t="str">
        <x:v>Back quay đúng trang VI trước đó; UI và URL locale đồng bộ.</x:v>
      </x:c>
      <x:c r="Q111" s="11" t="str"/>
      <x:c r="R111" s="8" t="str">
        <x:v>NOT RUN</x:v>
      </x:c>
      <x:c r="S111" s="11" t="str">
        <x:v>QA/UAT — cần điền URL/build</x:v>
      </x:c>
      <x:c r="T111" s="11" t="str">
        <x:v>Cần điền phiên bản thực</x:v>
      </x:c>
      <x:c r="U111" s="11" t="str"/>
      <x:c r="V111" s="12" t="str"/>
      <x:c r="W111" s="11" t="str"/>
      <x:c r="X111" s="11" t="str"/>
      <x:c r="Y111" s="3" t="str">
        <x:v>Nguồn: frontend/src/shared/components/layout/LanguageToggle.tsx; frontend/src/messages. </x:v>
      </x:c>
    </x:row>
    <x:row r="112" ht="49" customHeight="1">
      <x:c r="A112" s="3" t="n">
        <x:v>111</x:v>
      </x:c>
      <x:c r="B112" s="3" t="str">
        <x:v>TC_UI_081</x:v>
      </x:c>
      <x:c r="C112" s="3" t="str">
        <x:v>UI</x:v>
      </x:c>
      <x:c r="D112" s="3" t="str">
        <x:v>Responsive Tin tức</x:v>
      </x:c>
      <x:c r="E112" s="3" t="str">
        <x:v>Responsive Tin tức</x:v>
      </x:c>
      <x:c r="F112" s="3" t="str">
        <x:v>Responsive — Tin tức tại 320px</x:v>
      </x:c>
      <x:c r="G112" s="3" t="str">
        <x:v>Tin tức tại 320px</x:v>
      </x:c>
      <x:c r="H112" s="3" t="str">
        <x:v>NFR-003</x:v>
      </x:c>
      <x:c r="I112" s="3" t="str">
        <x:v>Khách truy cập</x:v>
      </x:c>
      <x:c r="J112" s="3" t="str">
        <x:v>Responsive</x:v>
      </x:c>
      <x:c r="K112" s="3" t="str">
        <x:v>High</x:v>
      </x:c>
      <x:c r="L112" s="3" t="str">
        <x:v>High</x:v>
      </x:c>
      <x:c r="M112" s="3" t="str">
        <x:v>QA/UAT public sẵn sàng; không cần đăng nhập; demo=false cho case tích hợp CMS/public. Ghi viewport, OS và browser thực.</x:v>
      </x:c>
      <x:c r="N112" s="3" t="str">
        <x:v>Viewport 320×900 CSS px; fixture có tên/tiêu đề dài và tiếng Việt.</x:v>
      </x:c>
      <x:c r="O112" s="3" t="str">
        <x:v>1. Mở /vi/news; viewport 320×900 CSS px, zoom100%
2. Cuộn hết trang và mở tương tác chính
3. Đo scrollWidth so clientWidth và chụp màn hình</x:v>
      </x:c>
      <x:c r="P112" s="3" t="str">
        <x:v>Không tràn ngang toàn trang; chữ/nút không chồng hoặc bị cắt; nội dung/ảnh không mất; bảng rộng cuộn trong vùng bảng. Menu và CTA chính thao tác được.</x:v>
      </x:c>
      <x:c r="Q112" s="11" t="str"/>
      <x:c r="R112" s="8" t="str">
        <x:v>NOT RUN</x:v>
      </x:c>
      <x:c r="S112" s="11" t="str">
        <x:v>QA/UAT — cần điền URL/build</x:v>
      </x:c>
      <x:c r="T112" s="11" t="str">
        <x:v>Cần điền phiên bản thực</x:v>
      </x:c>
      <x:c r="U112" s="11" t="str"/>
      <x:c r="V112" s="12" t="str"/>
      <x:c r="W112" s="11" t="str"/>
      <x:c r="X112" s="11" t="str"/>
      <x:c r="Y112" s="3" t="str">
        <x:v>Nguồn: frontend/src/app; admin/src/app/styles.css. Đánh giá khả dụng theo yêu cầu người dùng; ngưỡng WCAG chính thức vẫn cần phê duyệt.</x:v>
      </x:c>
    </x:row>
    <x:row r="113" ht="49" customHeight="1">
      <x:c r="A113" s="3" t="n">
        <x:v>112</x:v>
      </x:c>
      <x:c r="B113" s="3" t="str">
        <x:v>TC_UI_082</x:v>
      </x:c>
      <x:c r="C113" s="3" t="str">
        <x:v>UI</x:v>
      </x:c>
      <x:c r="D113" s="3" t="str">
        <x:v>Responsive Tin tức</x:v>
      </x:c>
      <x:c r="E113" s="3" t="str">
        <x:v>Responsive Tin tức</x:v>
      </x:c>
      <x:c r="F113" s="3" t="str">
        <x:v>Responsive — Tin tức tại 375px</x:v>
      </x:c>
      <x:c r="G113" s="3" t="str">
        <x:v>Tin tức tại 375px</x:v>
      </x:c>
      <x:c r="H113" s="3" t="str">
        <x:v>NFR-003</x:v>
      </x:c>
      <x:c r="I113" s="3" t="str">
        <x:v>Khách truy cập</x:v>
      </x:c>
      <x:c r="J113" s="3" t="str">
        <x:v>Responsive</x:v>
      </x:c>
      <x:c r="K113" s="3" t="str">
        <x:v>Medium</x:v>
      </x:c>
      <x:c r="L113" s="3" t="str">
        <x:v>Medium</x:v>
      </x:c>
      <x:c r="M113" s="3" t="str">
        <x:v>QA/UAT public sẵn sàng; không cần đăng nhập; demo=false cho case tích hợp CMS/public. Ghi viewport, OS và browser thực.</x:v>
      </x:c>
      <x:c r="N113" s="3" t="str">
        <x:v>Viewport 375×900 CSS px; fixture có tên/tiêu đề dài và tiếng Việt.</x:v>
      </x:c>
      <x:c r="O113" s="3" t="str">
        <x:v>1. Mở /vi/news; viewport 375×900 CSS px, zoom100%
2. Cuộn hết trang và mở tương tác chính
3. Đo scrollWidth so clientWidth và chụp màn hình</x:v>
      </x:c>
      <x:c r="P113" s="3" t="str">
        <x:v>Không tràn ngang toàn trang; chữ/nút không chồng hoặc bị cắt; nội dung/ảnh không mất; bảng rộng cuộn trong vùng bảng. Menu và CTA chính thao tác được.</x:v>
      </x:c>
      <x:c r="Q113" s="11" t="str"/>
      <x:c r="R113" s="8" t="str">
        <x:v>NOT RUN</x:v>
      </x:c>
      <x:c r="S113" s="11" t="str">
        <x:v>QA/UAT — cần điền URL/build</x:v>
      </x:c>
      <x:c r="T113" s="11" t="str">
        <x:v>Cần điền phiên bản thực</x:v>
      </x:c>
      <x:c r="U113" s="11" t="str"/>
      <x:c r="V113" s="12" t="str"/>
      <x:c r="W113" s="11" t="str"/>
      <x:c r="X113" s="11" t="str"/>
      <x:c r="Y113" s="3" t="str">
        <x:v>Nguồn: frontend/src/app; admin/src/app/styles.css. Đánh giá khả dụng theo yêu cầu người dùng; ngưỡng WCAG chính thức vẫn cần phê duyệt.</x:v>
      </x:c>
    </x:row>
    <x:row r="114" ht="49" customHeight="1">
      <x:c r="A114" s="3" t="n">
        <x:v>113</x:v>
      </x:c>
      <x:c r="B114" s="3" t="str">
        <x:v>TC_UI_083</x:v>
      </x:c>
      <x:c r="C114" s="3" t="str">
        <x:v>UI</x:v>
      </x:c>
      <x:c r="D114" s="3" t="str">
        <x:v>Responsive Tin tức</x:v>
      </x:c>
      <x:c r="E114" s="3" t="str">
        <x:v>Responsive Tin tức</x:v>
      </x:c>
      <x:c r="F114" s="3" t="str">
        <x:v>Responsive — Tin tức tại 390px</x:v>
      </x:c>
      <x:c r="G114" s="3" t="str">
        <x:v>Tin tức tại 390px</x:v>
      </x:c>
      <x:c r="H114" s="3" t="str">
        <x:v>NFR-003</x:v>
      </x:c>
      <x:c r="I114" s="3" t="str">
        <x:v>Khách truy cập</x:v>
      </x:c>
      <x:c r="J114" s="3" t="str">
        <x:v>Responsive</x:v>
      </x:c>
      <x:c r="K114" s="3" t="str">
        <x:v>Medium</x:v>
      </x:c>
      <x:c r="L114" s="3" t="str">
        <x:v>Medium</x:v>
      </x:c>
      <x:c r="M114" s="3" t="str">
        <x:v>QA/UAT public sẵn sàng; không cần đăng nhập; demo=false cho case tích hợp CMS/public. Ghi viewport, OS và browser thực.</x:v>
      </x:c>
      <x:c r="N114" s="3" t="str">
        <x:v>Viewport 390×900 CSS px; fixture có tên/tiêu đề dài và tiếng Việt.</x:v>
      </x:c>
      <x:c r="O114" s="3" t="str">
        <x:v>1. Mở /vi/news; viewport 390×900 CSS px, zoom100%
2. Cuộn hết trang và mở tương tác chính
3. Đo scrollWidth so clientWidth và chụp màn hình</x:v>
      </x:c>
      <x:c r="P114" s="3" t="str">
        <x:v>Không tràn ngang toàn trang; chữ/nút không chồng hoặc bị cắt; nội dung/ảnh không mất; bảng rộng cuộn trong vùng bảng. Menu và CTA chính thao tác được.</x:v>
      </x:c>
      <x:c r="Q114" s="11" t="str"/>
      <x:c r="R114" s="8" t="str">
        <x:v>NOT RUN</x:v>
      </x:c>
      <x:c r="S114" s="11" t="str">
        <x:v>QA/UAT — cần điền URL/build</x:v>
      </x:c>
      <x:c r="T114" s="11" t="str">
        <x:v>Cần điền phiên bản thực</x:v>
      </x:c>
      <x:c r="U114" s="11" t="str"/>
      <x:c r="V114" s="12" t="str"/>
      <x:c r="W114" s="11" t="str"/>
      <x:c r="X114" s="11" t="str"/>
      <x:c r="Y114" s="3" t="str">
        <x:v>Nguồn: frontend/src/app; admin/src/app/styles.css. Đánh giá khả dụng theo yêu cầu người dùng; ngưỡng WCAG chính thức vẫn cần phê duyệt.</x:v>
      </x:c>
    </x:row>
    <x:row r="115" ht="49" customHeight="1">
      <x:c r="A115" s="3" t="n">
        <x:v>114</x:v>
      </x:c>
      <x:c r="B115" s="3" t="str">
        <x:v>TC_UI_084</x:v>
      </x:c>
      <x:c r="C115" s="3" t="str">
        <x:v>UI</x:v>
      </x:c>
      <x:c r="D115" s="3" t="str">
        <x:v>Responsive Tin tức</x:v>
      </x:c>
      <x:c r="E115" s="3" t="str">
        <x:v>Responsive Tin tức</x:v>
      </x:c>
      <x:c r="F115" s="3" t="str">
        <x:v>Responsive — Tin tức tại 768px</x:v>
      </x:c>
      <x:c r="G115" s="3" t="str">
        <x:v>Tin tức tại 768px</x:v>
      </x:c>
      <x:c r="H115" s="3" t="str">
        <x:v>NFR-003</x:v>
      </x:c>
      <x:c r="I115" s="3" t="str">
        <x:v>Khách truy cập</x:v>
      </x:c>
      <x:c r="J115" s="3" t="str">
        <x:v>Responsive</x:v>
      </x:c>
      <x:c r="K115" s="3" t="str">
        <x:v>Medium</x:v>
      </x:c>
      <x:c r="L115" s="3" t="str">
        <x:v>Medium</x:v>
      </x:c>
      <x:c r="M115" s="3" t="str">
        <x:v>QA/UAT public sẵn sàng; không cần đăng nhập; demo=false cho case tích hợp CMS/public. Ghi viewport, OS và browser thực.</x:v>
      </x:c>
      <x:c r="N115" s="3" t="str">
        <x:v>Viewport 768×900 CSS px; fixture có tên/tiêu đề dài và tiếng Việt.</x:v>
      </x:c>
      <x:c r="O115" s="3" t="str">
        <x:v>1. Mở /vi/news; viewport 768×900 CSS px, zoom100%
2. Cuộn hết trang và mở tương tác chính
3. Đo scrollWidth so clientWidth và chụp màn hình</x:v>
      </x:c>
      <x:c r="P115" s="3" t="str">
        <x:v>Không tràn ngang toàn trang; chữ/nút không chồng hoặc bị cắt; nội dung/ảnh không mất; bảng rộng cuộn trong vùng bảng. Menu và CTA chính thao tác được.</x:v>
      </x:c>
      <x:c r="Q115" s="11" t="str"/>
      <x:c r="R115" s="8" t="str">
        <x:v>NOT RUN</x:v>
      </x:c>
      <x:c r="S115" s="11" t="str">
        <x:v>QA/UAT — cần điền URL/build</x:v>
      </x:c>
      <x:c r="T115" s="11" t="str">
        <x:v>Cần điền phiên bản thực</x:v>
      </x:c>
      <x:c r="U115" s="11" t="str"/>
      <x:c r="V115" s="12" t="str"/>
      <x:c r="W115" s="11" t="str"/>
      <x:c r="X115" s="11" t="str"/>
      <x:c r="Y115" s="3" t="str">
        <x:v>Nguồn: frontend/src/app; admin/src/app/styles.css. Đánh giá khả dụng theo yêu cầu người dùng; ngưỡng WCAG chính thức vẫn cần phê duyệt.</x:v>
      </x:c>
    </x:row>
    <x:row r="116" ht="49" customHeight="1">
      <x:c r="A116" s="3" t="n">
        <x:v>115</x:v>
      </x:c>
      <x:c r="B116" s="3" t="str">
        <x:v>TC_UI_085</x:v>
      </x:c>
      <x:c r="C116" s="3" t="str">
        <x:v>UI</x:v>
      </x:c>
      <x:c r="D116" s="3" t="str">
        <x:v>Responsive Tin tức</x:v>
      </x:c>
      <x:c r="E116" s="3" t="str">
        <x:v>Responsive Tin tức</x:v>
      </x:c>
      <x:c r="F116" s="3" t="str">
        <x:v>Responsive — Tin tức tại 1024px</x:v>
      </x:c>
      <x:c r="G116" s="3" t="str">
        <x:v>Tin tức tại 1024px</x:v>
      </x:c>
      <x:c r="H116" s="3" t="str">
        <x:v>NFR-003</x:v>
      </x:c>
      <x:c r="I116" s="3" t="str">
        <x:v>Khách truy cập</x:v>
      </x:c>
      <x:c r="J116" s="3" t="str">
        <x:v>Responsive</x:v>
      </x:c>
      <x:c r="K116" s="3" t="str">
        <x:v>Medium</x:v>
      </x:c>
      <x:c r="L116" s="3" t="str">
        <x:v>Medium</x:v>
      </x:c>
      <x:c r="M116" s="3" t="str">
        <x:v>QA/UAT public sẵn sàng; không cần đăng nhập; demo=false cho case tích hợp CMS/public. Ghi viewport, OS và browser thực.</x:v>
      </x:c>
      <x:c r="N116" s="3" t="str">
        <x:v>Viewport 1024×900 CSS px; fixture có tên/tiêu đề dài và tiếng Việt.</x:v>
      </x:c>
      <x:c r="O116" s="3" t="str">
        <x:v>1. Mở /vi/news; viewport 1024×900 CSS px, zoom100%
2. Cuộn hết trang và mở tương tác chính
3. Đo scrollWidth so clientWidth và chụp màn hình</x:v>
      </x:c>
      <x:c r="P116" s="3" t="str">
        <x:v>Không tràn ngang toàn trang; chữ/nút không chồng hoặc bị cắt; nội dung/ảnh không mất; bảng rộng cuộn trong vùng bảng. Menu và CTA chính thao tác được.</x:v>
      </x:c>
      <x:c r="Q116" s="11" t="str"/>
      <x:c r="R116" s="8" t="str">
        <x:v>NOT RUN</x:v>
      </x:c>
      <x:c r="S116" s="11" t="str">
        <x:v>QA/UAT — cần điền URL/build</x:v>
      </x:c>
      <x:c r="T116" s="11" t="str">
        <x:v>Cần điền phiên bản thực</x:v>
      </x:c>
      <x:c r="U116" s="11" t="str"/>
      <x:c r="V116" s="12" t="str"/>
      <x:c r="W116" s="11" t="str"/>
      <x:c r="X116" s="11" t="str"/>
      <x:c r="Y116" s="3" t="str">
        <x:v>Nguồn: frontend/src/app; admin/src/app/styles.css. Đánh giá khả dụng theo yêu cầu người dùng; ngưỡng WCAG chính thức vẫn cần phê duyệt.</x:v>
      </x:c>
    </x:row>
    <x:row r="117" ht="49" customHeight="1">
      <x:c r="A117" s="3" t="n">
        <x:v>116</x:v>
      </x:c>
      <x:c r="B117" s="3" t="str">
        <x:v>TC_UI_086</x:v>
      </x:c>
      <x:c r="C117" s="3" t="str">
        <x:v>UI</x:v>
      </x:c>
      <x:c r="D117" s="3" t="str">
        <x:v>Responsive Tin tức</x:v>
      </x:c>
      <x:c r="E117" s="3" t="str">
        <x:v>Responsive Tin tức</x:v>
      </x:c>
      <x:c r="F117" s="3" t="str">
        <x:v>Responsive — Tin tức tại 1280px</x:v>
      </x:c>
      <x:c r="G117" s="3" t="str">
        <x:v>Tin tức tại 1280px</x:v>
      </x:c>
      <x:c r="H117" s="3" t="str">
        <x:v>NFR-003</x:v>
      </x:c>
      <x:c r="I117" s="3" t="str">
        <x:v>Khách truy cập</x:v>
      </x:c>
      <x:c r="J117" s="3" t="str">
        <x:v>Responsive</x:v>
      </x:c>
      <x:c r="K117" s="3" t="str">
        <x:v>Medium</x:v>
      </x:c>
      <x:c r="L117" s="3" t="str">
        <x:v>Medium</x:v>
      </x:c>
      <x:c r="M117" s="3" t="str">
        <x:v>QA/UAT public sẵn sàng; không cần đăng nhập; demo=false cho case tích hợp CMS/public. Ghi viewport, OS và browser thực.</x:v>
      </x:c>
      <x:c r="N117" s="3" t="str">
        <x:v>Viewport 1280×900 CSS px; fixture có tên/tiêu đề dài và tiếng Việt.</x:v>
      </x:c>
      <x:c r="O117" s="3" t="str">
        <x:v>1. Mở /vi/news; viewport 1280×900 CSS px, zoom100%
2. Cuộn hết trang và mở tương tác chính
3. Đo scrollWidth so clientWidth và chụp màn hình</x:v>
      </x:c>
      <x:c r="P117" s="3" t="str">
        <x:v>Không tràn ngang toàn trang; chữ/nút không chồng hoặc bị cắt; nội dung/ảnh không mất; bảng rộng cuộn trong vùng bảng. Menu và CTA chính thao tác được.</x:v>
      </x:c>
      <x:c r="Q117" s="11" t="str"/>
      <x:c r="R117" s="8" t="str">
        <x:v>NOT RUN</x:v>
      </x:c>
      <x:c r="S117" s="11" t="str">
        <x:v>QA/UAT — cần điền URL/build</x:v>
      </x:c>
      <x:c r="T117" s="11" t="str">
        <x:v>Cần điền phiên bản thực</x:v>
      </x:c>
      <x:c r="U117" s="11" t="str"/>
      <x:c r="V117" s="12" t="str"/>
      <x:c r="W117" s="11" t="str"/>
      <x:c r="X117" s="11" t="str"/>
      <x:c r="Y117" s="3" t="str">
        <x:v>Nguồn: frontend/src/app; admin/src/app/styles.css. Đánh giá khả dụng theo yêu cầu người dùng; ngưỡng WCAG chính thức vẫn cần phê duyệt.</x:v>
      </x:c>
    </x:row>
    <x:row r="118" ht="49" customHeight="1">
      <x:c r="A118" s="3" t="n">
        <x:v>117</x:v>
      </x:c>
      <x:c r="B118" s="3" t="str">
        <x:v>TC_UI_087</x:v>
      </x:c>
      <x:c r="C118" s="3" t="str">
        <x:v>UI</x:v>
      </x:c>
      <x:c r="D118" s="3" t="str">
        <x:v>Responsive Tin tức</x:v>
      </x:c>
      <x:c r="E118" s="3" t="str">
        <x:v>Responsive Tin tức</x:v>
      </x:c>
      <x:c r="F118" s="3" t="str">
        <x:v>Responsive — Tin tức tại 1440px</x:v>
      </x:c>
      <x:c r="G118" s="3" t="str">
        <x:v>Tin tức tại 1440px</x:v>
      </x:c>
      <x:c r="H118" s="3" t="str">
        <x:v>NFR-003</x:v>
      </x:c>
      <x:c r="I118" s="3" t="str">
        <x:v>Khách truy cập</x:v>
      </x:c>
      <x:c r="J118" s="3" t="str">
        <x:v>Responsive</x:v>
      </x:c>
      <x:c r="K118" s="3" t="str">
        <x:v>Medium</x:v>
      </x:c>
      <x:c r="L118" s="3" t="str">
        <x:v>Medium</x:v>
      </x:c>
      <x:c r="M118" s="3" t="str">
        <x:v>QA/UAT public sẵn sàng; không cần đăng nhập; demo=false cho case tích hợp CMS/public. Ghi viewport, OS và browser thực.</x:v>
      </x:c>
      <x:c r="N118" s="3" t="str">
        <x:v>Viewport 1440×900 CSS px; fixture có tên/tiêu đề dài và tiếng Việt.</x:v>
      </x:c>
      <x:c r="O118" s="3" t="str">
        <x:v>1. Mở /vi/news; viewport 1440×900 CSS px, zoom100%
2. Cuộn hết trang và mở tương tác chính
3. Đo scrollWidth so clientWidth và chụp màn hình</x:v>
      </x:c>
      <x:c r="P118" s="3" t="str">
        <x:v>Không tràn ngang toàn trang; chữ/nút không chồng hoặc bị cắt; nội dung/ảnh không mất; bảng rộng cuộn trong vùng bảng. Menu và CTA chính thao tác được.</x:v>
      </x:c>
      <x:c r="Q118" s="11" t="str"/>
      <x:c r="R118" s="8" t="str">
        <x:v>NOT RUN</x:v>
      </x:c>
      <x:c r="S118" s="11" t="str">
        <x:v>QA/UAT — cần điền URL/build</x:v>
      </x:c>
      <x:c r="T118" s="11" t="str">
        <x:v>Cần điền phiên bản thực</x:v>
      </x:c>
      <x:c r="U118" s="11" t="str"/>
      <x:c r="V118" s="12" t="str"/>
      <x:c r="W118" s="11" t="str"/>
      <x:c r="X118" s="11" t="str"/>
      <x:c r="Y118" s="3" t="str">
        <x:v>Nguồn: frontend/src/app; admin/src/app/styles.css. Đánh giá khả dụng theo yêu cầu người dùng; ngưỡng WCAG chính thức vẫn cần phê duyệt.</x:v>
      </x:c>
    </x:row>
    <x:row r="119" ht="49" customHeight="1">
      <x:c r="A119" s="3" t="n">
        <x:v>118</x:v>
      </x:c>
      <x:c r="B119" s="3" t="str">
        <x:v>TC_UI_088</x:v>
      </x:c>
      <x:c r="C119" s="3" t="str">
        <x:v>UI</x:v>
      </x:c>
      <x:c r="D119" s="3" t="str">
        <x:v>Responsive Tin tức</x:v>
      </x:c>
      <x:c r="E119" s="3" t="str">
        <x:v>Responsive Tin tức</x:v>
      </x:c>
      <x:c r="F119" s="3" t="str">
        <x:v>Responsive — Tin tức tại 1920px</x:v>
      </x:c>
      <x:c r="G119" s="3" t="str">
        <x:v>Tin tức tại 1920px</x:v>
      </x:c>
      <x:c r="H119" s="3" t="str">
        <x:v>NFR-003</x:v>
      </x:c>
      <x:c r="I119" s="3" t="str">
        <x:v>Khách truy cập</x:v>
      </x:c>
      <x:c r="J119" s="3" t="str">
        <x:v>Responsive</x:v>
      </x:c>
      <x:c r="K119" s="3" t="str">
        <x:v>Medium</x:v>
      </x:c>
      <x:c r="L119" s="3" t="str">
        <x:v>Medium</x:v>
      </x:c>
      <x:c r="M119" s="3" t="str">
        <x:v>QA/UAT public sẵn sàng; không cần đăng nhập; demo=false cho case tích hợp CMS/public. Ghi viewport, OS và browser thực.</x:v>
      </x:c>
      <x:c r="N119" s="3" t="str">
        <x:v>Viewport 1920×900 CSS px; fixture có tên/tiêu đề dài và tiếng Việt.</x:v>
      </x:c>
      <x:c r="O119" s="3" t="str">
        <x:v>1. Mở /vi/news; viewport 1920×900 CSS px, zoom100%
2. Cuộn hết trang và mở tương tác chính
3. Đo scrollWidth so clientWidth và chụp màn hình</x:v>
      </x:c>
      <x:c r="P119" s="3" t="str">
        <x:v>Không tràn ngang toàn trang; chữ/nút không chồng hoặc bị cắt; nội dung/ảnh không mất; bảng rộng cuộn trong vùng bảng. Menu và CTA chính thao tác được.</x:v>
      </x:c>
      <x:c r="Q119" s="11" t="str"/>
      <x:c r="R119" s="8" t="str">
        <x:v>NOT RUN</x:v>
      </x:c>
      <x:c r="S119" s="11" t="str">
        <x:v>QA/UAT — cần điền URL/build</x:v>
      </x:c>
      <x:c r="T119" s="11" t="str">
        <x:v>Cần điền phiên bản thực</x:v>
      </x:c>
      <x:c r="U119" s="11" t="str"/>
      <x:c r="V119" s="12" t="str"/>
      <x:c r="W119" s="11" t="str"/>
      <x:c r="X119" s="11" t="str"/>
      <x:c r="Y119" s="3" t="str">
        <x:v>Nguồn: frontend/src/app; admin/src/app/styles.css. Đánh giá khả dụng theo yêu cầu người dùng; ngưỡng WCAG chính thức vẫn cần phê duyệt.</x:v>
      </x:c>
    </x:row>
    <x:row r="120" ht="49" customHeight="1">
      <x:c r="A120" s="3" t="n">
        <x:v>119</x:v>
      </x:c>
      <x:c r="B120" s="3" t="str">
        <x:v>TC_I18N_032</x:v>
      </x:c>
      <x:c r="C120" s="3" t="str">
        <x:v>I18N</x:v>
      </x:c>
      <x:c r="D120" s="3" t="str">
        <x:v>Song ngữ Tin tức</x:v>
      </x:c>
      <x:c r="E120" s="3" t="str">
        <x:v>Song ngữ Tin tức</x:v>
      </x:c>
      <x:c r="F120" s="3" t="str">
        <x:v>Localization — Tin tức: Đổi VI sang EN</x:v>
      </x:c>
      <x:c r="G120" s="3" t="str">
        <x:v>Tin tức: Đổi VI sang EN</x:v>
      </x:c>
      <x:c r="H120" s="3" t="str">
        <x:v>PUB-001</x:v>
      </x:c>
      <x:c r="I120" s="3" t="str">
        <x:v>Khách truy cập</x:v>
      </x:c>
      <x:c r="J120" s="3" t="str">
        <x:v>Localization</x:v>
      </x:c>
      <x:c r="K120" s="3" t="str">
        <x:v>Medium</x:v>
      </x:c>
      <x:c r="L120" s="3" t="str">
        <x:v>Medium</x:v>
      </x:c>
      <x:c r="M120" s="3" t="str">
        <x:v>QA/UAT public sẵn sàng; không cần đăng nhập; demo=false cho case tích hợp CMS/public. Ghi viewport, OS và browser thực.</x:v>
      </x:c>
      <x:c r="N120" s="3" t="str">
        <x:v>Dữ liệu QA tổng hợp; xem fixture trong README.</x:v>
      </x:c>
      <x:c r="O120" s="3" t="str">
        <x:v>1. Mở /vi/news
2. Nhấn EN
3. Refresh</x:v>
      </x:c>
      <x:c r="P120" s="3" t="str">
        <x:v>Prefix chuyển /en, giữ route tương ứng; active EN và html lang=en; refresh không trở về VI.</x:v>
      </x:c>
      <x:c r="Q120" s="11" t="str"/>
      <x:c r="R120" s="8" t="str">
        <x:v>NOT RUN</x:v>
      </x:c>
      <x:c r="S120" s="11" t="str">
        <x:v>QA/UAT — cần điền URL/build</x:v>
      </x:c>
      <x:c r="T120" s="11" t="str">
        <x:v>Cần điền phiên bản thực</x:v>
      </x:c>
      <x:c r="U120" s="11" t="str"/>
      <x:c r="V120" s="12" t="str"/>
      <x:c r="W120" s="11" t="str"/>
      <x:c r="X120" s="11" t="str"/>
      <x:c r="Y120" s="3" t="str">
        <x:v>Nguồn: frontend/src/shared/components/layout/LanguageToggle.tsx; frontend/src/messages. </x:v>
      </x:c>
    </x:row>
    <x:row r="121" ht="49" customHeight="1">
      <x:c r="A121" s="3" t="n">
        <x:v>120</x:v>
      </x:c>
      <x:c r="B121" s="3" t="str">
        <x:v>TC_I18N_033</x:v>
      </x:c>
      <x:c r="C121" s="3" t="str">
        <x:v>I18N</x:v>
      </x:c>
      <x:c r="D121" s="3" t="str">
        <x:v>Song ngữ Tin tức</x:v>
      </x:c>
      <x:c r="E121" s="3" t="str">
        <x:v>Song ngữ Tin tức</x:v>
      </x:c>
      <x:c r="F121" s="3" t="str">
        <x:v>Localization — Tin tức: Bản dịch toàn trang</x:v>
      </x:c>
      <x:c r="G121" s="3" t="str">
        <x:v>Tin tức: Bản dịch toàn trang</x:v>
      </x:c>
      <x:c r="H121" s="3" t="str">
        <x:v>PUB-001</x:v>
      </x:c>
      <x:c r="I121" s="3" t="str">
        <x:v>Khách truy cập</x:v>
      </x:c>
      <x:c r="J121" s="3" t="str">
        <x:v>Localization</x:v>
      </x:c>
      <x:c r="K121" s="3" t="str">
        <x:v>Medium</x:v>
      </x:c>
      <x:c r="L121" s="3" t="str">
        <x:v>Medium</x:v>
      </x:c>
      <x:c r="M121" s="3" t="str">
        <x:v>QA/UAT public sẵn sàng; không cần đăng nhập; demo=false cho case tích hợp CMS/public. Ghi viewport, OS và browser thực.</x:v>
      </x:c>
      <x:c r="N121" s="3" t="str">
        <x:v>Dữ liệu QA tổng hợp; xem fixture trong README.</x:v>
      </x:c>
      <x:c r="O121" s="3" t="str">
        <x:v>1. Mở /en/news
2. Cuộn nội dung, mở menu, submit lỗi form nếu có</x:v>
      </x:c>
      <x:c r="P121" s="3" t="str">
        <x:v>Không lộ khóa dịch hoặc lẫn tiếng Việt trong nội dung thuộc phạm vi dịch; ngày/số/validation đúng locale.</x:v>
      </x:c>
      <x:c r="Q121" s="11" t="str"/>
      <x:c r="R121" s="9" t="str">
        <x:v>NEED CONFIRMATION</x:v>
      </x:c>
      <x:c r="S121" s="11" t="str">
        <x:v>QA/UAT — cần điền URL/build</x:v>
      </x:c>
      <x:c r="T121" s="11" t="str">
        <x:v>Cần điền phiên bản thực</x:v>
      </x:c>
      <x:c r="U121" s="11" t="str"/>
      <x:c r="V121" s="12" t="str"/>
      <x:c r="W121" s="11" t="str"/>
      <x:c r="X121" s="11" t="str"/>
      <x:c r="Y121" s="3" t="str">
        <x:v>Nguồn: frontend/src/shared/components/layout/LanguageToggle.tsx; frontend/src/messages. Need Confirmation: Chốt phạm vi dịch nội dung tĩnh và dữ liệu CMS.</x:v>
      </x:c>
    </x:row>
    <x:row r="122" ht="49" customHeight="1">
      <x:c r="A122" s="3" t="n">
        <x:v>121</x:v>
      </x:c>
      <x:c r="B122" s="3" t="str">
        <x:v>TC_I18N_034</x:v>
      </x:c>
      <x:c r="C122" s="3" t="str">
        <x:v>I18N</x:v>
      </x:c>
      <x:c r="D122" s="3" t="str">
        <x:v>Song ngữ Tin tức</x:v>
      </x:c>
      <x:c r="E122" s="3" t="str">
        <x:v>Song ngữ Tin tức</x:v>
      </x:c>
      <x:c r="F122" s="3" t="str">
        <x:v>Localization — Tin tức: Back sau đổi locale</x:v>
      </x:c>
      <x:c r="G122" s="3" t="str">
        <x:v>Tin tức: Back sau đổi locale</x:v>
      </x:c>
      <x:c r="H122" s="3" t="str">
        <x:v>PUB-001</x:v>
      </x:c>
      <x:c r="I122" s="3" t="str">
        <x:v>Khách truy cập</x:v>
      </x:c>
      <x:c r="J122" s="3" t="str">
        <x:v>Localization</x:v>
      </x:c>
      <x:c r="K122" s="3" t="str">
        <x:v>Medium</x:v>
      </x:c>
      <x:c r="L122" s="3" t="str">
        <x:v>Medium</x:v>
      </x:c>
      <x:c r="M122" s="3" t="str">
        <x:v>QA/UAT public sẵn sàng; không cần đăng nhập; demo=false cho case tích hợp CMS/public. Ghi viewport, OS và browser thực.</x:v>
      </x:c>
      <x:c r="N122" s="3" t="str">
        <x:v>Dữ liệu QA tổng hợp; xem fixture trong README.</x:v>
      </x:c>
      <x:c r="O122" s="3" t="str">
        <x:v>1. Mở /vi/news
2. Nhấn EN rồi Back</x:v>
      </x:c>
      <x:c r="P122" s="3" t="str">
        <x:v>Back quay đúng trang VI trước đó; UI và URL locale đồng bộ.</x:v>
      </x:c>
      <x:c r="Q122" s="11" t="str"/>
      <x:c r="R122" s="8" t="str">
        <x:v>NOT RUN</x:v>
      </x:c>
      <x:c r="S122" s="11" t="str">
        <x:v>QA/UAT — cần điền URL/build</x:v>
      </x:c>
      <x:c r="T122" s="11" t="str">
        <x:v>Cần điền phiên bản thực</x:v>
      </x:c>
      <x:c r="U122" s="11" t="str"/>
      <x:c r="V122" s="12" t="str"/>
      <x:c r="W122" s="11" t="str"/>
      <x:c r="X122" s="11" t="str"/>
      <x:c r="Y122" s="3" t="str">
        <x:v>Nguồn: frontend/src/shared/components/layout/LanguageToggle.tsx; frontend/src/messages. </x:v>
      </x:c>
    </x:row>
    <x:row r="123" ht="49" customHeight="1">
      <x:c r="A123" s="3" t="n">
        <x:v>122</x:v>
      </x:c>
      <x:c r="B123" s="3" t="str">
        <x:v>TC_UI_089</x:v>
      </x:c>
      <x:c r="C123" s="3" t="str">
        <x:v>UI</x:v>
      </x:c>
      <x:c r="D123" s="3" t="str">
        <x:v>Responsive Chi tiết tin</x:v>
      </x:c>
      <x:c r="E123" s="3" t="str">
        <x:v>Responsive Chi tiết tin</x:v>
      </x:c>
      <x:c r="F123" s="3" t="str">
        <x:v>Responsive — Chi tiết tin tại 320px</x:v>
      </x:c>
      <x:c r="G123" s="3" t="str">
        <x:v>Chi tiết tin tại 320px</x:v>
      </x:c>
      <x:c r="H123" s="3" t="str">
        <x:v>NFR-003</x:v>
      </x:c>
      <x:c r="I123" s="3" t="str">
        <x:v>Khách truy cập</x:v>
      </x:c>
      <x:c r="J123" s="3" t="str">
        <x:v>Responsive</x:v>
      </x:c>
      <x:c r="K123" s="3" t="str">
        <x:v>High</x:v>
      </x:c>
      <x:c r="L123" s="3" t="str">
        <x:v>High</x:v>
      </x:c>
      <x:c r="M123" s="3" t="str">
        <x:v>QA/UAT public sẵn sàng; không cần đăng nhập; demo=false cho case tích hợp CMS/public. Ghi viewport, OS và browser thực.</x:v>
      </x:c>
      <x:c r="N123" s="3" t="str">
        <x:v>Viewport 320×900 CSS px; fixture có tên/tiêu đề dài và tiếng Việt.</x:v>
      </x:c>
      <x:c r="O123" s="3" t="str">
        <x:v>1. Mở /vi/news/qa-news; viewport 320×900 CSS px, zoom100%
2. Cuộn hết trang và mở tương tác chính
3. Đo scrollWidth so clientWidth và chụp màn hình</x:v>
      </x:c>
      <x:c r="P123" s="3" t="str">
        <x:v>Không tràn ngang toàn trang; chữ/nút không chồng hoặc bị cắt; nội dung/ảnh không mất; bảng rộng cuộn trong vùng bảng. Menu và CTA chính thao tác được.</x:v>
      </x:c>
      <x:c r="Q123" s="11" t="str"/>
      <x:c r="R123" s="8" t="str">
        <x:v>NOT RUN</x:v>
      </x:c>
      <x:c r="S123" s="11" t="str">
        <x:v>QA/UAT — cần điền URL/build</x:v>
      </x:c>
      <x:c r="T123" s="11" t="str">
        <x:v>Cần điền phiên bản thực</x:v>
      </x:c>
      <x:c r="U123" s="11" t="str"/>
      <x:c r="V123" s="12" t="str"/>
      <x:c r="W123" s="11" t="str"/>
      <x:c r="X123" s="11" t="str"/>
      <x:c r="Y123" s="3" t="str">
        <x:v>Nguồn: frontend/src/app; admin/src/app/styles.css. Đánh giá khả dụng theo yêu cầu người dùng; ngưỡng WCAG chính thức vẫn cần phê duyệt.</x:v>
      </x:c>
    </x:row>
    <x:row r="124" ht="49" customHeight="1">
      <x:c r="A124" s="3" t="n">
        <x:v>123</x:v>
      </x:c>
      <x:c r="B124" s="3" t="str">
        <x:v>TC_UI_090</x:v>
      </x:c>
      <x:c r="C124" s="3" t="str">
        <x:v>UI</x:v>
      </x:c>
      <x:c r="D124" s="3" t="str">
        <x:v>Responsive Chi tiết tin</x:v>
      </x:c>
      <x:c r="E124" s="3" t="str">
        <x:v>Responsive Chi tiết tin</x:v>
      </x:c>
      <x:c r="F124" s="3" t="str">
        <x:v>Responsive — Chi tiết tin tại 375px</x:v>
      </x:c>
      <x:c r="G124" s="3" t="str">
        <x:v>Chi tiết tin tại 375px</x:v>
      </x:c>
      <x:c r="H124" s="3" t="str">
        <x:v>NFR-003</x:v>
      </x:c>
      <x:c r="I124" s="3" t="str">
        <x:v>Khách truy cập</x:v>
      </x:c>
      <x:c r="J124" s="3" t="str">
        <x:v>Responsive</x:v>
      </x:c>
      <x:c r="K124" s="3" t="str">
        <x:v>Medium</x:v>
      </x:c>
      <x:c r="L124" s="3" t="str">
        <x:v>Medium</x:v>
      </x:c>
      <x:c r="M124" s="3" t="str">
        <x:v>QA/UAT public sẵn sàng; không cần đăng nhập; demo=false cho case tích hợp CMS/public. Ghi viewport, OS và browser thực.</x:v>
      </x:c>
      <x:c r="N124" s="3" t="str">
        <x:v>Viewport 375×900 CSS px; fixture có tên/tiêu đề dài và tiếng Việt.</x:v>
      </x:c>
      <x:c r="O124" s="3" t="str">
        <x:v>1. Mở /vi/news/qa-news; viewport 375×900 CSS px, zoom100%
2. Cuộn hết trang và mở tương tác chính
3. Đo scrollWidth so clientWidth và chụp màn hình</x:v>
      </x:c>
      <x:c r="P124" s="3" t="str">
        <x:v>Không tràn ngang toàn trang; chữ/nút không chồng hoặc bị cắt; nội dung/ảnh không mất; bảng rộng cuộn trong vùng bảng. Menu và CTA chính thao tác được.</x:v>
      </x:c>
      <x:c r="Q124" s="11" t="str"/>
      <x:c r="R124" s="8" t="str">
        <x:v>NOT RUN</x:v>
      </x:c>
      <x:c r="S124" s="11" t="str">
        <x:v>QA/UAT — cần điền URL/build</x:v>
      </x:c>
      <x:c r="T124" s="11" t="str">
        <x:v>Cần điền phiên bản thực</x:v>
      </x:c>
      <x:c r="U124" s="11" t="str"/>
      <x:c r="V124" s="12" t="str"/>
      <x:c r="W124" s="11" t="str"/>
      <x:c r="X124" s="11" t="str"/>
      <x:c r="Y124" s="3" t="str">
        <x:v>Nguồn: frontend/src/app; admin/src/app/styles.css. Đánh giá khả dụng theo yêu cầu người dùng; ngưỡng WCAG chính thức vẫn cần phê duyệt.</x:v>
      </x:c>
    </x:row>
    <x:row r="125" ht="49" customHeight="1">
      <x:c r="A125" s="3" t="n">
        <x:v>124</x:v>
      </x:c>
      <x:c r="B125" s="3" t="str">
        <x:v>TC_UI_091</x:v>
      </x:c>
      <x:c r="C125" s="3" t="str">
        <x:v>UI</x:v>
      </x:c>
      <x:c r="D125" s="3" t="str">
        <x:v>Responsive Chi tiết tin</x:v>
      </x:c>
      <x:c r="E125" s="3" t="str">
        <x:v>Responsive Chi tiết tin</x:v>
      </x:c>
      <x:c r="F125" s="3" t="str">
        <x:v>Responsive — Chi tiết tin tại 390px</x:v>
      </x:c>
      <x:c r="G125" s="3" t="str">
        <x:v>Chi tiết tin tại 390px</x:v>
      </x:c>
      <x:c r="H125" s="3" t="str">
        <x:v>NFR-003</x:v>
      </x:c>
      <x:c r="I125" s="3" t="str">
        <x:v>Khách truy cập</x:v>
      </x:c>
      <x:c r="J125" s="3" t="str">
        <x:v>Responsive</x:v>
      </x:c>
      <x:c r="K125" s="3" t="str">
        <x:v>Medium</x:v>
      </x:c>
      <x:c r="L125" s="3" t="str">
        <x:v>Medium</x:v>
      </x:c>
      <x:c r="M125" s="3" t="str">
        <x:v>QA/UAT public sẵn sàng; không cần đăng nhập; demo=false cho case tích hợp CMS/public. Ghi viewport, OS và browser thực.</x:v>
      </x:c>
      <x:c r="N125" s="3" t="str">
        <x:v>Viewport 390×900 CSS px; fixture có tên/tiêu đề dài và tiếng Việt.</x:v>
      </x:c>
      <x:c r="O125" s="3" t="str">
        <x:v>1. Mở /vi/news/qa-news; viewport 390×900 CSS px, zoom100%
2. Cuộn hết trang và mở tương tác chính
3. Đo scrollWidth so clientWidth và chụp màn hình</x:v>
      </x:c>
      <x:c r="P125" s="3" t="str">
        <x:v>Không tràn ngang toàn trang; chữ/nút không chồng hoặc bị cắt; nội dung/ảnh không mất; bảng rộng cuộn trong vùng bảng. Menu và CTA chính thao tác được.</x:v>
      </x:c>
      <x:c r="Q125" s="11" t="str"/>
      <x:c r="R125" s="8" t="str">
        <x:v>NOT RUN</x:v>
      </x:c>
      <x:c r="S125" s="11" t="str">
        <x:v>QA/UAT — cần điền URL/build</x:v>
      </x:c>
      <x:c r="T125" s="11" t="str">
        <x:v>Cần điền phiên bản thực</x:v>
      </x:c>
      <x:c r="U125" s="11" t="str"/>
      <x:c r="V125" s="12" t="str"/>
      <x:c r="W125" s="11" t="str"/>
      <x:c r="X125" s="11" t="str"/>
      <x:c r="Y125" s="3" t="str">
        <x:v>Nguồn: frontend/src/app; admin/src/app/styles.css. Đánh giá khả dụng theo yêu cầu người dùng; ngưỡng WCAG chính thức vẫn cần phê duyệt.</x:v>
      </x:c>
    </x:row>
    <x:row r="126" ht="49" customHeight="1">
      <x:c r="A126" s="3" t="n">
        <x:v>125</x:v>
      </x:c>
      <x:c r="B126" s="3" t="str">
        <x:v>TC_UI_092</x:v>
      </x:c>
      <x:c r="C126" s="3" t="str">
        <x:v>UI</x:v>
      </x:c>
      <x:c r="D126" s="3" t="str">
        <x:v>Responsive Chi tiết tin</x:v>
      </x:c>
      <x:c r="E126" s="3" t="str">
        <x:v>Responsive Chi tiết tin</x:v>
      </x:c>
      <x:c r="F126" s="3" t="str">
        <x:v>Responsive — Chi tiết tin tại 768px</x:v>
      </x:c>
      <x:c r="G126" s="3" t="str">
        <x:v>Chi tiết tin tại 768px</x:v>
      </x:c>
      <x:c r="H126" s="3" t="str">
        <x:v>NFR-003</x:v>
      </x:c>
      <x:c r="I126" s="3" t="str">
        <x:v>Khách truy cập</x:v>
      </x:c>
      <x:c r="J126" s="3" t="str">
        <x:v>Responsive</x:v>
      </x:c>
      <x:c r="K126" s="3" t="str">
        <x:v>Medium</x:v>
      </x:c>
      <x:c r="L126" s="3" t="str">
        <x:v>Medium</x:v>
      </x:c>
      <x:c r="M126" s="3" t="str">
        <x:v>QA/UAT public sẵn sàng; không cần đăng nhập; demo=false cho case tích hợp CMS/public. Ghi viewport, OS và browser thực.</x:v>
      </x:c>
      <x:c r="N126" s="3" t="str">
        <x:v>Viewport 768×900 CSS px; fixture có tên/tiêu đề dài và tiếng Việt.</x:v>
      </x:c>
      <x:c r="O126" s="3" t="str">
        <x:v>1. Mở /vi/news/qa-news; viewport 768×900 CSS px, zoom100%
2. Cuộn hết trang và mở tương tác chính
3. Đo scrollWidth so clientWidth và chụp màn hình</x:v>
      </x:c>
      <x:c r="P126" s="3" t="str">
        <x:v>Không tràn ngang toàn trang; chữ/nút không chồng hoặc bị cắt; nội dung/ảnh không mất; bảng rộng cuộn trong vùng bảng. Menu và CTA chính thao tác được.</x:v>
      </x:c>
      <x:c r="Q126" s="11" t="str"/>
      <x:c r="R126" s="8" t="str">
        <x:v>NOT RUN</x:v>
      </x:c>
      <x:c r="S126" s="11" t="str">
        <x:v>QA/UAT — cần điền URL/build</x:v>
      </x:c>
      <x:c r="T126" s="11" t="str">
        <x:v>Cần điền phiên bản thực</x:v>
      </x:c>
      <x:c r="U126" s="11" t="str"/>
      <x:c r="V126" s="12" t="str"/>
      <x:c r="W126" s="11" t="str"/>
      <x:c r="X126" s="11" t="str"/>
      <x:c r="Y126" s="3" t="str">
        <x:v>Nguồn: frontend/src/app; admin/src/app/styles.css. Đánh giá khả dụng theo yêu cầu người dùng; ngưỡng WCAG chính thức vẫn cần phê duyệt.</x:v>
      </x:c>
    </x:row>
    <x:row r="127" ht="49" customHeight="1">
      <x:c r="A127" s="3" t="n">
        <x:v>126</x:v>
      </x:c>
      <x:c r="B127" s="3" t="str">
        <x:v>TC_UI_093</x:v>
      </x:c>
      <x:c r="C127" s="3" t="str">
        <x:v>UI</x:v>
      </x:c>
      <x:c r="D127" s="3" t="str">
        <x:v>Responsive Chi tiết tin</x:v>
      </x:c>
      <x:c r="E127" s="3" t="str">
        <x:v>Responsive Chi tiết tin</x:v>
      </x:c>
      <x:c r="F127" s="3" t="str">
        <x:v>Responsive — Chi tiết tin tại 1024px</x:v>
      </x:c>
      <x:c r="G127" s="3" t="str">
        <x:v>Chi tiết tin tại 1024px</x:v>
      </x:c>
      <x:c r="H127" s="3" t="str">
        <x:v>NFR-003</x:v>
      </x:c>
      <x:c r="I127" s="3" t="str">
        <x:v>Khách truy cập</x:v>
      </x:c>
      <x:c r="J127" s="3" t="str">
        <x:v>Responsive</x:v>
      </x:c>
      <x:c r="K127" s="3" t="str">
        <x:v>Medium</x:v>
      </x:c>
      <x:c r="L127" s="3" t="str">
        <x:v>Medium</x:v>
      </x:c>
      <x:c r="M127" s="3" t="str">
        <x:v>QA/UAT public sẵn sàng; không cần đăng nhập; demo=false cho case tích hợp CMS/public. Ghi viewport, OS và browser thực.</x:v>
      </x:c>
      <x:c r="N127" s="3" t="str">
        <x:v>Viewport 1024×900 CSS px; fixture có tên/tiêu đề dài và tiếng Việt.</x:v>
      </x:c>
      <x:c r="O127" s="3" t="str">
        <x:v>1. Mở /vi/news/qa-news; viewport 1024×900 CSS px, zoom100%
2. Cuộn hết trang và mở tương tác chính
3. Đo scrollWidth so clientWidth và chụp màn hình</x:v>
      </x:c>
      <x:c r="P127" s="3" t="str">
        <x:v>Không tràn ngang toàn trang; chữ/nút không chồng hoặc bị cắt; nội dung/ảnh không mất; bảng rộng cuộn trong vùng bảng. Menu và CTA chính thao tác được.</x:v>
      </x:c>
      <x:c r="Q127" s="11" t="str"/>
      <x:c r="R127" s="8" t="str">
        <x:v>NOT RUN</x:v>
      </x:c>
      <x:c r="S127" s="11" t="str">
        <x:v>QA/UAT — cần điền URL/build</x:v>
      </x:c>
      <x:c r="T127" s="11" t="str">
        <x:v>Cần điền phiên bản thực</x:v>
      </x:c>
      <x:c r="U127" s="11" t="str"/>
      <x:c r="V127" s="12" t="str"/>
      <x:c r="W127" s="11" t="str"/>
      <x:c r="X127" s="11" t="str"/>
      <x:c r="Y127" s="3" t="str">
        <x:v>Nguồn: frontend/src/app; admin/src/app/styles.css. Đánh giá khả dụng theo yêu cầu người dùng; ngưỡng WCAG chính thức vẫn cần phê duyệt.</x:v>
      </x:c>
    </x:row>
    <x:row r="128" ht="49" customHeight="1">
      <x:c r="A128" s="3" t="n">
        <x:v>127</x:v>
      </x:c>
      <x:c r="B128" s="3" t="str">
        <x:v>TC_UI_094</x:v>
      </x:c>
      <x:c r="C128" s="3" t="str">
        <x:v>UI</x:v>
      </x:c>
      <x:c r="D128" s="3" t="str">
        <x:v>Responsive Chi tiết tin</x:v>
      </x:c>
      <x:c r="E128" s="3" t="str">
        <x:v>Responsive Chi tiết tin</x:v>
      </x:c>
      <x:c r="F128" s="3" t="str">
        <x:v>Responsive — Chi tiết tin tại 1280px</x:v>
      </x:c>
      <x:c r="G128" s="3" t="str">
        <x:v>Chi tiết tin tại 1280px</x:v>
      </x:c>
      <x:c r="H128" s="3" t="str">
        <x:v>NFR-003</x:v>
      </x:c>
      <x:c r="I128" s="3" t="str">
        <x:v>Khách truy cập</x:v>
      </x:c>
      <x:c r="J128" s="3" t="str">
        <x:v>Responsive</x:v>
      </x:c>
      <x:c r="K128" s="3" t="str">
        <x:v>Medium</x:v>
      </x:c>
      <x:c r="L128" s="3" t="str">
        <x:v>Medium</x:v>
      </x:c>
      <x:c r="M128" s="3" t="str">
        <x:v>QA/UAT public sẵn sàng; không cần đăng nhập; demo=false cho case tích hợp CMS/public. Ghi viewport, OS và browser thực.</x:v>
      </x:c>
      <x:c r="N128" s="3" t="str">
        <x:v>Viewport 1280×900 CSS px; fixture có tên/tiêu đề dài và tiếng Việt.</x:v>
      </x:c>
      <x:c r="O128" s="3" t="str">
        <x:v>1. Mở /vi/news/qa-news; viewport 1280×900 CSS px, zoom100%
2. Cuộn hết trang và mở tương tác chính
3. Đo scrollWidth so clientWidth và chụp màn hình</x:v>
      </x:c>
      <x:c r="P128" s="3" t="str">
        <x:v>Không tràn ngang toàn trang; chữ/nút không chồng hoặc bị cắt; nội dung/ảnh không mất; bảng rộng cuộn trong vùng bảng. Menu và CTA chính thao tác được.</x:v>
      </x:c>
      <x:c r="Q128" s="11" t="str"/>
      <x:c r="R128" s="8" t="str">
        <x:v>NOT RUN</x:v>
      </x:c>
      <x:c r="S128" s="11" t="str">
        <x:v>QA/UAT — cần điền URL/build</x:v>
      </x:c>
      <x:c r="T128" s="11" t="str">
        <x:v>Cần điền phiên bản thực</x:v>
      </x:c>
      <x:c r="U128" s="11" t="str"/>
      <x:c r="V128" s="12" t="str"/>
      <x:c r="W128" s="11" t="str"/>
      <x:c r="X128" s="11" t="str"/>
      <x:c r="Y128" s="3" t="str">
        <x:v>Nguồn: frontend/src/app; admin/src/app/styles.css. Đánh giá khả dụng theo yêu cầu người dùng; ngưỡng WCAG chính thức vẫn cần phê duyệt.</x:v>
      </x:c>
    </x:row>
    <x:row r="129" ht="49" customHeight="1">
      <x:c r="A129" s="3" t="n">
        <x:v>128</x:v>
      </x:c>
      <x:c r="B129" s="3" t="str">
        <x:v>TC_UI_095</x:v>
      </x:c>
      <x:c r="C129" s="3" t="str">
        <x:v>UI</x:v>
      </x:c>
      <x:c r="D129" s="3" t="str">
        <x:v>Responsive Chi tiết tin</x:v>
      </x:c>
      <x:c r="E129" s="3" t="str">
        <x:v>Responsive Chi tiết tin</x:v>
      </x:c>
      <x:c r="F129" s="3" t="str">
        <x:v>Responsive — Chi tiết tin tại 1440px</x:v>
      </x:c>
      <x:c r="G129" s="3" t="str">
        <x:v>Chi tiết tin tại 1440px</x:v>
      </x:c>
      <x:c r="H129" s="3" t="str">
        <x:v>NFR-003</x:v>
      </x:c>
      <x:c r="I129" s="3" t="str">
        <x:v>Khách truy cập</x:v>
      </x:c>
      <x:c r="J129" s="3" t="str">
        <x:v>Responsive</x:v>
      </x:c>
      <x:c r="K129" s="3" t="str">
        <x:v>Medium</x:v>
      </x:c>
      <x:c r="L129" s="3" t="str">
        <x:v>Medium</x:v>
      </x:c>
      <x:c r="M129" s="3" t="str">
        <x:v>QA/UAT public sẵn sàng; không cần đăng nhập; demo=false cho case tích hợp CMS/public. Ghi viewport, OS và browser thực.</x:v>
      </x:c>
      <x:c r="N129" s="3" t="str">
        <x:v>Viewport 1440×900 CSS px; fixture có tên/tiêu đề dài và tiếng Việt.</x:v>
      </x:c>
      <x:c r="O129" s="3" t="str">
        <x:v>1. Mở /vi/news/qa-news; viewport 1440×900 CSS px, zoom100%
2. Cuộn hết trang và mở tương tác chính
3. Đo scrollWidth so clientWidth và chụp màn hình</x:v>
      </x:c>
      <x:c r="P129" s="3" t="str">
        <x:v>Không tràn ngang toàn trang; chữ/nút không chồng hoặc bị cắt; nội dung/ảnh không mất; bảng rộng cuộn trong vùng bảng. Menu và CTA chính thao tác được.</x:v>
      </x:c>
      <x:c r="Q129" s="11" t="str"/>
      <x:c r="R129" s="8" t="str">
        <x:v>NOT RUN</x:v>
      </x:c>
      <x:c r="S129" s="11" t="str">
        <x:v>QA/UAT — cần điền URL/build</x:v>
      </x:c>
      <x:c r="T129" s="11" t="str">
        <x:v>Cần điền phiên bản thực</x:v>
      </x:c>
      <x:c r="U129" s="11" t="str"/>
      <x:c r="V129" s="12" t="str"/>
      <x:c r="W129" s="11" t="str"/>
      <x:c r="X129" s="11" t="str"/>
      <x:c r="Y129" s="3" t="str">
        <x:v>Nguồn: frontend/src/app; admin/src/app/styles.css. Đánh giá khả dụng theo yêu cầu người dùng; ngưỡng WCAG chính thức vẫn cần phê duyệt.</x:v>
      </x:c>
    </x:row>
    <x:row r="130" ht="49" customHeight="1">
      <x:c r="A130" s="3" t="n">
        <x:v>129</x:v>
      </x:c>
      <x:c r="B130" s="3" t="str">
        <x:v>TC_UI_096</x:v>
      </x:c>
      <x:c r="C130" s="3" t="str">
        <x:v>UI</x:v>
      </x:c>
      <x:c r="D130" s="3" t="str">
        <x:v>Responsive Chi tiết tin</x:v>
      </x:c>
      <x:c r="E130" s="3" t="str">
        <x:v>Responsive Chi tiết tin</x:v>
      </x:c>
      <x:c r="F130" s="3" t="str">
        <x:v>Responsive — Chi tiết tin tại 1920px</x:v>
      </x:c>
      <x:c r="G130" s="3" t="str">
        <x:v>Chi tiết tin tại 1920px</x:v>
      </x:c>
      <x:c r="H130" s="3" t="str">
        <x:v>NFR-003</x:v>
      </x:c>
      <x:c r="I130" s="3" t="str">
        <x:v>Khách truy cập</x:v>
      </x:c>
      <x:c r="J130" s="3" t="str">
        <x:v>Responsive</x:v>
      </x:c>
      <x:c r="K130" s="3" t="str">
        <x:v>Medium</x:v>
      </x:c>
      <x:c r="L130" s="3" t="str">
        <x:v>Medium</x:v>
      </x:c>
      <x:c r="M130" s="3" t="str">
        <x:v>QA/UAT public sẵn sàng; không cần đăng nhập; demo=false cho case tích hợp CMS/public. Ghi viewport, OS và browser thực.</x:v>
      </x:c>
      <x:c r="N130" s="3" t="str">
        <x:v>Viewport 1920×900 CSS px; fixture có tên/tiêu đề dài và tiếng Việt.</x:v>
      </x:c>
      <x:c r="O130" s="3" t="str">
        <x:v>1. Mở /vi/news/qa-news; viewport 1920×900 CSS px, zoom100%
2. Cuộn hết trang và mở tương tác chính
3. Đo scrollWidth so clientWidth và chụp màn hình</x:v>
      </x:c>
      <x:c r="P130" s="3" t="str">
        <x:v>Không tràn ngang toàn trang; chữ/nút không chồng hoặc bị cắt; nội dung/ảnh không mất; bảng rộng cuộn trong vùng bảng. Menu và CTA chính thao tác được.</x:v>
      </x:c>
      <x:c r="Q130" s="11" t="str"/>
      <x:c r="R130" s="8" t="str">
        <x:v>NOT RUN</x:v>
      </x:c>
      <x:c r="S130" s="11" t="str">
        <x:v>QA/UAT — cần điền URL/build</x:v>
      </x:c>
      <x:c r="T130" s="11" t="str">
        <x:v>Cần điền phiên bản thực</x:v>
      </x:c>
      <x:c r="U130" s="11" t="str"/>
      <x:c r="V130" s="12" t="str"/>
      <x:c r="W130" s="11" t="str"/>
      <x:c r="X130" s="11" t="str"/>
      <x:c r="Y130" s="3" t="str">
        <x:v>Nguồn: frontend/src/app; admin/src/app/styles.css. Đánh giá khả dụng theo yêu cầu người dùng; ngưỡng WCAG chính thức vẫn cần phê duyệt.</x:v>
      </x:c>
    </x:row>
    <x:row r="131" ht="49" customHeight="1">
      <x:c r="A131" s="3" t="n">
        <x:v>130</x:v>
      </x:c>
      <x:c r="B131" s="3" t="str">
        <x:v>TC_I18N_035</x:v>
      </x:c>
      <x:c r="C131" s="3" t="str">
        <x:v>I18N</x:v>
      </x:c>
      <x:c r="D131" s="3" t="str">
        <x:v>Song ngữ Chi tiết tin</x:v>
      </x:c>
      <x:c r="E131" s="3" t="str">
        <x:v>Song ngữ Chi tiết tin</x:v>
      </x:c>
      <x:c r="F131" s="3" t="str">
        <x:v>Localization — Chi tiết tin: Đổi VI sang EN</x:v>
      </x:c>
      <x:c r="G131" s="3" t="str">
        <x:v>Chi tiết tin: Đổi VI sang EN</x:v>
      </x:c>
      <x:c r="H131" s="3" t="str">
        <x:v>PUB-001</x:v>
      </x:c>
      <x:c r="I131" s="3" t="str">
        <x:v>Khách truy cập</x:v>
      </x:c>
      <x:c r="J131" s="3" t="str">
        <x:v>Localization</x:v>
      </x:c>
      <x:c r="K131" s="3" t="str">
        <x:v>Medium</x:v>
      </x:c>
      <x:c r="L131" s="3" t="str">
        <x:v>Medium</x:v>
      </x:c>
      <x:c r="M131" s="3" t="str">
        <x:v>QA/UAT public sẵn sàng; không cần đăng nhập; demo=false cho case tích hợp CMS/public. Ghi viewport, OS và browser thực.</x:v>
      </x:c>
      <x:c r="N131" s="3" t="str">
        <x:v>Dữ liệu QA tổng hợp; xem fixture trong README.</x:v>
      </x:c>
      <x:c r="O131" s="3" t="str">
        <x:v>1. Mở /vi/news/qa-news
2. Nhấn EN
3. Refresh</x:v>
      </x:c>
      <x:c r="P131" s="3" t="str">
        <x:v>Prefix chuyển /en, giữ route tương ứng; active EN và html lang=en; refresh không trở về VI.</x:v>
      </x:c>
      <x:c r="Q131" s="11" t="str"/>
      <x:c r="R131" s="8" t="str">
        <x:v>NOT RUN</x:v>
      </x:c>
      <x:c r="S131" s="11" t="str">
        <x:v>QA/UAT — cần điền URL/build</x:v>
      </x:c>
      <x:c r="T131" s="11" t="str">
        <x:v>Cần điền phiên bản thực</x:v>
      </x:c>
      <x:c r="U131" s="11" t="str"/>
      <x:c r="V131" s="12" t="str"/>
      <x:c r="W131" s="11" t="str"/>
      <x:c r="X131" s="11" t="str"/>
      <x:c r="Y131" s="3" t="str">
        <x:v>Nguồn: frontend/src/shared/components/layout/LanguageToggle.tsx; frontend/src/messages. </x:v>
      </x:c>
    </x:row>
    <x:row r="132" ht="49" customHeight="1">
      <x:c r="A132" s="3" t="n">
        <x:v>131</x:v>
      </x:c>
      <x:c r="B132" s="3" t="str">
        <x:v>TC_I18N_036</x:v>
      </x:c>
      <x:c r="C132" s="3" t="str">
        <x:v>I18N</x:v>
      </x:c>
      <x:c r="D132" s="3" t="str">
        <x:v>Song ngữ Chi tiết tin</x:v>
      </x:c>
      <x:c r="E132" s="3" t="str">
        <x:v>Song ngữ Chi tiết tin</x:v>
      </x:c>
      <x:c r="F132" s="3" t="str">
        <x:v>Localization — Chi tiết tin: Bản dịch toàn trang</x:v>
      </x:c>
      <x:c r="G132" s="3" t="str">
        <x:v>Chi tiết tin: Bản dịch toàn trang</x:v>
      </x:c>
      <x:c r="H132" s="3" t="str">
        <x:v>PUB-001</x:v>
      </x:c>
      <x:c r="I132" s="3" t="str">
        <x:v>Khách truy cập</x:v>
      </x:c>
      <x:c r="J132" s="3" t="str">
        <x:v>Localization</x:v>
      </x:c>
      <x:c r="K132" s="3" t="str">
        <x:v>Medium</x:v>
      </x:c>
      <x:c r="L132" s="3" t="str">
        <x:v>Medium</x:v>
      </x:c>
      <x:c r="M132" s="3" t="str">
        <x:v>QA/UAT public sẵn sàng; không cần đăng nhập; demo=false cho case tích hợp CMS/public. Ghi viewport, OS và browser thực.</x:v>
      </x:c>
      <x:c r="N132" s="3" t="str">
        <x:v>Dữ liệu QA tổng hợp; xem fixture trong README.</x:v>
      </x:c>
      <x:c r="O132" s="3" t="str">
        <x:v>1. Mở /en/news/qa-news
2. Cuộn nội dung, mở menu, submit lỗi form nếu có</x:v>
      </x:c>
      <x:c r="P132" s="3" t="str">
        <x:v>Không lộ khóa dịch hoặc lẫn tiếng Việt trong nội dung thuộc phạm vi dịch; ngày/số/validation đúng locale.</x:v>
      </x:c>
      <x:c r="Q132" s="11" t="str"/>
      <x:c r="R132" s="9" t="str">
        <x:v>NEED CONFIRMATION</x:v>
      </x:c>
      <x:c r="S132" s="11" t="str">
        <x:v>QA/UAT — cần điền URL/build</x:v>
      </x:c>
      <x:c r="T132" s="11" t="str">
        <x:v>Cần điền phiên bản thực</x:v>
      </x:c>
      <x:c r="U132" s="11" t="str"/>
      <x:c r="V132" s="12" t="str"/>
      <x:c r="W132" s="11" t="str"/>
      <x:c r="X132" s="11" t="str"/>
      <x:c r="Y132" s="3" t="str">
        <x:v>Nguồn: frontend/src/shared/components/layout/LanguageToggle.tsx; frontend/src/messages. Need Confirmation: Chốt phạm vi dịch nội dung tĩnh và dữ liệu CMS.</x:v>
      </x:c>
    </x:row>
    <x:row r="133" ht="49" customHeight="1">
      <x:c r="A133" s="3" t="n">
        <x:v>132</x:v>
      </x:c>
      <x:c r="B133" s="3" t="str">
        <x:v>TC_I18N_037</x:v>
      </x:c>
      <x:c r="C133" s="3" t="str">
        <x:v>I18N</x:v>
      </x:c>
      <x:c r="D133" s="3" t="str">
        <x:v>Song ngữ Chi tiết tin</x:v>
      </x:c>
      <x:c r="E133" s="3" t="str">
        <x:v>Song ngữ Chi tiết tin</x:v>
      </x:c>
      <x:c r="F133" s="3" t="str">
        <x:v>Localization — Chi tiết tin: Back sau đổi locale</x:v>
      </x:c>
      <x:c r="G133" s="3" t="str">
        <x:v>Chi tiết tin: Back sau đổi locale</x:v>
      </x:c>
      <x:c r="H133" s="3" t="str">
        <x:v>PUB-001</x:v>
      </x:c>
      <x:c r="I133" s="3" t="str">
        <x:v>Khách truy cập</x:v>
      </x:c>
      <x:c r="J133" s="3" t="str">
        <x:v>Localization</x:v>
      </x:c>
      <x:c r="K133" s="3" t="str">
        <x:v>Medium</x:v>
      </x:c>
      <x:c r="L133" s="3" t="str">
        <x:v>Medium</x:v>
      </x:c>
      <x:c r="M133" s="3" t="str">
        <x:v>QA/UAT public sẵn sàng; không cần đăng nhập; demo=false cho case tích hợp CMS/public. Ghi viewport, OS và browser thực.</x:v>
      </x:c>
      <x:c r="N133" s="3" t="str">
        <x:v>Dữ liệu QA tổng hợp; xem fixture trong README.</x:v>
      </x:c>
      <x:c r="O133" s="3" t="str">
        <x:v>1. Mở /vi/news/qa-news
2. Nhấn EN rồi Back</x:v>
      </x:c>
      <x:c r="P133" s="3" t="str">
        <x:v>Back quay đúng trang VI trước đó; UI và URL locale đồng bộ.</x:v>
      </x:c>
      <x:c r="Q133" s="11" t="str"/>
      <x:c r="R133" s="8" t="str">
        <x:v>NOT RUN</x:v>
      </x:c>
      <x:c r="S133" s="11" t="str">
        <x:v>QA/UAT — cần điền URL/build</x:v>
      </x:c>
      <x:c r="T133" s="11" t="str">
        <x:v>Cần điền phiên bản thực</x:v>
      </x:c>
      <x:c r="U133" s="11" t="str"/>
      <x:c r="V133" s="12" t="str"/>
      <x:c r="W133" s="11" t="str"/>
      <x:c r="X133" s="11" t="str"/>
      <x:c r="Y133" s="3" t="str">
        <x:v>Nguồn: frontend/src/shared/components/layout/LanguageToggle.tsx; frontend/src/messages. </x:v>
      </x:c>
    </x:row>
    <x:row r="134" ht="49" customHeight="1">
      <x:c r="A134" s="3" t="n">
        <x:v>133</x:v>
      </x:c>
      <x:c r="B134" s="3" t="str">
        <x:v>TC_UI_097</x:v>
      </x:c>
      <x:c r="C134" s="3" t="str">
        <x:v>UI</x:v>
      </x:c>
      <x:c r="D134" s="3" t="str">
        <x:v>Responsive Tài nguyên</x:v>
      </x:c>
      <x:c r="E134" s="3" t="str">
        <x:v>Responsive Tài nguyên</x:v>
      </x:c>
      <x:c r="F134" s="3" t="str">
        <x:v>Responsive — Tài nguyên tại 320px</x:v>
      </x:c>
      <x:c r="G134" s="3" t="str">
        <x:v>Tài nguyên tại 320px</x:v>
      </x:c>
      <x:c r="H134" s="3" t="str">
        <x:v>NFR-003</x:v>
      </x:c>
      <x:c r="I134" s="3" t="str">
        <x:v>Khách truy cập</x:v>
      </x:c>
      <x:c r="J134" s="3" t="str">
        <x:v>Responsive</x:v>
      </x:c>
      <x:c r="K134" s="3" t="str">
        <x:v>High</x:v>
      </x:c>
      <x:c r="L134" s="3" t="str">
        <x:v>High</x:v>
      </x:c>
      <x:c r="M134" s="3" t="str">
        <x:v>QA/UAT public sẵn sàng; không cần đăng nhập; demo=false cho case tích hợp CMS/public. Ghi viewport, OS và browser thực.</x:v>
      </x:c>
      <x:c r="N134" s="3" t="str">
        <x:v>Viewport 320×900 CSS px; fixture có tên/tiêu đề dài và tiếng Việt.</x:v>
      </x:c>
      <x:c r="O134" s="3" t="str">
        <x:v>1. Mở /vi/resources; viewport 320×900 CSS px, zoom100%
2. Cuộn hết trang và mở tương tác chính
3. Đo scrollWidth so clientWidth và chụp màn hình</x:v>
      </x:c>
      <x:c r="P134" s="3" t="str">
        <x:v>Không tràn ngang toàn trang; chữ/nút không chồng hoặc bị cắt; nội dung/ảnh không mất; bảng rộng cuộn trong vùng bảng. Menu và CTA chính thao tác được.</x:v>
      </x:c>
      <x:c r="Q134" s="11" t="str"/>
      <x:c r="R134" s="8" t="str">
        <x:v>NOT RUN</x:v>
      </x:c>
      <x:c r="S134" s="11" t="str">
        <x:v>QA/UAT — cần điền URL/build</x:v>
      </x:c>
      <x:c r="T134" s="11" t="str">
        <x:v>Cần điền phiên bản thực</x:v>
      </x:c>
      <x:c r="U134" s="11" t="str"/>
      <x:c r="V134" s="12" t="str"/>
      <x:c r="W134" s="11" t="str"/>
      <x:c r="X134" s="11" t="str"/>
      <x:c r="Y134" s="3" t="str">
        <x:v>Nguồn: frontend/src/app; admin/src/app/styles.css. Đánh giá khả dụng theo yêu cầu người dùng; ngưỡng WCAG chính thức vẫn cần phê duyệt.</x:v>
      </x:c>
    </x:row>
    <x:row r="135" ht="49" customHeight="1">
      <x:c r="A135" s="3" t="n">
        <x:v>134</x:v>
      </x:c>
      <x:c r="B135" s="3" t="str">
        <x:v>TC_UI_098</x:v>
      </x:c>
      <x:c r="C135" s="3" t="str">
        <x:v>UI</x:v>
      </x:c>
      <x:c r="D135" s="3" t="str">
        <x:v>Responsive Tài nguyên</x:v>
      </x:c>
      <x:c r="E135" s="3" t="str">
        <x:v>Responsive Tài nguyên</x:v>
      </x:c>
      <x:c r="F135" s="3" t="str">
        <x:v>Responsive — Tài nguyên tại 375px</x:v>
      </x:c>
      <x:c r="G135" s="3" t="str">
        <x:v>Tài nguyên tại 375px</x:v>
      </x:c>
      <x:c r="H135" s="3" t="str">
        <x:v>NFR-003</x:v>
      </x:c>
      <x:c r="I135" s="3" t="str">
        <x:v>Khách truy cập</x:v>
      </x:c>
      <x:c r="J135" s="3" t="str">
        <x:v>Responsive</x:v>
      </x:c>
      <x:c r="K135" s="3" t="str">
        <x:v>Medium</x:v>
      </x:c>
      <x:c r="L135" s="3" t="str">
        <x:v>Medium</x:v>
      </x:c>
      <x:c r="M135" s="3" t="str">
        <x:v>QA/UAT public sẵn sàng; không cần đăng nhập; demo=false cho case tích hợp CMS/public. Ghi viewport, OS và browser thực.</x:v>
      </x:c>
      <x:c r="N135" s="3" t="str">
        <x:v>Viewport 375×900 CSS px; fixture có tên/tiêu đề dài và tiếng Việt.</x:v>
      </x:c>
      <x:c r="O135" s="3" t="str">
        <x:v>1. Mở /vi/resources; viewport 375×900 CSS px, zoom100%
2. Cuộn hết trang và mở tương tác chính
3. Đo scrollWidth so clientWidth và chụp màn hình</x:v>
      </x:c>
      <x:c r="P135" s="3" t="str">
        <x:v>Không tràn ngang toàn trang; chữ/nút không chồng hoặc bị cắt; nội dung/ảnh không mất; bảng rộng cuộn trong vùng bảng. Menu và CTA chính thao tác được.</x:v>
      </x:c>
      <x:c r="Q135" s="11" t="str"/>
      <x:c r="R135" s="8" t="str">
        <x:v>NOT RUN</x:v>
      </x:c>
      <x:c r="S135" s="11" t="str">
        <x:v>QA/UAT — cần điền URL/build</x:v>
      </x:c>
      <x:c r="T135" s="11" t="str">
        <x:v>Cần điền phiên bản thực</x:v>
      </x:c>
      <x:c r="U135" s="11" t="str"/>
      <x:c r="V135" s="12" t="str"/>
      <x:c r="W135" s="11" t="str"/>
      <x:c r="X135" s="11" t="str"/>
      <x:c r="Y135" s="3" t="str">
        <x:v>Nguồn: frontend/src/app; admin/src/app/styles.css. Đánh giá khả dụng theo yêu cầu người dùng; ngưỡng WCAG chính thức vẫn cần phê duyệt.</x:v>
      </x:c>
    </x:row>
    <x:row r="136" ht="49" customHeight="1">
      <x:c r="A136" s="3" t="n">
        <x:v>135</x:v>
      </x:c>
      <x:c r="B136" s="3" t="str">
        <x:v>TC_UI_099</x:v>
      </x:c>
      <x:c r="C136" s="3" t="str">
        <x:v>UI</x:v>
      </x:c>
      <x:c r="D136" s="3" t="str">
        <x:v>Responsive Tài nguyên</x:v>
      </x:c>
      <x:c r="E136" s="3" t="str">
        <x:v>Responsive Tài nguyên</x:v>
      </x:c>
      <x:c r="F136" s="3" t="str">
        <x:v>Responsive — Tài nguyên tại 390px</x:v>
      </x:c>
      <x:c r="G136" s="3" t="str">
        <x:v>Tài nguyên tại 390px</x:v>
      </x:c>
      <x:c r="H136" s="3" t="str">
        <x:v>NFR-003</x:v>
      </x:c>
      <x:c r="I136" s="3" t="str">
        <x:v>Khách truy cập</x:v>
      </x:c>
      <x:c r="J136" s="3" t="str">
        <x:v>Responsive</x:v>
      </x:c>
      <x:c r="K136" s="3" t="str">
        <x:v>Medium</x:v>
      </x:c>
      <x:c r="L136" s="3" t="str">
        <x:v>Medium</x:v>
      </x:c>
      <x:c r="M136" s="3" t="str">
        <x:v>QA/UAT public sẵn sàng; không cần đăng nhập; demo=false cho case tích hợp CMS/public. Ghi viewport, OS và browser thực.</x:v>
      </x:c>
      <x:c r="N136" s="3" t="str">
        <x:v>Viewport 390×900 CSS px; fixture có tên/tiêu đề dài và tiếng Việt.</x:v>
      </x:c>
      <x:c r="O136" s="3" t="str">
        <x:v>1. Mở /vi/resources; viewport 390×900 CSS px, zoom100%
2. Cuộn hết trang và mở tương tác chính
3. Đo scrollWidth so clientWidth và chụp màn hình</x:v>
      </x:c>
      <x:c r="P136" s="3" t="str">
        <x:v>Không tràn ngang toàn trang; chữ/nút không chồng hoặc bị cắt; nội dung/ảnh không mất; bảng rộng cuộn trong vùng bảng. Menu và CTA chính thao tác được.</x:v>
      </x:c>
      <x:c r="Q136" s="11" t="str"/>
      <x:c r="R136" s="8" t="str">
        <x:v>NOT RUN</x:v>
      </x:c>
      <x:c r="S136" s="11" t="str">
        <x:v>QA/UAT — cần điền URL/build</x:v>
      </x:c>
      <x:c r="T136" s="11" t="str">
        <x:v>Cần điền phiên bản thực</x:v>
      </x:c>
      <x:c r="U136" s="11" t="str"/>
      <x:c r="V136" s="12" t="str"/>
      <x:c r="W136" s="11" t="str"/>
      <x:c r="X136" s="11" t="str"/>
      <x:c r="Y136" s="3" t="str">
        <x:v>Nguồn: frontend/src/app; admin/src/app/styles.css. Đánh giá khả dụng theo yêu cầu người dùng; ngưỡng WCAG chính thức vẫn cần phê duyệt.</x:v>
      </x:c>
    </x:row>
    <x:row r="137" ht="49" customHeight="1">
      <x:c r="A137" s="3" t="n">
        <x:v>136</x:v>
      </x:c>
      <x:c r="B137" s="3" t="str">
        <x:v>TC_UI_100</x:v>
      </x:c>
      <x:c r="C137" s="3" t="str">
        <x:v>UI</x:v>
      </x:c>
      <x:c r="D137" s="3" t="str">
        <x:v>Responsive Tài nguyên</x:v>
      </x:c>
      <x:c r="E137" s="3" t="str">
        <x:v>Responsive Tài nguyên</x:v>
      </x:c>
      <x:c r="F137" s="3" t="str">
        <x:v>Responsive — Tài nguyên tại 768px</x:v>
      </x:c>
      <x:c r="G137" s="3" t="str">
        <x:v>Tài nguyên tại 768px</x:v>
      </x:c>
      <x:c r="H137" s="3" t="str">
        <x:v>NFR-003</x:v>
      </x:c>
      <x:c r="I137" s="3" t="str">
        <x:v>Khách truy cập</x:v>
      </x:c>
      <x:c r="J137" s="3" t="str">
        <x:v>Responsive</x:v>
      </x:c>
      <x:c r="K137" s="3" t="str">
        <x:v>Medium</x:v>
      </x:c>
      <x:c r="L137" s="3" t="str">
        <x:v>Medium</x:v>
      </x:c>
      <x:c r="M137" s="3" t="str">
        <x:v>QA/UAT public sẵn sàng; không cần đăng nhập; demo=false cho case tích hợp CMS/public. Ghi viewport, OS và browser thực.</x:v>
      </x:c>
      <x:c r="N137" s="3" t="str">
        <x:v>Viewport 768×900 CSS px; fixture có tên/tiêu đề dài và tiếng Việt.</x:v>
      </x:c>
      <x:c r="O137" s="3" t="str">
        <x:v>1. Mở /vi/resources; viewport 768×900 CSS px, zoom100%
2. Cuộn hết trang và mở tương tác chính
3. Đo scrollWidth so clientWidth và chụp màn hình</x:v>
      </x:c>
      <x:c r="P137" s="3" t="str">
        <x:v>Không tràn ngang toàn trang; chữ/nút không chồng hoặc bị cắt; nội dung/ảnh không mất; bảng rộng cuộn trong vùng bảng. Menu và CTA chính thao tác được.</x:v>
      </x:c>
      <x:c r="Q137" s="11" t="str"/>
      <x:c r="R137" s="8" t="str">
        <x:v>NOT RUN</x:v>
      </x:c>
      <x:c r="S137" s="11" t="str">
        <x:v>QA/UAT — cần điền URL/build</x:v>
      </x:c>
      <x:c r="T137" s="11" t="str">
        <x:v>Cần điền phiên bản thực</x:v>
      </x:c>
      <x:c r="U137" s="11" t="str"/>
      <x:c r="V137" s="12" t="str"/>
      <x:c r="W137" s="11" t="str"/>
      <x:c r="X137" s="11" t="str"/>
      <x:c r="Y137" s="3" t="str">
        <x:v>Nguồn: frontend/src/app; admin/src/app/styles.css. Đánh giá khả dụng theo yêu cầu người dùng; ngưỡng WCAG chính thức vẫn cần phê duyệt.</x:v>
      </x:c>
    </x:row>
    <x:row r="138" ht="49" customHeight="1">
      <x:c r="A138" s="3" t="n">
        <x:v>137</x:v>
      </x:c>
      <x:c r="B138" s="3" t="str">
        <x:v>TC_UI_101</x:v>
      </x:c>
      <x:c r="C138" s="3" t="str">
        <x:v>UI</x:v>
      </x:c>
      <x:c r="D138" s="3" t="str">
        <x:v>Responsive Tài nguyên</x:v>
      </x:c>
      <x:c r="E138" s="3" t="str">
        <x:v>Responsive Tài nguyên</x:v>
      </x:c>
      <x:c r="F138" s="3" t="str">
        <x:v>Responsive — Tài nguyên tại 1024px</x:v>
      </x:c>
      <x:c r="G138" s="3" t="str">
        <x:v>Tài nguyên tại 1024px</x:v>
      </x:c>
      <x:c r="H138" s="3" t="str">
        <x:v>NFR-003</x:v>
      </x:c>
      <x:c r="I138" s="3" t="str">
        <x:v>Khách truy cập</x:v>
      </x:c>
      <x:c r="J138" s="3" t="str">
        <x:v>Responsive</x:v>
      </x:c>
      <x:c r="K138" s="3" t="str">
        <x:v>Medium</x:v>
      </x:c>
      <x:c r="L138" s="3" t="str">
        <x:v>Medium</x:v>
      </x:c>
      <x:c r="M138" s="3" t="str">
        <x:v>QA/UAT public sẵn sàng; không cần đăng nhập; demo=false cho case tích hợp CMS/public. Ghi viewport, OS và browser thực.</x:v>
      </x:c>
      <x:c r="N138" s="3" t="str">
        <x:v>Viewport 1024×900 CSS px; fixture có tên/tiêu đề dài và tiếng Việt.</x:v>
      </x:c>
      <x:c r="O138" s="3" t="str">
        <x:v>1. Mở /vi/resources; viewport 1024×900 CSS px, zoom100%
2. Cuộn hết trang và mở tương tác chính
3. Đo scrollWidth so clientWidth và chụp màn hình</x:v>
      </x:c>
      <x:c r="P138" s="3" t="str">
        <x:v>Không tràn ngang toàn trang; chữ/nút không chồng hoặc bị cắt; nội dung/ảnh không mất; bảng rộng cuộn trong vùng bảng. Menu và CTA chính thao tác được.</x:v>
      </x:c>
      <x:c r="Q138" s="11" t="str"/>
      <x:c r="R138" s="8" t="str">
        <x:v>NOT RUN</x:v>
      </x:c>
      <x:c r="S138" s="11" t="str">
        <x:v>QA/UAT — cần điền URL/build</x:v>
      </x:c>
      <x:c r="T138" s="11" t="str">
        <x:v>Cần điền phiên bản thực</x:v>
      </x:c>
      <x:c r="U138" s="11" t="str"/>
      <x:c r="V138" s="12" t="str"/>
      <x:c r="W138" s="11" t="str"/>
      <x:c r="X138" s="11" t="str"/>
      <x:c r="Y138" s="3" t="str">
        <x:v>Nguồn: frontend/src/app; admin/src/app/styles.css. Đánh giá khả dụng theo yêu cầu người dùng; ngưỡng WCAG chính thức vẫn cần phê duyệt.</x:v>
      </x:c>
    </x:row>
    <x:row r="139" ht="49" customHeight="1">
      <x:c r="A139" s="3" t="n">
        <x:v>138</x:v>
      </x:c>
      <x:c r="B139" s="3" t="str">
        <x:v>TC_UI_102</x:v>
      </x:c>
      <x:c r="C139" s="3" t="str">
        <x:v>UI</x:v>
      </x:c>
      <x:c r="D139" s="3" t="str">
        <x:v>Responsive Tài nguyên</x:v>
      </x:c>
      <x:c r="E139" s="3" t="str">
        <x:v>Responsive Tài nguyên</x:v>
      </x:c>
      <x:c r="F139" s="3" t="str">
        <x:v>Responsive — Tài nguyên tại 1280px</x:v>
      </x:c>
      <x:c r="G139" s="3" t="str">
        <x:v>Tài nguyên tại 1280px</x:v>
      </x:c>
      <x:c r="H139" s="3" t="str">
        <x:v>NFR-003</x:v>
      </x:c>
      <x:c r="I139" s="3" t="str">
        <x:v>Khách truy cập</x:v>
      </x:c>
      <x:c r="J139" s="3" t="str">
        <x:v>Responsive</x:v>
      </x:c>
      <x:c r="K139" s="3" t="str">
        <x:v>Medium</x:v>
      </x:c>
      <x:c r="L139" s="3" t="str">
        <x:v>Medium</x:v>
      </x:c>
      <x:c r="M139" s="3" t="str">
        <x:v>QA/UAT public sẵn sàng; không cần đăng nhập; demo=false cho case tích hợp CMS/public. Ghi viewport, OS và browser thực.</x:v>
      </x:c>
      <x:c r="N139" s="3" t="str">
        <x:v>Viewport 1280×900 CSS px; fixture có tên/tiêu đề dài và tiếng Việt.</x:v>
      </x:c>
      <x:c r="O139" s="3" t="str">
        <x:v>1. Mở /vi/resources; viewport 1280×900 CSS px, zoom100%
2. Cuộn hết trang và mở tương tác chính
3. Đo scrollWidth so clientWidth và chụp màn hình</x:v>
      </x:c>
      <x:c r="P139" s="3" t="str">
        <x:v>Không tràn ngang toàn trang; chữ/nút không chồng hoặc bị cắt; nội dung/ảnh không mất; bảng rộng cuộn trong vùng bảng. Menu và CTA chính thao tác được.</x:v>
      </x:c>
      <x:c r="Q139" s="11" t="str"/>
      <x:c r="R139" s="8" t="str">
        <x:v>NOT RUN</x:v>
      </x:c>
      <x:c r="S139" s="11" t="str">
        <x:v>QA/UAT — cần điền URL/build</x:v>
      </x:c>
      <x:c r="T139" s="11" t="str">
        <x:v>Cần điền phiên bản thực</x:v>
      </x:c>
      <x:c r="U139" s="11" t="str"/>
      <x:c r="V139" s="12" t="str"/>
      <x:c r="W139" s="11" t="str"/>
      <x:c r="X139" s="11" t="str"/>
      <x:c r="Y139" s="3" t="str">
        <x:v>Nguồn: frontend/src/app; admin/src/app/styles.css. Đánh giá khả dụng theo yêu cầu người dùng; ngưỡng WCAG chính thức vẫn cần phê duyệt.</x:v>
      </x:c>
    </x:row>
    <x:row r="140" ht="49" customHeight="1">
      <x:c r="A140" s="3" t="n">
        <x:v>139</x:v>
      </x:c>
      <x:c r="B140" s="3" t="str">
        <x:v>TC_UI_103</x:v>
      </x:c>
      <x:c r="C140" s="3" t="str">
        <x:v>UI</x:v>
      </x:c>
      <x:c r="D140" s="3" t="str">
        <x:v>Responsive Tài nguyên</x:v>
      </x:c>
      <x:c r="E140" s="3" t="str">
        <x:v>Responsive Tài nguyên</x:v>
      </x:c>
      <x:c r="F140" s="3" t="str">
        <x:v>Responsive — Tài nguyên tại 1440px</x:v>
      </x:c>
      <x:c r="G140" s="3" t="str">
        <x:v>Tài nguyên tại 1440px</x:v>
      </x:c>
      <x:c r="H140" s="3" t="str">
        <x:v>NFR-003</x:v>
      </x:c>
      <x:c r="I140" s="3" t="str">
        <x:v>Khách truy cập</x:v>
      </x:c>
      <x:c r="J140" s="3" t="str">
        <x:v>Responsive</x:v>
      </x:c>
      <x:c r="K140" s="3" t="str">
        <x:v>Medium</x:v>
      </x:c>
      <x:c r="L140" s="3" t="str">
        <x:v>Medium</x:v>
      </x:c>
      <x:c r="M140" s="3" t="str">
        <x:v>QA/UAT public sẵn sàng; không cần đăng nhập; demo=false cho case tích hợp CMS/public. Ghi viewport, OS và browser thực.</x:v>
      </x:c>
      <x:c r="N140" s="3" t="str">
        <x:v>Viewport 1440×900 CSS px; fixture có tên/tiêu đề dài và tiếng Việt.</x:v>
      </x:c>
      <x:c r="O140" s="3" t="str">
        <x:v>1. Mở /vi/resources; viewport 1440×900 CSS px, zoom100%
2. Cuộn hết trang và mở tương tác chính
3. Đo scrollWidth so clientWidth và chụp màn hình</x:v>
      </x:c>
      <x:c r="P140" s="3" t="str">
        <x:v>Không tràn ngang toàn trang; chữ/nút không chồng hoặc bị cắt; nội dung/ảnh không mất; bảng rộng cuộn trong vùng bảng. Menu và CTA chính thao tác được.</x:v>
      </x:c>
      <x:c r="Q140" s="11" t="str"/>
      <x:c r="R140" s="8" t="str">
        <x:v>NOT RUN</x:v>
      </x:c>
      <x:c r="S140" s="11" t="str">
        <x:v>QA/UAT — cần điền URL/build</x:v>
      </x:c>
      <x:c r="T140" s="11" t="str">
        <x:v>Cần điền phiên bản thực</x:v>
      </x:c>
      <x:c r="U140" s="11" t="str"/>
      <x:c r="V140" s="12" t="str"/>
      <x:c r="W140" s="11" t="str"/>
      <x:c r="X140" s="11" t="str"/>
      <x:c r="Y140" s="3" t="str">
        <x:v>Nguồn: frontend/src/app; admin/src/app/styles.css. Đánh giá khả dụng theo yêu cầu người dùng; ngưỡng WCAG chính thức vẫn cần phê duyệt.</x:v>
      </x:c>
    </x:row>
    <x:row r="141" ht="49" customHeight="1">
      <x:c r="A141" s="3" t="n">
        <x:v>140</x:v>
      </x:c>
      <x:c r="B141" s="3" t="str">
        <x:v>TC_UI_104</x:v>
      </x:c>
      <x:c r="C141" s="3" t="str">
        <x:v>UI</x:v>
      </x:c>
      <x:c r="D141" s="3" t="str">
        <x:v>Responsive Tài nguyên</x:v>
      </x:c>
      <x:c r="E141" s="3" t="str">
        <x:v>Responsive Tài nguyên</x:v>
      </x:c>
      <x:c r="F141" s="3" t="str">
        <x:v>Responsive — Tài nguyên tại 1920px</x:v>
      </x:c>
      <x:c r="G141" s="3" t="str">
        <x:v>Tài nguyên tại 1920px</x:v>
      </x:c>
      <x:c r="H141" s="3" t="str">
        <x:v>NFR-003</x:v>
      </x:c>
      <x:c r="I141" s="3" t="str">
        <x:v>Khách truy cập</x:v>
      </x:c>
      <x:c r="J141" s="3" t="str">
        <x:v>Responsive</x:v>
      </x:c>
      <x:c r="K141" s="3" t="str">
        <x:v>Medium</x:v>
      </x:c>
      <x:c r="L141" s="3" t="str">
        <x:v>Medium</x:v>
      </x:c>
      <x:c r="M141" s="3" t="str">
        <x:v>QA/UAT public sẵn sàng; không cần đăng nhập; demo=false cho case tích hợp CMS/public. Ghi viewport, OS và browser thực.</x:v>
      </x:c>
      <x:c r="N141" s="3" t="str">
        <x:v>Viewport 1920×900 CSS px; fixture có tên/tiêu đề dài và tiếng Việt.</x:v>
      </x:c>
      <x:c r="O141" s="3" t="str">
        <x:v>1. Mở /vi/resources; viewport 1920×900 CSS px, zoom100%
2. Cuộn hết trang và mở tương tác chính
3. Đo scrollWidth so clientWidth và chụp màn hình</x:v>
      </x:c>
      <x:c r="P141" s="3" t="str">
        <x:v>Không tràn ngang toàn trang; chữ/nút không chồng hoặc bị cắt; nội dung/ảnh không mất; bảng rộng cuộn trong vùng bảng. Menu và CTA chính thao tác được.</x:v>
      </x:c>
      <x:c r="Q141" s="11" t="str"/>
      <x:c r="R141" s="8" t="str">
        <x:v>NOT RUN</x:v>
      </x:c>
      <x:c r="S141" s="11" t="str">
        <x:v>QA/UAT — cần điền URL/build</x:v>
      </x:c>
      <x:c r="T141" s="11" t="str">
        <x:v>Cần điền phiên bản thực</x:v>
      </x:c>
      <x:c r="U141" s="11" t="str"/>
      <x:c r="V141" s="12" t="str"/>
      <x:c r="W141" s="11" t="str"/>
      <x:c r="X141" s="11" t="str"/>
      <x:c r="Y141" s="3" t="str">
        <x:v>Nguồn: frontend/src/app; admin/src/app/styles.css. Đánh giá khả dụng theo yêu cầu người dùng; ngưỡng WCAG chính thức vẫn cần phê duyệt.</x:v>
      </x:c>
    </x:row>
    <x:row r="142" ht="49" customHeight="1">
      <x:c r="A142" s="3" t="n">
        <x:v>141</x:v>
      </x:c>
      <x:c r="B142" s="3" t="str">
        <x:v>TC_I18N_038</x:v>
      </x:c>
      <x:c r="C142" s="3" t="str">
        <x:v>I18N</x:v>
      </x:c>
      <x:c r="D142" s="3" t="str">
        <x:v>Song ngữ Tài nguyên</x:v>
      </x:c>
      <x:c r="E142" s="3" t="str">
        <x:v>Song ngữ Tài nguyên</x:v>
      </x:c>
      <x:c r="F142" s="3" t="str">
        <x:v>Localization — Tài nguyên: Đổi VI sang EN</x:v>
      </x:c>
      <x:c r="G142" s="3" t="str">
        <x:v>Tài nguyên: Đổi VI sang EN</x:v>
      </x:c>
      <x:c r="H142" s="3" t="str">
        <x:v>PUB-001</x:v>
      </x:c>
      <x:c r="I142" s="3" t="str">
        <x:v>Khách truy cập</x:v>
      </x:c>
      <x:c r="J142" s="3" t="str">
        <x:v>Localization</x:v>
      </x:c>
      <x:c r="K142" s="3" t="str">
        <x:v>Medium</x:v>
      </x:c>
      <x:c r="L142" s="3" t="str">
        <x:v>Medium</x:v>
      </x:c>
      <x:c r="M142" s="3" t="str">
        <x:v>QA/UAT public sẵn sàng; không cần đăng nhập; demo=false cho case tích hợp CMS/public. Ghi viewport, OS và browser thực.</x:v>
      </x:c>
      <x:c r="N142" s="3" t="str">
        <x:v>Dữ liệu QA tổng hợp; xem fixture trong README.</x:v>
      </x:c>
      <x:c r="O142" s="3" t="str">
        <x:v>1. Mở /vi/resources
2. Nhấn EN
3. Refresh</x:v>
      </x:c>
      <x:c r="P142" s="3" t="str">
        <x:v>Prefix chuyển /en, giữ route tương ứng; active EN và html lang=en; refresh không trở về VI.</x:v>
      </x:c>
      <x:c r="Q142" s="11" t="str"/>
      <x:c r="R142" s="8" t="str">
        <x:v>NOT RUN</x:v>
      </x:c>
      <x:c r="S142" s="11" t="str">
        <x:v>QA/UAT — cần điền URL/build</x:v>
      </x:c>
      <x:c r="T142" s="11" t="str">
        <x:v>Cần điền phiên bản thực</x:v>
      </x:c>
      <x:c r="U142" s="11" t="str"/>
      <x:c r="V142" s="12" t="str"/>
      <x:c r="W142" s="11" t="str"/>
      <x:c r="X142" s="11" t="str"/>
      <x:c r="Y142" s="3" t="str">
        <x:v>Nguồn: frontend/src/shared/components/layout/LanguageToggle.tsx; frontend/src/messages. </x:v>
      </x:c>
    </x:row>
    <x:row r="143" ht="49" customHeight="1">
      <x:c r="A143" s="3" t="n">
        <x:v>142</x:v>
      </x:c>
      <x:c r="B143" s="3" t="str">
        <x:v>TC_I18N_039</x:v>
      </x:c>
      <x:c r="C143" s="3" t="str">
        <x:v>I18N</x:v>
      </x:c>
      <x:c r="D143" s="3" t="str">
        <x:v>Song ngữ Tài nguyên</x:v>
      </x:c>
      <x:c r="E143" s="3" t="str">
        <x:v>Song ngữ Tài nguyên</x:v>
      </x:c>
      <x:c r="F143" s="3" t="str">
        <x:v>Localization — Tài nguyên: Bản dịch toàn trang</x:v>
      </x:c>
      <x:c r="G143" s="3" t="str">
        <x:v>Tài nguyên: Bản dịch toàn trang</x:v>
      </x:c>
      <x:c r="H143" s="3" t="str">
        <x:v>PUB-001</x:v>
      </x:c>
      <x:c r="I143" s="3" t="str">
        <x:v>Khách truy cập</x:v>
      </x:c>
      <x:c r="J143" s="3" t="str">
        <x:v>Localization</x:v>
      </x:c>
      <x:c r="K143" s="3" t="str">
        <x:v>Medium</x:v>
      </x:c>
      <x:c r="L143" s="3" t="str">
        <x:v>Medium</x:v>
      </x:c>
      <x:c r="M143" s="3" t="str">
        <x:v>QA/UAT public sẵn sàng; không cần đăng nhập; demo=false cho case tích hợp CMS/public. Ghi viewport, OS và browser thực.</x:v>
      </x:c>
      <x:c r="N143" s="3" t="str">
        <x:v>Dữ liệu QA tổng hợp; xem fixture trong README.</x:v>
      </x:c>
      <x:c r="O143" s="3" t="str">
        <x:v>1. Mở /en/resources
2. Cuộn nội dung, mở menu, submit lỗi form nếu có</x:v>
      </x:c>
      <x:c r="P143" s="3" t="str">
        <x:v>Không lộ khóa dịch hoặc lẫn tiếng Việt trong nội dung thuộc phạm vi dịch; ngày/số/validation đúng locale.</x:v>
      </x:c>
      <x:c r="Q143" s="11" t="str"/>
      <x:c r="R143" s="9" t="str">
        <x:v>NEED CONFIRMATION</x:v>
      </x:c>
      <x:c r="S143" s="11" t="str">
        <x:v>QA/UAT — cần điền URL/build</x:v>
      </x:c>
      <x:c r="T143" s="11" t="str">
        <x:v>Cần điền phiên bản thực</x:v>
      </x:c>
      <x:c r="U143" s="11" t="str"/>
      <x:c r="V143" s="12" t="str"/>
      <x:c r="W143" s="11" t="str"/>
      <x:c r="X143" s="11" t="str"/>
      <x:c r="Y143" s="3" t="str">
        <x:v>Nguồn: frontend/src/shared/components/layout/LanguageToggle.tsx; frontend/src/messages. Need Confirmation: Chốt phạm vi dịch nội dung tĩnh và dữ liệu CMS.</x:v>
      </x:c>
    </x:row>
    <x:row r="144" ht="49" customHeight="1">
      <x:c r="A144" s="3" t="n">
        <x:v>143</x:v>
      </x:c>
      <x:c r="B144" s="3" t="str">
        <x:v>TC_I18N_040</x:v>
      </x:c>
      <x:c r="C144" s="3" t="str">
        <x:v>I18N</x:v>
      </x:c>
      <x:c r="D144" s="3" t="str">
        <x:v>Song ngữ Tài nguyên</x:v>
      </x:c>
      <x:c r="E144" s="3" t="str">
        <x:v>Song ngữ Tài nguyên</x:v>
      </x:c>
      <x:c r="F144" s="3" t="str">
        <x:v>Localization — Tài nguyên: Back sau đổi locale</x:v>
      </x:c>
      <x:c r="G144" s="3" t="str">
        <x:v>Tài nguyên: Back sau đổi locale</x:v>
      </x:c>
      <x:c r="H144" s="3" t="str">
        <x:v>PUB-001</x:v>
      </x:c>
      <x:c r="I144" s="3" t="str">
        <x:v>Khách truy cập</x:v>
      </x:c>
      <x:c r="J144" s="3" t="str">
        <x:v>Localization</x:v>
      </x:c>
      <x:c r="K144" s="3" t="str">
        <x:v>Medium</x:v>
      </x:c>
      <x:c r="L144" s="3" t="str">
        <x:v>Medium</x:v>
      </x:c>
      <x:c r="M144" s="3" t="str">
        <x:v>QA/UAT public sẵn sàng; không cần đăng nhập; demo=false cho case tích hợp CMS/public. Ghi viewport, OS và browser thực.</x:v>
      </x:c>
      <x:c r="N144" s="3" t="str">
        <x:v>Dữ liệu QA tổng hợp; xem fixture trong README.</x:v>
      </x:c>
      <x:c r="O144" s="3" t="str">
        <x:v>1. Mở /vi/resources
2. Nhấn EN rồi Back</x:v>
      </x:c>
      <x:c r="P144" s="3" t="str">
        <x:v>Back quay đúng trang VI trước đó; UI và URL locale đồng bộ.</x:v>
      </x:c>
      <x:c r="Q144" s="11" t="str"/>
      <x:c r="R144" s="8" t="str">
        <x:v>NOT RUN</x:v>
      </x:c>
      <x:c r="S144" s="11" t="str">
        <x:v>QA/UAT — cần điền URL/build</x:v>
      </x:c>
      <x:c r="T144" s="11" t="str">
        <x:v>Cần điền phiên bản thực</x:v>
      </x:c>
      <x:c r="U144" s="11" t="str"/>
      <x:c r="V144" s="12" t="str"/>
      <x:c r="W144" s="11" t="str"/>
      <x:c r="X144" s="11" t="str"/>
      <x:c r="Y144" s="3" t="str">
        <x:v>Nguồn: frontend/src/shared/components/layout/LanguageToggle.tsx; frontend/src/messages. </x:v>
      </x:c>
    </x:row>
    <x:row r="145" ht="49" customHeight="1">
      <x:c r="A145" s="3" t="n">
        <x:v>144</x:v>
      </x:c>
      <x:c r="B145" s="3" t="str">
        <x:v>TC_UI_105</x:v>
      </x:c>
      <x:c r="C145" s="3" t="str">
        <x:v>UI</x:v>
      </x:c>
      <x:c r="D145" s="3" t="str">
        <x:v>Responsive Đăng nhập</x:v>
      </x:c>
      <x:c r="E145" s="3" t="str">
        <x:v>Responsive Đăng nhập</x:v>
      </x:c>
      <x:c r="F145" s="3" t="str">
        <x:v>Responsive — Đăng nhập tại 320px</x:v>
      </x:c>
      <x:c r="G145" s="3" t="str">
        <x:v>Đăng nhập tại 320px</x:v>
      </x:c>
      <x:c r="H145" s="3" t="str">
        <x:v>NFR-003</x:v>
      </x:c>
      <x:c r="I145" s="3" t="str">
        <x:v>QTV có quyền tương ứng</x:v>
      </x:c>
      <x:c r="J145" s="3" t="str">
        <x:v>Responsive</x:v>
      </x:c>
      <x:c r="K145" s="3" t="str">
        <x:v>High</x:v>
      </x:c>
      <x:c r="L145" s="3" t="str">
        <x:v>High</x:v>
      </x:c>
      <x:c r="M145" s="3" t="str">
        <x:v>Môi trường QA cô lập, DB/MinIO sẵn sàng; dữ liệu fixture đã tạo. Đăng nhập tài khoản ACTIVE, mustChangePassword=false.</x:v>
      </x:c>
      <x:c r="N145" s="3" t="str">
        <x:v>Viewport 320×900 CSS px; fixture có tên/tiêu đề dài và tiếng Việt.</x:v>
      </x:c>
      <x:c r="O145" s="3" t="str">
        <x:v>1. Mở /admin/login; viewport 320×900 CSS px, zoom100%
2. Cuộn hết trang và mở tương tác chính
3. Đo scrollWidth so clientWidth và chụp màn hình</x:v>
      </x:c>
      <x:c r="P145" s="3" t="str">
        <x:v>Không tràn ngang toàn trang; chữ/nút không chồng hoặc bị cắt; nội dung/ảnh không mất; bảng rộng cuộn trong vùng bảng. Menu và CTA chính thao tác được.</x:v>
      </x:c>
      <x:c r="Q145" s="11" t="str"/>
      <x:c r="R145" s="8" t="str">
        <x:v>NOT RUN</x:v>
      </x:c>
      <x:c r="S145" s="11" t="str">
        <x:v>QA/UAT — cần điền URL/build</x:v>
      </x:c>
      <x:c r="T145" s="11" t="str">
        <x:v>Cần điền phiên bản thực</x:v>
      </x:c>
      <x:c r="U145" s="11" t="str"/>
      <x:c r="V145" s="12" t="str"/>
      <x:c r="W145" s="11" t="str"/>
      <x:c r="X145" s="11" t="str"/>
      <x:c r="Y145" s="3" t="str">
        <x:v>Nguồn: frontend/src/app; admin/src/app/styles.css. Đánh giá khả dụng theo yêu cầu người dùng; ngưỡng WCAG chính thức vẫn cần phê duyệt.</x:v>
      </x:c>
    </x:row>
    <x:row r="146" ht="49" customHeight="1">
      <x:c r="A146" s="3" t="n">
        <x:v>145</x:v>
      </x:c>
      <x:c r="B146" s="3" t="str">
        <x:v>TC_UI_106</x:v>
      </x:c>
      <x:c r="C146" s="3" t="str">
        <x:v>UI</x:v>
      </x:c>
      <x:c r="D146" s="3" t="str">
        <x:v>Responsive Đăng nhập</x:v>
      </x:c>
      <x:c r="E146" s="3" t="str">
        <x:v>Responsive Đăng nhập</x:v>
      </x:c>
      <x:c r="F146" s="3" t="str">
        <x:v>Responsive — Đăng nhập tại 375px</x:v>
      </x:c>
      <x:c r="G146" s="3" t="str">
        <x:v>Đăng nhập tại 375px</x:v>
      </x:c>
      <x:c r="H146" s="3" t="str">
        <x:v>NFR-003</x:v>
      </x:c>
      <x:c r="I146" s="3" t="str">
        <x:v>QTV có quyền tương ứng</x:v>
      </x:c>
      <x:c r="J146" s="3" t="str">
        <x:v>Responsive</x:v>
      </x:c>
      <x:c r="K146" s="3" t="str">
        <x:v>Medium</x:v>
      </x:c>
      <x:c r="L146" s="3" t="str">
        <x:v>Medium</x:v>
      </x:c>
      <x:c r="M146" s="3" t="str">
        <x:v>Môi trường QA cô lập, DB/MinIO sẵn sàng; dữ liệu fixture đã tạo. Đăng nhập tài khoản ACTIVE, mustChangePassword=false.</x:v>
      </x:c>
      <x:c r="N146" s="3" t="str">
        <x:v>Viewport 375×900 CSS px; fixture có tên/tiêu đề dài và tiếng Việt.</x:v>
      </x:c>
      <x:c r="O146" s="3" t="str">
        <x:v>1. Mở /admin/login; viewport 375×900 CSS px, zoom100%
2. Cuộn hết trang và mở tương tác chính
3. Đo scrollWidth so clientWidth và chụp màn hình</x:v>
      </x:c>
      <x:c r="P146" s="3" t="str">
        <x:v>Không tràn ngang toàn trang; chữ/nút không chồng hoặc bị cắt; nội dung/ảnh không mất; bảng rộng cuộn trong vùng bảng. Menu và CTA chính thao tác được.</x:v>
      </x:c>
      <x:c r="Q146" s="11" t="str"/>
      <x:c r="R146" s="8" t="str">
        <x:v>NOT RUN</x:v>
      </x:c>
      <x:c r="S146" s="11" t="str">
        <x:v>QA/UAT — cần điền URL/build</x:v>
      </x:c>
      <x:c r="T146" s="11" t="str">
        <x:v>Cần điền phiên bản thực</x:v>
      </x:c>
      <x:c r="U146" s="11" t="str"/>
      <x:c r="V146" s="12" t="str"/>
      <x:c r="W146" s="11" t="str"/>
      <x:c r="X146" s="11" t="str"/>
      <x:c r="Y146" s="3" t="str">
        <x:v>Nguồn: frontend/src/app; admin/src/app/styles.css. Đánh giá khả dụng theo yêu cầu người dùng; ngưỡng WCAG chính thức vẫn cần phê duyệt.</x:v>
      </x:c>
    </x:row>
    <x:row r="147" ht="49" customHeight="1">
      <x:c r="A147" s="3" t="n">
        <x:v>146</x:v>
      </x:c>
      <x:c r="B147" s="3" t="str">
        <x:v>TC_UI_107</x:v>
      </x:c>
      <x:c r="C147" s="3" t="str">
        <x:v>UI</x:v>
      </x:c>
      <x:c r="D147" s="3" t="str">
        <x:v>Responsive Đăng nhập</x:v>
      </x:c>
      <x:c r="E147" s="3" t="str">
        <x:v>Responsive Đăng nhập</x:v>
      </x:c>
      <x:c r="F147" s="3" t="str">
        <x:v>Responsive — Đăng nhập tại 390px</x:v>
      </x:c>
      <x:c r="G147" s="3" t="str">
        <x:v>Đăng nhập tại 390px</x:v>
      </x:c>
      <x:c r="H147" s="3" t="str">
        <x:v>NFR-003</x:v>
      </x:c>
      <x:c r="I147" s="3" t="str">
        <x:v>QTV có quyền tương ứng</x:v>
      </x:c>
      <x:c r="J147" s="3" t="str">
        <x:v>Responsive</x:v>
      </x:c>
      <x:c r="K147" s="3" t="str">
        <x:v>Medium</x:v>
      </x:c>
      <x:c r="L147" s="3" t="str">
        <x:v>Medium</x:v>
      </x:c>
      <x:c r="M147" s="3" t="str">
        <x:v>Môi trường QA cô lập, DB/MinIO sẵn sàng; dữ liệu fixture đã tạo. Đăng nhập tài khoản ACTIVE, mustChangePassword=false.</x:v>
      </x:c>
      <x:c r="N147" s="3" t="str">
        <x:v>Viewport 390×900 CSS px; fixture có tên/tiêu đề dài và tiếng Việt.</x:v>
      </x:c>
      <x:c r="O147" s="3" t="str">
        <x:v>1. Mở /admin/login; viewport 390×900 CSS px, zoom100%
2. Cuộn hết trang và mở tương tác chính
3. Đo scrollWidth so clientWidth và chụp màn hình</x:v>
      </x:c>
      <x:c r="P147" s="3" t="str">
        <x:v>Không tràn ngang toàn trang; chữ/nút không chồng hoặc bị cắt; nội dung/ảnh không mất; bảng rộng cuộn trong vùng bảng. Menu và CTA chính thao tác được.</x:v>
      </x:c>
      <x:c r="Q147" s="11" t="str"/>
      <x:c r="R147" s="8" t="str">
        <x:v>NOT RUN</x:v>
      </x:c>
      <x:c r="S147" s="11" t="str">
        <x:v>QA/UAT — cần điền URL/build</x:v>
      </x:c>
      <x:c r="T147" s="11" t="str">
        <x:v>Cần điền phiên bản thực</x:v>
      </x:c>
      <x:c r="U147" s="11" t="str"/>
      <x:c r="V147" s="12" t="str"/>
      <x:c r="W147" s="11" t="str"/>
      <x:c r="X147" s="11" t="str"/>
      <x:c r="Y147" s="3" t="str">
        <x:v>Nguồn: frontend/src/app; admin/src/app/styles.css. Đánh giá khả dụng theo yêu cầu người dùng; ngưỡng WCAG chính thức vẫn cần phê duyệt.</x:v>
      </x:c>
    </x:row>
    <x:row r="148" ht="49" customHeight="1">
      <x:c r="A148" s="3" t="n">
        <x:v>147</x:v>
      </x:c>
      <x:c r="B148" s="3" t="str">
        <x:v>TC_UI_108</x:v>
      </x:c>
      <x:c r="C148" s="3" t="str">
        <x:v>UI</x:v>
      </x:c>
      <x:c r="D148" s="3" t="str">
        <x:v>Responsive Đăng nhập</x:v>
      </x:c>
      <x:c r="E148" s="3" t="str">
        <x:v>Responsive Đăng nhập</x:v>
      </x:c>
      <x:c r="F148" s="3" t="str">
        <x:v>Responsive — Đăng nhập tại 768px</x:v>
      </x:c>
      <x:c r="G148" s="3" t="str">
        <x:v>Đăng nhập tại 768px</x:v>
      </x:c>
      <x:c r="H148" s="3" t="str">
        <x:v>NFR-003</x:v>
      </x:c>
      <x:c r="I148" s="3" t="str">
        <x:v>QTV có quyền tương ứng</x:v>
      </x:c>
      <x:c r="J148" s="3" t="str">
        <x:v>Responsive</x:v>
      </x:c>
      <x:c r="K148" s="3" t="str">
        <x:v>Medium</x:v>
      </x:c>
      <x:c r="L148" s="3" t="str">
        <x:v>Medium</x:v>
      </x:c>
      <x:c r="M148" s="3" t="str">
        <x:v>Môi trường QA cô lập, DB/MinIO sẵn sàng; dữ liệu fixture đã tạo. Đăng nhập tài khoản ACTIVE, mustChangePassword=false.</x:v>
      </x:c>
      <x:c r="N148" s="3" t="str">
        <x:v>Viewport 768×900 CSS px; fixture có tên/tiêu đề dài và tiếng Việt.</x:v>
      </x:c>
      <x:c r="O148" s="3" t="str">
        <x:v>1. Mở /admin/login; viewport 768×900 CSS px, zoom100%
2. Cuộn hết trang và mở tương tác chính
3. Đo scrollWidth so clientWidth và chụp màn hình</x:v>
      </x:c>
      <x:c r="P148" s="3" t="str">
        <x:v>Không tràn ngang toàn trang; chữ/nút không chồng hoặc bị cắt; nội dung/ảnh không mất; bảng rộng cuộn trong vùng bảng. Menu và CTA chính thao tác được.</x:v>
      </x:c>
      <x:c r="Q148" s="11" t="str"/>
      <x:c r="R148" s="8" t="str">
        <x:v>NOT RUN</x:v>
      </x:c>
      <x:c r="S148" s="11" t="str">
        <x:v>QA/UAT — cần điền URL/build</x:v>
      </x:c>
      <x:c r="T148" s="11" t="str">
        <x:v>Cần điền phiên bản thực</x:v>
      </x:c>
      <x:c r="U148" s="11" t="str"/>
      <x:c r="V148" s="12" t="str"/>
      <x:c r="W148" s="11" t="str"/>
      <x:c r="X148" s="11" t="str"/>
      <x:c r="Y148" s="3" t="str">
        <x:v>Nguồn: frontend/src/app; admin/src/app/styles.css. Đánh giá khả dụng theo yêu cầu người dùng; ngưỡng WCAG chính thức vẫn cần phê duyệt.</x:v>
      </x:c>
    </x:row>
    <x:row r="149" ht="49" customHeight="1">
      <x:c r="A149" s="3" t="n">
        <x:v>148</x:v>
      </x:c>
      <x:c r="B149" s="3" t="str">
        <x:v>TC_UI_109</x:v>
      </x:c>
      <x:c r="C149" s="3" t="str">
        <x:v>UI</x:v>
      </x:c>
      <x:c r="D149" s="3" t="str">
        <x:v>Responsive Đăng nhập</x:v>
      </x:c>
      <x:c r="E149" s="3" t="str">
        <x:v>Responsive Đăng nhập</x:v>
      </x:c>
      <x:c r="F149" s="3" t="str">
        <x:v>Responsive — Đăng nhập tại 1024px</x:v>
      </x:c>
      <x:c r="G149" s="3" t="str">
        <x:v>Đăng nhập tại 1024px</x:v>
      </x:c>
      <x:c r="H149" s="3" t="str">
        <x:v>NFR-003</x:v>
      </x:c>
      <x:c r="I149" s="3" t="str">
        <x:v>QTV có quyền tương ứng</x:v>
      </x:c>
      <x:c r="J149" s="3" t="str">
        <x:v>Responsive</x:v>
      </x:c>
      <x:c r="K149" s="3" t="str">
        <x:v>Medium</x:v>
      </x:c>
      <x:c r="L149" s="3" t="str">
        <x:v>Medium</x:v>
      </x:c>
      <x:c r="M149" s="3" t="str">
        <x:v>Môi trường QA cô lập, DB/MinIO sẵn sàng; dữ liệu fixture đã tạo. Đăng nhập tài khoản ACTIVE, mustChangePassword=false.</x:v>
      </x:c>
      <x:c r="N149" s="3" t="str">
        <x:v>Viewport 1024×900 CSS px; fixture có tên/tiêu đề dài và tiếng Việt.</x:v>
      </x:c>
      <x:c r="O149" s="3" t="str">
        <x:v>1. Mở /admin/login; viewport 1024×900 CSS px, zoom100%
2. Cuộn hết trang và mở tương tác chính
3. Đo scrollWidth so clientWidth và chụp màn hình</x:v>
      </x:c>
      <x:c r="P149" s="3" t="str">
        <x:v>Không tràn ngang toàn trang; chữ/nút không chồng hoặc bị cắt; nội dung/ảnh không mất; bảng rộng cuộn trong vùng bảng. Menu và CTA chính thao tác được.</x:v>
      </x:c>
      <x:c r="Q149" s="11" t="str"/>
      <x:c r="R149" s="8" t="str">
        <x:v>NOT RUN</x:v>
      </x:c>
      <x:c r="S149" s="11" t="str">
        <x:v>QA/UAT — cần điền URL/build</x:v>
      </x:c>
      <x:c r="T149" s="11" t="str">
        <x:v>Cần điền phiên bản thực</x:v>
      </x:c>
      <x:c r="U149" s="11" t="str"/>
      <x:c r="V149" s="12" t="str"/>
      <x:c r="W149" s="11" t="str"/>
      <x:c r="X149" s="11" t="str"/>
      <x:c r="Y149" s="3" t="str">
        <x:v>Nguồn: frontend/src/app; admin/src/app/styles.css. Đánh giá khả dụng theo yêu cầu người dùng; ngưỡng WCAG chính thức vẫn cần phê duyệt.</x:v>
      </x:c>
    </x:row>
    <x:row r="150" ht="49" customHeight="1">
      <x:c r="A150" s="3" t="n">
        <x:v>149</x:v>
      </x:c>
      <x:c r="B150" s="3" t="str">
        <x:v>TC_UI_110</x:v>
      </x:c>
      <x:c r="C150" s="3" t="str">
        <x:v>UI</x:v>
      </x:c>
      <x:c r="D150" s="3" t="str">
        <x:v>Responsive Đăng nhập</x:v>
      </x:c>
      <x:c r="E150" s="3" t="str">
        <x:v>Responsive Đăng nhập</x:v>
      </x:c>
      <x:c r="F150" s="3" t="str">
        <x:v>Responsive — Đăng nhập tại 1280px</x:v>
      </x:c>
      <x:c r="G150" s="3" t="str">
        <x:v>Đăng nhập tại 1280px</x:v>
      </x:c>
      <x:c r="H150" s="3" t="str">
        <x:v>NFR-003</x:v>
      </x:c>
      <x:c r="I150" s="3" t="str">
        <x:v>QTV có quyền tương ứng</x:v>
      </x:c>
      <x:c r="J150" s="3" t="str">
        <x:v>Responsive</x:v>
      </x:c>
      <x:c r="K150" s="3" t="str">
        <x:v>Medium</x:v>
      </x:c>
      <x:c r="L150" s="3" t="str">
        <x:v>Medium</x:v>
      </x:c>
      <x:c r="M150" s="3" t="str">
        <x:v>Môi trường QA cô lập, DB/MinIO sẵn sàng; dữ liệu fixture đã tạo. Đăng nhập tài khoản ACTIVE, mustChangePassword=false.</x:v>
      </x:c>
      <x:c r="N150" s="3" t="str">
        <x:v>Viewport 1280×900 CSS px; fixture có tên/tiêu đề dài và tiếng Việt.</x:v>
      </x:c>
      <x:c r="O150" s="3" t="str">
        <x:v>1. Mở /admin/login; viewport 1280×900 CSS px, zoom100%
2. Cuộn hết trang và mở tương tác chính
3. Đo scrollWidth so clientWidth và chụp màn hình</x:v>
      </x:c>
      <x:c r="P150" s="3" t="str">
        <x:v>Không tràn ngang toàn trang; chữ/nút không chồng hoặc bị cắt; nội dung/ảnh không mất; bảng rộng cuộn trong vùng bảng. Menu và CTA chính thao tác được.</x:v>
      </x:c>
      <x:c r="Q150" s="11" t="str"/>
      <x:c r="R150" s="8" t="str">
        <x:v>NOT RUN</x:v>
      </x:c>
      <x:c r="S150" s="11" t="str">
        <x:v>QA/UAT — cần điền URL/build</x:v>
      </x:c>
      <x:c r="T150" s="11" t="str">
        <x:v>Cần điền phiên bản thực</x:v>
      </x:c>
      <x:c r="U150" s="11" t="str"/>
      <x:c r="V150" s="12" t="str"/>
      <x:c r="W150" s="11" t="str"/>
      <x:c r="X150" s="11" t="str"/>
      <x:c r="Y150" s="3" t="str">
        <x:v>Nguồn: frontend/src/app; admin/src/app/styles.css. Đánh giá khả dụng theo yêu cầu người dùng; ngưỡng WCAG chính thức vẫn cần phê duyệt.</x:v>
      </x:c>
    </x:row>
    <x:row r="151" ht="49" customHeight="1">
      <x:c r="A151" s="3" t="n">
        <x:v>150</x:v>
      </x:c>
      <x:c r="B151" s="3" t="str">
        <x:v>TC_UI_111</x:v>
      </x:c>
      <x:c r="C151" s="3" t="str">
        <x:v>UI</x:v>
      </x:c>
      <x:c r="D151" s="3" t="str">
        <x:v>Responsive Đăng nhập</x:v>
      </x:c>
      <x:c r="E151" s="3" t="str">
        <x:v>Responsive Đăng nhập</x:v>
      </x:c>
      <x:c r="F151" s="3" t="str">
        <x:v>Responsive — Đăng nhập tại 1440px</x:v>
      </x:c>
      <x:c r="G151" s="3" t="str">
        <x:v>Đăng nhập tại 1440px</x:v>
      </x:c>
      <x:c r="H151" s="3" t="str">
        <x:v>NFR-003</x:v>
      </x:c>
      <x:c r="I151" s="3" t="str">
        <x:v>QTV có quyền tương ứng</x:v>
      </x:c>
      <x:c r="J151" s="3" t="str">
        <x:v>Responsive</x:v>
      </x:c>
      <x:c r="K151" s="3" t="str">
        <x:v>Medium</x:v>
      </x:c>
      <x:c r="L151" s="3" t="str">
        <x:v>Medium</x:v>
      </x:c>
      <x:c r="M151" s="3" t="str">
        <x:v>Môi trường QA cô lập, DB/MinIO sẵn sàng; dữ liệu fixture đã tạo. Đăng nhập tài khoản ACTIVE, mustChangePassword=false.</x:v>
      </x:c>
      <x:c r="N151" s="3" t="str">
        <x:v>Viewport 1440×900 CSS px; fixture có tên/tiêu đề dài và tiếng Việt.</x:v>
      </x:c>
      <x:c r="O151" s="3" t="str">
        <x:v>1. Mở /admin/login; viewport 1440×900 CSS px, zoom100%
2. Cuộn hết trang và mở tương tác chính
3. Đo scrollWidth so clientWidth và chụp màn hình</x:v>
      </x:c>
      <x:c r="P151" s="3" t="str">
        <x:v>Không tràn ngang toàn trang; chữ/nút không chồng hoặc bị cắt; nội dung/ảnh không mất; bảng rộng cuộn trong vùng bảng. Menu và CTA chính thao tác được.</x:v>
      </x:c>
      <x:c r="Q151" s="11" t="str"/>
      <x:c r="R151" s="8" t="str">
        <x:v>NOT RUN</x:v>
      </x:c>
      <x:c r="S151" s="11" t="str">
        <x:v>QA/UAT — cần điền URL/build</x:v>
      </x:c>
      <x:c r="T151" s="11" t="str">
        <x:v>Cần điền phiên bản thực</x:v>
      </x:c>
      <x:c r="U151" s="11" t="str"/>
      <x:c r="V151" s="12" t="str"/>
      <x:c r="W151" s="11" t="str"/>
      <x:c r="X151" s="11" t="str"/>
      <x:c r="Y151" s="3" t="str">
        <x:v>Nguồn: frontend/src/app; admin/src/app/styles.css. Đánh giá khả dụng theo yêu cầu người dùng; ngưỡng WCAG chính thức vẫn cần phê duyệt.</x:v>
      </x:c>
    </x:row>
    <x:row r="152" ht="49" customHeight="1">
      <x:c r="A152" s="3" t="n">
        <x:v>151</x:v>
      </x:c>
      <x:c r="B152" s="3" t="str">
        <x:v>TC_UI_112</x:v>
      </x:c>
      <x:c r="C152" s="3" t="str">
        <x:v>UI</x:v>
      </x:c>
      <x:c r="D152" s="3" t="str">
        <x:v>Responsive Đăng nhập</x:v>
      </x:c>
      <x:c r="E152" s="3" t="str">
        <x:v>Responsive Đăng nhập</x:v>
      </x:c>
      <x:c r="F152" s="3" t="str">
        <x:v>Responsive — Đăng nhập tại 1920px</x:v>
      </x:c>
      <x:c r="G152" s="3" t="str">
        <x:v>Đăng nhập tại 1920px</x:v>
      </x:c>
      <x:c r="H152" s="3" t="str">
        <x:v>NFR-003</x:v>
      </x:c>
      <x:c r="I152" s="3" t="str">
        <x:v>QTV có quyền tương ứng</x:v>
      </x:c>
      <x:c r="J152" s="3" t="str">
        <x:v>Responsive</x:v>
      </x:c>
      <x:c r="K152" s="3" t="str">
        <x:v>Medium</x:v>
      </x:c>
      <x:c r="L152" s="3" t="str">
        <x:v>Medium</x:v>
      </x:c>
      <x:c r="M152" s="3" t="str">
        <x:v>Môi trường QA cô lập, DB/MinIO sẵn sàng; dữ liệu fixture đã tạo. Đăng nhập tài khoản ACTIVE, mustChangePassword=false.</x:v>
      </x:c>
      <x:c r="N152" s="3" t="str">
        <x:v>Viewport 1920×900 CSS px; fixture có tên/tiêu đề dài và tiếng Việt.</x:v>
      </x:c>
      <x:c r="O152" s="3" t="str">
        <x:v>1. Mở /admin/login; viewport 1920×900 CSS px, zoom100%
2. Cuộn hết trang và mở tương tác chính
3. Đo scrollWidth so clientWidth và chụp màn hình</x:v>
      </x:c>
      <x:c r="P152" s="3" t="str">
        <x:v>Không tràn ngang toàn trang; chữ/nút không chồng hoặc bị cắt; nội dung/ảnh không mất; bảng rộng cuộn trong vùng bảng. Menu và CTA chính thao tác được.</x:v>
      </x:c>
      <x:c r="Q152" s="11" t="str"/>
      <x:c r="R152" s="8" t="str">
        <x:v>NOT RUN</x:v>
      </x:c>
      <x:c r="S152" s="11" t="str">
        <x:v>QA/UAT — cần điền URL/build</x:v>
      </x:c>
      <x:c r="T152" s="11" t="str">
        <x:v>Cần điền phiên bản thực</x:v>
      </x:c>
      <x:c r="U152" s="11" t="str"/>
      <x:c r="V152" s="12" t="str"/>
      <x:c r="W152" s="11" t="str"/>
      <x:c r="X152" s="11" t="str"/>
      <x:c r="Y152" s="3" t="str">
        <x:v>Nguồn: frontend/src/app; admin/src/app/styles.css. Đánh giá khả dụng theo yêu cầu người dùng; ngưỡng WCAG chính thức vẫn cần phê duyệt.</x:v>
      </x:c>
    </x:row>
    <x:row r="153" ht="49" customHeight="1">
      <x:c r="A153" s="3" t="n">
        <x:v>152</x:v>
      </x:c>
      <x:c r="B153" s="3" t="str">
        <x:v>TC_UI_113</x:v>
      </x:c>
      <x:c r="C153" s="3" t="str">
        <x:v>UI</x:v>
      </x:c>
      <x:c r="D153" s="3" t="str">
        <x:v>Responsive Dashboard</x:v>
      </x:c>
      <x:c r="E153" s="3" t="str">
        <x:v>Responsive Dashboard</x:v>
      </x:c>
      <x:c r="F153" s="3" t="str">
        <x:v>Responsive — Dashboard tại 320px</x:v>
      </x:c>
      <x:c r="G153" s="3" t="str">
        <x:v>Dashboard tại 320px</x:v>
      </x:c>
      <x:c r="H153" s="3" t="str">
        <x:v>NFR-003</x:v>
      </x:c>
      <x:c r="I153" s="3" t="str">
        <x:v>QTV có quyền tương ứng</x:v>
      </x:c>
      <x:c r="J153" s="3" t="str">
        <x:v>Responsive</x:v>
      </x:c>
      <x:c r="K153" s="3" t="str">
        <x:v>High</x:v>
      </x:c>
      <x:c r="L153" s="3" t="str">
        <x:v>High</x:v>
      </x:c>
      <x:c r="M153" s="3" t="str">
        <x:v>Môi trường QA cô lập, DB/MinIO sẵn sàng; dữ liệu fixture đã tạo. Đăng nhập tài khoản ACTIVE, mustChangePassword=false.</x:v>
      </x:c>
      <x:c r="N153" s="3" t="str">
        <x:v>Viewport 320×900 CSS px; fixture có tên/tiêu đề dài và tiếng Việt.</x:v>
      </x:c>
      <x:c r="O153" s="3" t="str">
        <x:v>1. Mở /admin/dashboard; viewport 320×900 CSS px, zoom100%
2. Cuộn hết trang và mở tương tác chính
3. Đo scrollWidth so clientWidth và chụp màn hình</x:v>
      </x:c>
      <x:c r="P153" s="3" t="str">
        <x:v>Không tràn ngang toàn trang; chữ/nút không chồng hoặc bị cắt; nội dung/ảnh không mất; bảng rộng cuộn trong vùng bảng. Menu và CTA chính thao tác được.</x:v>
      </x:c>
      <x:c r="Q153" s="11" t="str"/>
      <x:c r="R153" s="8" t="str">
        <x:v>NOT RUN</x:v>
      </x:c>
      <x:c r="S153" s="11" t="str">
        <x:v>QA/UAT — cần điền URL/build</x:v>
      </x:c>
      <x:c r="T153" s="11" t="str">
        <x:v>Cần điền phiên bản thực</x:v>
      </x:c>
      <x:c r="U153" s="11" t="str"/>
      <x:c r="V153" s="12" t="str"/>
      <x:c r="W153" s="11" t="str"/>
      <x:c r="X153" s="11" t="str"/>
      <x:c r="Y153" s="3" t="str">
        <x:v>Nguồn: frontend/src/app; admin/src/app/styles.css. Đánh giá khả dụng theo yêu cầu người dùng; ngưỡng WCAG chính thức vẫn cần phê duyệt.</x:v>
      </x:c>
    </x:row>
    <x:row r="154" ht="49" customHeight="1">
      <x:c r="A154" s="3" t="n">
        <x:v>153</x:v>
      </x:c>
      <x:c r="B154" s="3" t="str">
        <x:v>TC_UI_114</x:v>
      </x:c>
      <x:c r="C154" s="3" t="str">
        <x:v>UI</x:v>
      </x:c>
      <x:c r="D154" s="3" t="str">
        <x:v>Responsive Dashboard</x:v>
      </x:c>
      <x:c r="E154" s="3" t="str">
        <x:v>Responsive Dashboard</x:v>
      </x:c>
      <x:c r="F154" s="3" t="str">
        <x:v>Responsive — Dashboard tại 375px</x:v>
      </x:c>
      <x:c r="G154" s="3" t="str">
        <x:v>Dashboard tại 375px</x:v>
      </x:c>
      <x:c r="H154" s="3" t="str">
        <x:v>NFR-003</x:v>
      </x:c>
      <x:c r="I154" s="3" t="str">
        <x:v>QTV có quyền tương ứng</x:v>
      </x:c>
      <x:c r="J154" s="3" t="str">
        <x:v>Responsive</x:v>
      </x:c>
      <x:c r="K154" s="3" t="str">
        <x:v>Medium</x:v>
      </x:c>
      <x:c r="L154" s="3" t="str">
        <x:v>Medium</x:v>
      </x:c>
      <x:c r="M154" s="3" t="str">
        <x:v>Môi trường QA cô lập, DB/MinIO sẵn sàng; dữ liệu fixture đã tạo. Đăng nhập tài khoản ACTIVE, mustChangePassword=false.</x:v>
      </x:c>
      <x:c r="N154" s="3" t="str">
        <x:v>Viewport 375×900 CSS px; fixture có tên/tiêu đề dài và tiếng Việt.</x:v>
      </x:c>
      <x:c r="O154" s="3" t="str">
        <x:v>1. Mở /admin/dashboard; viewport 375×900 CSS px, zoom100%
2. Cuộn hết trang và mở tương tác chính
3. Đo scrollWidth so clientWidth và chụp màn hình</x:v>
      </x:c>
      <x:c r="P154" s="3" t="str">
        <x:v>Không tràn ngang toàn trang; chữ/nút không chồng hoặc bị cắt; nội dung/ảnh không mất; bảng rộng cuộn trong vùng bảng. Menu và CTA chính thao tác được.</x:v>
      </x:c>
      <x:c r="Q154" s="11" t="str"/>
      <x:c r="R154" s="8" t="str">
        <x:v>NOT RUN</x:v>
      </x:c>
      <x:c r="S154" s="11" t="str">
        <x:v>QA/UAT — cần điền URL/build</x:v>
      </x:c>
      <x:c r="T154" s="11" t="str">
        <x:v>Cần điền phiên bản thực</x:v>
      </x:c>
      <x:c r="U154" s="11" t="str"/>
      <x:c r="V154" s="12" t="str"/>
      <x:c r="W154" s="11" t="str"/>
      <x:c r="X154" s="11" t="str"/>
      <x:c r="Y154" s="3" t="str">
        <x:v>Nguồn: frontend/src/app; admin/src/app/styles.css. Đánh giá khả dụng theo yêu cầu người dùng; ngưỡng WCAG chính thức vẫn cần phê duyệt.</x:v>
      </x:c>
    </x:row>
    <x:row r="155" ht="49" customHeight="1">
      <x:c r="A155" s="3" t="n">
        <x:v>154</x:v>
      </x:c>
      <x:c r="B155" s="3" t="str">
        <x:v>TC_UI_115</x:v>
      </x:c>
      <x:c r="C155" s="3" t="str">
        <x:v>UI</x:v>
      </x:c>
      <x:c r="D155" s="3" t="str">
        <x:v>Responsive Dashboard</x:v>
      </x:c>
      <x:c r="E155" s="3" t="str">
        <x:v>Responsive Dashboard</x:v>
      </x:c>
      <x:c r="F155" s="3" t="str">
        <x:v>Responsive — Dashboard tại 390px</x:v>
      </x:c>
      <x:c r="G155" s="3" t="str">
        <x:v>Dashboard tại 390px</x:v>
      </x:c>
      <x:c r="H155" s="3" t="str">
        <x:v>NFR-003</x:v>
      </x:c>
      <x:c r="I155" s="3" t="str">
        <x:v>QTV có quyền tương ứng</x:v>
      </x:c>
      <x:c r="J155" s="3" t="str">
        <x:v>Responsive</x:v>
      </x:c>
      <x:c r="K155" s="3" t="str">
        <x:v>Medium</x:v>
      </x:c>
      <x:c r="L155" s="3" t="str">
        <x:v>Medium</x:v>
      </x:c>
      <x:c r="M155" s="3" t="str">
        <x:v>Môi trường QA cô lập, DB/MinIO sẵn sàng; dữ liệu fixture đã tạo. Đăng nhập tài khoản ACTIVE, mustChangePassword=false.</x:v>
      </x:c>
      <x:c r="N155" s="3" t="str">
        <x:v>Viewport 390×900 CSS px; fixture có tên/tiêu đề dài và tiếng Việt.</x:v>
      </x:c>
      <x:c r="O155" s="3" t="str">
        <x:v>1. Mở /admin/dashboard; viewport 390×900 CSS px, zoom100%
2. Cuộn hết trang và mở tương tác chính
3. Đo scrollWidth so clientWidth và chụp màn hình</x:v>
      </x:c>
      <x:c r="P155" s="3" t="str">
        <x:v>Không tràn ngang toàn trang; chữ/nút không chồng hoặc bị cắt; nội dung/ảnh không mất; bảng rộng cuộn trong vùng bảng. Menu và CTA chính thao tác được.</x:v>
      </x:c>
      <x:c r="Q155" s="11" t="str"/>
      <x:c r="R155" s="8" t="str">
        <x:v>NOT RUN</x:v>
      </x:c>
      <x:c r="S155" s="11" t="str">
        <x:v>QA/UAT — cần điền URL/build</x:v>
      </x:c>
      <x:c r="T155" s="11" t="str">
        <x:v>Cần điền phiên bản thực</x:v>
      </x:c>
      <x:c r="U155" s="11" t="str"/>
      <x:c r="V155" s="12" t="str"/>
      <x:c r="W155" s="11" t="str"/>
      <x:c r="X155" s="11" t="str"/>
      <x:c r="Y155" s="3" t="str">
        <x:v>Nguồn: frontend/src/app; admin/src/app/styles.css. Đánh giá khả dụng theo yêu cầu người dùng; ngưỡng WCAG chính thức vẫn cần phê duyệt.</x:v>
      </x:c>
    </x:row>
    <x:row r="156" ht="49" customHeight="1">
      <x:c r="A156" s="3" t="n">
        <x:v>155</x:v>
      </x:c>
      <x:c r="B156" s="3" t="str">
        <x:v>TC_UI_116</x:v>
      </x:c>
      <x:c r="C156" s="3" t="str">
        <x:v>UI</x:v>
      </x:c>
      <x:c r="D156" s="3" t="str">
        <x:v>Responsive Dashboard</x:v>
      </x:c>
      <x:c r="E156" s="3" t="str">
        <x:v>Responsive Dashboard</x:v>
      </x:c>
      <x:c r="F156" s="3" t="str">
        <x:v>Responsive — Dashboard tại 768px</x:v>
      </x:c>
      <x:c r="G156" s="3" t="str">
        <x:v>Dashboard tại 768px</x:v>
      </x:c>
      <x:c r="H156" s="3" t="str">
        <x:v>NFR-003</x:v>
      </x:c>
      <x:c r="I156" s="3" t="str">
        <x:v>QTV có quyền tương ứng</x:v>
      </x:c>
      <x:c r="J156" s="3" t="str">
        <x:v>Responsive</x:v>
      </x:c>
      <x:c r="K156" s="3" t="str">
        <x:v>Medium</x:v>
      </x:c>
      <x:c r="L156" s="3" t="str">
        <x:v>Medium</x:v>
      </x:c>
      <x:c r="M156" s="3" t="str">
        <x:v>Môi trường QA cô lập, DB/MinIO sẵn sàng; dữ liệu fixture đã tạo. Đăng nhập tài khoản ACTIVE, mustChangePassword=false.</x:v>
      </x:c>
      <x:c r="N156" s="3" t="str">
        <x:v>Viewport 768×900 CSS px; fixture có tên/tiêu đề dài và tiếng Việt.</x:v>
      </x:c>
      <x:c r="O156" s="3" t="str">
        <x:v>1. Mở /admin/dashboard; viewport 768×900 CSS px, zoom100%
2. Cuộn hết trang và mở tương tác chính
3. Đo scrollWidth so clientWidth và chụp màn hình</x:v>
      </x:c>
      <x:c r="P156" s="3" t="str">
        <x:v>Không tràn ngang toàn trang; chữ/nút không chồng hoặc bị cắt; nội dung/ảnh không mất; bảng rộng cuộn trong vùng bảng. Menu và CTA chính thao tác được.</x:v>
      </x:c>
      <x:c r="Q156" s="11" t="str"/>
      <x:c r="R156" s="8" t="str">
        <x:v>NOT RUN</x:v>
      </x:c>
      <x:c r="S156" s="11" t="str">
        <x:v>QA/UAT — cần điền URL/build</x:v>
      </x:c>
      <x:c r="T156" s="11" t="str">
        <x:v>Cần điền phiên bản thực</x:v>
      </x:c>
      <x:c r="U156" s="11" t="str"/>
      <x:c r="V156" s="12" t="str"/>
      <x:c r="W156" s="11" t="str"/>
      <x:c r="X156" s="11" t="str"/>
      <x:c r="Y156" s="3" t="str">
        <x:v>Nguồn: frontend/src/app; admin/src/app/styles.css. Đánh giá khả dụng theo yêu cầu người dùng; ngưỡng WCAG chính thức vẫn cần phê duyệt.</x:v>
      </x:c>
    </x:row>
    <x:row r="157" ht="49" customHeight="1">
      <x:c r="A157" s="3" t="n">
        <x:v>156</x:v>
      </x:c>
      <x:c r="B157" s="3" t="str">
        <x:v>TC_UI_117</x:v>
      </x:c>
      <x:c r="C157" s="3" t="str">
        <x:v>UI</x:v>
      </x:c>
      <x:c r="D157" s="3" t="str">
        <x:v>Responsive Dashboard</x:v>
      </x:c>
      <x:c r="E157" s="3" t="str">
        <x:v>Responsive Dashboard</x:v>
      </x:c>
      <x:c r="F157" s="3" t="str">
        <x:v>Responsive — Dashboard tại 1024px</x:v>
      </x:c>
      <x:c r="G157" s="3" t="str">
        <x:v>Dashboard tại 1024px</x:v>
      </x:c>
      <x:c r="H157" s="3" t="str">
        <x:v>NFR-003</x:v>
      </x:c>
      <x:c r="I157" s="3" t="str">
        <x:v>QTV có quyền tương ứng</x:v>
      </x:c>
      <x:c r="J157" s="3" t="str">
        <x:v>Responsive</x:v>
      </x:c>
      <x:c r="K157" s="3" t="str">
        <x:v>Medium</x:v>
      </x:c>
      <x:c r="L157" s="3" t="str">
        <x:v>Medium</x:v>
      </x:c>
      <x:c r="M157" s="3" t="str">
        <x:v>Môi trường QA cô lập, DB/MinIO sẵn sàng; dữ liệu fixture đã tạo. Đăng nhập tài khoản ACTIVE, mustChangePassword=false.</x:v>
      </x:c>
      <x:c r="N157" s="3" t="str">
        <x:v>Viewport 1024×900 CSS px; fixture có tên/tiêu đề dài và tiếng Việt.</x:v>
      </x:c>
      <x:c r="O157" s="3" t="str">
        <x:v>1. Mở /admin/dashboard; viewport 1024×900 CSS px, zoom100%
2. Cuộn hết trang và mở tương tác chính
3. Đo scrollWidth so clientWidth và chụp màn hình</x:v>
      </x:c>
      <x:c r="P157" s="3" t="str">
        <x:v>Không tràn ngang toàn trang; chữ/nút không chồng hoặc bị cắt; nội dung/ảnh không mất; bảng rộng cuộn trong vùng bảng. Menu và CTA chính thao tác được.</x:v>
      </x:c>
      <x:c r="Q157" s="11" t="str"/>
      <x:c r="R157" s="8" t="str">
        <x:v>NOT RUN</x:v>
      </x:c>
      <x:c r="S157" s="11" t="str">
        <x:v>QA/UAT — cần điền URL/build</x:v>
      </x:c>
      <x:c r="T157" s="11" t="str">
        <x:v>Cần điền phiên bản thực</x:v>
      </x:c>
      <x:c r="U157" s="11" t="str"/>
      <x:c r="V157" s="12" t="str"/>
      <x:c r="W157" s="11" t="str"/>
      <x:c r="X157" s="11" t="str"/>
      <x:c r="Y157" s="3" t="str">
        <x:v>Nguồn: frontend/src/app; admin/src/app/styles.css. Đánh giá khả dụng theo yêu cầu người dùng; ngưỡng WCAG chính thức vẫn cần phê duyệt.</x:v>
      </x:c>
    </x:row>
    <x:row r="158" ht="49" customHeight="1">
      <x:c r="A158" s="3" t="n">
        <x:v>157</x:v>
      </x:c>
      <x:c r="B158" s="3" t="str">
        <x:v>TC_UI_118</x:v>
      </x:c>
      <x:c r="C158" s="3" t="str">
        <x:v>UI</x:v>
      </x:c>
      <x:c r="D158" s="3" t="str">
        <x:v>Responsive Dashboard</x:v>
      </x:c>
      <x:c r="E158" s="3" t="str">
        <x:v>Responsive Dashboard</x:v>
      </x:c>
      <x:c r="F158" s="3" t="str">
        <x:v>Responsive — Dashboard tại 1280px</x:v>
      </x:c>
      <x:c r="G158" s="3" t="str">
        <x:v>Dashboard tại 1280px</x:v>
      </x:c>
      <x:c r="H158" s="3" t="str">
        <x:v>NFR-003</x:v>
      </x:c>
      <x:c r="I158" s="3" t="str">
        <x:v>QTV có quyền tương ứng</x:v>
      </x:c>
      <x:c r="J158" s="3" t="str">
        <x:v>Responsive</x:v>
      </x:c>
      <x:c r="K158" s="3" t="str">
        <x:v>Medium</x:v>
      </x:c>
      <x:c r="L158" s="3" t="str">
        <x:v>Medium</x:v>
      </x:c>
      <x:c r="M158" s="3" t="str">
        <x:v>Môi trường QA cô lập, DB/MinIO sẵn sàng; dữ liệu fixture đã tạo. Đăng nhập tài khoản ACTIVE, mustChangePassword=false.</x:v>
      </x:c>
      <x:c r="N158" s="3" t="str">
        <x:v>Viewport 1280×900 CSS px; fixture có tên/tiêu đề dài và tiếng Việt.</x:v>
      </x:c>
      <x:c r="O158" s="3" t="str">
        <x:v>1. Mở /admin/dashboard; viewport 1280×900 CSS px, zoom100%
2. Cuộn hết trang và mở tương tác chính
3. Đo scrollWidth so clientWidth và chụp màn hình</x:v>
      </x:c>
      <x:c r="P158" s="3" t="str">
        <x:v>Không tràn ngang toàn trang; chữ/nút không chồng hoặc bị cắt; nội dung/ảnh không mất; bảng rộng cuộn trong vùng bảng. Menu và CTA chính thao tác được.</x:v>
      </x:c>
      <x:c r="Q158" s="11" t="str"/>
      <x:c r="R158" s="8" t="str">
        <x:v>NOT RUN</x:v>
      </x:c>
      <x:c r="S158" s="11" t="str">
        <x:v>QA/UAT — cần điền URL/build</x:v>
      </x:c>
      <x:c r="T158" s="11" t="str">
        <x:v>Cần điền phiên bản thực</x:v>
      </x:c>
      <x:c r="U158" s="11" t="str"/>
      <x:c r="V158" s="12" t="str"/>
      <x:c r="W158" s="11" t="str"/>
      <x:c r="X158" s="11" t="str"/>
      <x:c r="Y158" s="3" t="str">
        <x:v>Nguồn: frontend/src/app; admin/src/app/styles.css. Đánh giá khả dụng theo yêu cầu người dùng; ngưỡng WCAG chính thức vẫn cần phê duyệt.</x:v>
      </x:c>
    </x:row>
    <x:row r="159" ht="49" customHeight="1">
      <x:c r="A159" s="3" t="n">
        <x:v>158</x:v>
      </x:c>
      <x:c r="B159" s="3" t="str">
        <x:v>TC_UI_119</x:v>
      </x:c>
      <x:c r="C159" s="3" t="str">
        <x:v>UI</x:v>
      </x:c>
      <x:c r="D159" s="3" t="str">
        <x:v>Responsive Dashboard</x:v>
      </x:c>
      <x:c r="E159" s="3" t="str">
        <x:v>Responsive Dashboard</x:v>
      </x:c>
      <x:c r="F159" s="3" t="str">
        <x:v>Responsive — Dashboard tại 1440px</x:v>
      </x:c>
      <x:c r="G159" s="3" t="str">
        <x:v>Dashboard tại 1440px</x:v>
      </x:c>
      <x:c r="H159" s="3" t="str">
        <x:v>NFR-003</x:v>
      </x:c>
      <x:c r="I159" s="3" t="str">
        <x:v>QTV có quyền tương ứng</x:v>
      </x:c>
      <x:c r="J159" s="3" t="str">
        <x:v>Responsive</x:v>
      </x:c>
      <x:c r="K159" s="3" t="str">
        <x:v>Medium</x:v>
      </x:c>
      <x:c r="L159" s="3" t="str">
        <x:v>Medium</x:v>
      </x:c>
      <x:c r="M159" s="3" t="str">
        <x:v>Môi trường QA cô lập, DB/MinIO sẵn sàng; dữ liệu fixture đã tạo. Đăng nhập tài khoản ACTIVE, mustChangePassword=false.</x:v>
      </x:c>
      <x:c r="N159" s="3" t="str">
        <x:v>Viewport 1440×900 CSS px; fixture có tên/tiêu đề dài và tiếng Việt.</x:v>
      </x:c>
      <x:c r="O159" s="3" t="str">
        <x:v>1. Mở /admin/dashboard; viewport 1440×900 CSS px, zoom100%
2. Cuộn hết trang và mở tương tác chính
3. Đo scrollWidth so clientWidth và chụp màn hình</x:v>
      </x:c>
      <x:c r="P159" s="3" t="str">
        <x:v>Không tràn ngang toàn trang; chữ/nút không chồng hoặc bị cắt; nội dung/ảnh không mất; bảng rộng cuộn trong vùng bảng. Menu và CTA chính thao tác được.</x:v>
      </x:c>
      <x:c r="Q159" s="11" t="str"/>
      <x:c r="R159" s="8" t="str">
        <x:v>NOT RUN</x:v>
      </x:c>
      <x:c r="S159" s="11" t="str">
        <x:v>QA/UAT — cần điền URL/build</x:v>
      </x:c>
      <x:c r="T159" s="11" t="str">
        <x:v>Cần điền phiên bản thực</x:v>
      </x:c>
      <x:c r="U159" s="11" t="str"/>
      <x:c r="V159" s="12" t="str"/>
      <x:c r="W159" s="11" t="str"/>
      <x:c r="X159" s="11" t="str"/>
      <x:c r="Y159" s="3" t="str">
        <x:v>Nguồn: frontend/src/app; admin/src/app/styles.css. Đánh giá khả dụng theo yêu cầu người dùng; ngưỡng WCAG chính thức vẫn cần phê duyệt.</x:v>
      </x:c>
    </x:row>
    <x:row r="160" ht="49" customHeight="1">
      <x:c r="A160" s="3" t="n">
        <x:v>159</x:v>
      </x:c>
      <x:c r="B160" s="3" t="str">
        <x:v>TC_UI_120</x:v>
      </x:c>
      <x:c r="C160" s="3" t="str">
        <x:v>UI</x:v>
      </x:c>
      <x:c r="D160" s="3" t="str">
        <x:v>Responsive Dashboard</x:v>
      </x:c>
      <x:c r="E160" s="3" t="str">
        <x:v>Responsive Dashboard</x:v>
      </x:c>
      <x:c r="F160" s="3" t="str">
        <x:v>Responsive — Dashboard tại 1920px</x:v>
      </x:c>
      <x:c r="G160" s="3" t="str">
        <x:v>Dashboard tại 1920px</x:v>
      </x:c>
      <x:c r="H160" s="3" t="str">
        <x:v>NFR-003</x:v>
      </x:c>
      <x:c r="I160" s="3" t="str">
        <x:v>QTV có quyền tương ứng</x:v>
      </x:c>
      <x:c r="J160" s="3" t="str">
        <x:v>Responsive</x:v>
      </x:c>
      <x:c r="K160" s="3" t="str">
        <x:v>Medium</x:v>
      </x:c>
      <x:c r="L160" s="3" t="str">
        <x:v>Medium</x:v>
      </x:c>
      <x:c r="M160" s="3" t="str">
        <x:v>Môi trường QA cô lập, DB/MinIO sẵn sàng; dữ liệu fixture đã tạo. Đăng nhập tài khoản ACTIVE, mustChangePassword=false.</x:v>
      </x:c>
      <x:c r="N160" s="3" t="str">
        <x:v>Viewport 1920×900 CSS px; fixture có tên/tiêu đề dài và tiếng Việt.</x:v>
      </x:c>
      <x:c r="O160" s="3" t="str">
        <x:v>1. Mở /admin/dashboard; viewport 1920×900 CSS px, zoom100%
2. Cuộn hết trang và mở tương tác chính
3. Đo scrollWidth so clientWidth và chụp màn hình</x:v>
      </x:c>
      <x:c r="P160" s="3" t="str">
        <x:v>Không tràn ngang toàn trang; chữ/nút không chồng hoặc bị cắt; nội dung/ảnh không mất; bảng rộng cuộn trong vùng bảng. Menu và CTA chính thao tác được.</x:v>
      </x:c>
      <x:c r="Q160" s="11" t="str"/>
      <x:c r="R160" s="8" t="str">
        <x:v>NOT RUN</x:v>
      </x:c>
      <x:c r="S160" s="11" t="str">
        <x:v>QA/UAT — cần điền URL/build</x:v>
      </x:c>
      <x:c r="T160" s="11" t="str">
        <x:v>Cần điền phiên bản thực</x:v>
      </x:c>
      <x:c r="U160" s="11" t="str"/>
      <x:c r="V160" s="12" t="str"/>
      <x:c r="W160" s="11" t="str"/>
      <x:c r="X160" s="11" t="str"/>
      <x:c r="Y160" s="3" t="str">
        <x:v>Nguồn: frontend/src/app; admin/src/app/styles.css. Đánh giá khả dụng theo yêu cầu người dùng; ngưỡng WCAG chính thức vẫn cần phê duyệt.</x:v>
      </x:c>
    </x:row>
    <x:row r="161" ht="49" customHeight="1">
      <x:c r="A161" s="3" t="n">
        <x:v>160</x:v>
      </x:c>
      <x:c r="B161" s="3" t="str">
        <x:v>TC_UI_121</x:v>
      </x:c>
      <x:c r="C161" s="3" t="str">
        <x:v>UI</x:v>
      </x:c>
      <x:c r="D161" s="3" t="str">
        <x:v>Responsive Nhân sự</x:v>
      </x:c>
      <x:c r="E161" s="3" t="str">
        <x:v>Responsive Nhân sự</x:v>
      </x:c>
      <x:c r="F161" s="3" t="str">
        <x:v>Responsive — Nhân sự tại 320px</x:v>
      </x:c>
      <x:c r="G161" s="3" t="str">
        <x:v>Nhân sự tại 320px</x:v>
      </x:c>
      <x:c r="H161" s="3" t="str">
        <x:v>NFR-003</x:v>
      </x:c>
      <x:c r="I161" s="3" t="str">
        <x:v>QTV có quyền tương ứng</x:v>
      </x:c>
      <x:c r="J161" s="3" t="str">
        <x:v>Responsive</x:v>
      </x:c>
      <x:c r="K161" s="3" t="str">
        <x:v>High</x:v>
      </x:c>
      <x:c r="L161" s="3" t="str">
        <x:v>High</x:v>
      </x:c>
      <x:c r="M161" s="3" t="str">
        <x:v>Môi trường QA cô lập, DB/MinIO sẵn sàng; dữ liệu fixture đã tạo. Đăng nhập tài khoản ACTIVE, mustChangePassword=false.</x:v>
      </x:c>
      <x:c r="N161" s="3" t="str">
        <x:v>Viewport 320×900 CSS px; fixture có tên/tiêu đề dài và tiếng Việt.</x:v>
      </x:c>
      <x:c r="O161" s="3" t="str">
        <x:v>1. Mở /admin/users; viewport 320×900 CSS px, zoom100%
2. Cuộn hết trang và mở tương tác chính
3. Đo scrollWidth so clientWidth và chụp màn hình</x:v>
      </x:c>
      <x:c r="P161" s="3" t="str">
        <x:v>Không tràn ngang toàn trang; chữ/nút không chồng hoặc bị cắt; nội dung/ảnh không mất; bảng rộng cuộn trong vùng bảng. Menu và CTA chính thao tác được.</x:v>
      </x:c>
      <x:c r="Q161" s="11" t="str"/>
      <x:c r="R161" s="8" t="str">
        <x:v>NOT RUN</x:v>
      </x:c>
      <x:c r="S161" s="11" t="str">
        <x:v>QA/UAT — cần điền URL/build</x:v>
      </x:c>
      <x:c r="T161" s="11" t="str">
        <x:v>Cần điền phiên bản thực</x:v>
      </x:c>
      <x:c r="U161" s="11" t="str"/>
      <x:c r="V161" s="12" t="str"/>
      <x:c r="W161" s="11" t="str"/>
      <x:c r="X161" s="11" t="str"/>
      <x:c r="Y161" s="3" t="str">
        <x:v>Nguồn: frontend/src/app; admin/src/app/styles.css. Đánh giá khả dụng theo yêu cầu người dùng; ngưỡng WCAG chính thức vẫn cần phê duyệt.</x:v>
      </x:c>
    </x:row>
    <x:row r="162" ht="49" customHeight="1">
      <x:c r="A162" s="3" t="n">
        <x:v>161</x:v>
      </x:c>
      <x:c r="B162" s="3" t="str">
        <x:v>TC_UI_122</x:v>
      </x:c>
      <x:c r="C162" s="3" t="str">
        <x:v>UI</x:v>
      </x:c>
      <x:c r="D162" s="3" t="str">
        <x:v>Responsive Nhân sự</x:v>
      </x:c>
      <x:c r="E162" s="3" t="str">
        <x:v>Responsive Nhân sự</x:v>
      </x:c>
      <x:c r="F162" s="3" t="str">
        <x:v>Responsive — Nhân sự tại 375px</x:v>
      </x:c>
      <x:c r="G162" s="3" t="str">
        <x:v>Nhân sự tại 375px</x:v>
      </x:c>
      <x:c r="H162" s="3" t="str">
        <x:v>NFR-003</x:v>
      </x:c>
      <x:c r="I162" s="3" t="str">
        <x:v>QTV có quyền tương ứng</x:v>
      </x:c>
      <x:c r="J162" s="3" t="str">
        <x:v>Responsive</x:v>
      </x:c>
      <x:c r="K162" s="3" t="str">
        <x:v>Medium</x:v>
      </x:c>
      <x:c r="L162" s="3" t="str">
        <x:v>Medium</x:v>
      </x:c>
      <x:c r="M162" s="3" t="str">
        <x:v>Môi trường QA cô lập, DB/MinIO sẵn sàng; dữ liệu fixture đã tạo. Đăng nhập tài khoản ACTIVE, mustChangePassword=false.</x:v>
      </x:c>
      <x:c r="N162" s="3" t="str">
        <x:v>Viewport 375×900 CSS px; fixture có tên/tiêu đề dài và tiếng Việt.</x:v>
      </x:c>
      <x:c r="O162" s="3" t="str">
        <x:v>1. Mở /admin/users; viewport 375×900 CSS px, zoom100%
2. Cuộn hết trang và mở tương tác chính
3. Đo scrollWidth so clientWidth và chụp màn hình</x:v>
      </x:c>
      <x:c r="P162" s="3" t="str">
        <x:v>Không tràn ngang toàn trang; chữ/nút không chồng hoặc bị cắt; nội dung/ảnh không mất; bảng rộng cuộn trong vùng bảng. Menu và CTA chính thao tác được.</x:v>
      </x:c>
      <x:c r="Q162" s="11" t="str"/>
      <x:c r="R162" s="8" t="str">
        <x:v>NOT RUN</x:v>
      </x:c>
      <x:c r="S162" s="11" t="str">
        <x:v>QA/UAT — cần điền URL/build</x:v>
      </x:c>
      <x:c r="T162" s="11" t="str">
        <x:v>Cần điền phiên bản thực</x:v>
      </x:c>
      <x:c r="U162" s="11" t="str"/>
      <x:c r="V162" s="12" t="str"/>
      <x:c r="W162" s="11" t="str"/>
      <x:c r="X162" s="11" t="str"/>
      <x:c r="Y162" s="3" t="str">
        <x:v>Nguồn: frontend/src/app; admin/src/app/styles.css. Đánh giá khả dụng theo yêu cầu người dùng; ngưỡng WCAG chính thức vẫn cần phê duyệt.</x:v>
      </x:c>
    </x:row>
    <x:row r="163" ht="49" customHeight="1">
      <x:c r="A163" s="3" t="n">
        <x:v>162</x:v>
      </x:c>
      <x:c r="B163" s="3" t="str">
        <x:v>TC_UI_123</x:v>
      </x:c>
      <x:c r="C163" s="3" t="str">
        <x:v>UI</x:v>
      </x:c>
      <x:c r="D163" s="3" t="str">
        <x:v>Responsive Nhân sự</x:v>
      </x:c>
      <x:c r="E163" s="3" t="str">
        <x:v>Responsive Nhân sự</x:v>
      </x:c>
      <x:c r="F163" s="3" t="str">
        <x:v>Responsive — Nhân sự tại 390px</x:v>
      </x:c>
      <x:c r="G163" s="3" t="str">
        <x:v>Nhân sự tại 390px</x:v>
      </x:c>
      <x:c r="H163" s="3" t="str">
        <x:v>NFR-003</x:v>
      </x:c>
      <x:c r="I163" s="3" t="str">
        <x:v>QTV có quyền tương ứng</x:v>
      </x:c>
      <x:c r="J163" s="3" t="str">
        <x:v>Responsive</x:v>
      </x:c>
      <x:c r="K163" s="3" t="str">
        <x:v>Medium</x:v>
      </x:c>
      <x:c r="L163" s="3" t="str">
        <x:v>Medium</x:v>
      </x:c>
      <x:c r="M163" s="3" t="str">
        <x:v>Môi trường QA cô lập, DB/MinIO sẵn sàng; dữ liệu fixture đã tạo. Đăng nhập tài khoản ACTIVE, mustChangePassword=false.</x:v>
      </x:c>
      <x:c r="N163" s="3" t="str">
        <x:v>Viewport 390×900 CSS px; fixture có tên/tiêu đề dài và tiếng Việt.</x:v>
      </x:c>
      <x:c r="O163" s="3" t="str">
        <x:v>1. Mở /admin/users; viewport 390×900 CSS px, zoom100%
2. Cuộn hết trang và mở tương tác chính
3. Đo scrollWidth so clientWidth và chụp màn hình</x:v>
      </x:c>
      <x:c r="P163" s="3" t="str">
        <x:v>Không tràn ngang toàn trang; chữ/nút không chồng hoặc bị cắt; nội dung/ảnh không mất; bảng rộng cuộn trong vùng bảng. Menu và CTA chính thao tác được.</x:v>
      </x:c>
      <x:c r="Q163" s="11" t="str"/>
      <x:c r="R163" s="8" t="str">
        <x:v>NOT RUN</x:v>
      </x:c>
      <x:c r="S163" s="11" t="str">
        <x:v>QA/UAT — cần điền URL/build</x:v>
      </x:c>
      <x:c r="T163" s="11" t="str">
        <x:v>Cần điền phiên bản thực</x:v>
      </x:c>
      <x:c r="U163" s="11" t="str"/>
      <x:c r="V163" s="12" t="str"/>
      <x:c r="W163" s="11" t="str"/>
      <x:c r="X163" s="11" t="str"/>
      <x:c r="Y163" s="3" t="str">
        <x:v>Nguồn: frontend/src/app; admin/src/app/styles.css. Đánh giá khả dụng theo yêu cầu người dùng; ngưỡng WCAG chính thức vẫn cần phê duyệt.</x:v>
      </x:c>
    </x:row>
    <x:row r="164" ht="49" customHeight="1">
      <x:c r="A164" s="3" t="n">
        <x:v>163</x:v>
      </x:c>
      <x:c r="B164" s="3" t="str">
        <x:v>TC_UI_124</x:v>
      </x:c>
      <x:c r="C164" s="3" t="str">
        <x:v>UI</x:v>
      </x:c>
      <x:c r="D164" s="3" t="str">
        <x:v>Responsive Nhân sự</x:v>
      </x:c>
      <x:c r="E164" s="3" t="str">
        <x:v>Responsive Nhân sự</x:v>
      </x:c>
      <x:c r="F164" s="3" t="str">
        <x:v>Responsive — Nhân sự tại 768px</x:v>
      </x:c>
      <x:c r="G164" s="3" t="str">
        <x:v>Nhân sự tại 768px</x:v>
      </x:c>
      <x:c r="H164" s="3" t="str">
        <x:v>NFR-003</x:v>
      </x:c>
      <x:c r="I164" s="3" t="str">
        <x:v>QTV có quyền tương ứng</x:v>
      </x:c>
      <x:c r="J164" s="3" t="str">
        <x:v>Responsive</x:v>
      </x:c>
      <x:c r="K164" s="3" t="str">
        <x:v>Medium</x:v>
      </x:c>
      <x:c r="L164" s="3" t="str">
        <x:v>Medium</x:v>
      </x:c>
      <x:c r="M164" s="3" t="str">
        <x:v>Môi trường QA cô lập, DB/MinIO sẵn sàng; dữ liệu fixture đã tạo. Đăng nhập tài khoản ACTIVE, mustChangePassword=false.</x:v>
      </x:c>
      <x:c r="N164" s="3" t="str">
        <x:v>Viewport 768×900 CSS px; fixture có tên/tiêu đề dài và tiếng Việt.</x:v>
      </x:c>
      <x:c r="O164" s="3" t="str">
        <x:v>1. Mở /admin/users; viewport 768×900 CSS px, zoom100%
2. Cuộn hết trang và mở tương tác chính
3. Đo scrollWidth so clientWidth và chụp màn hình</x:v>
      </x:c>
      <x:c r="P164" s="3" t="str">
        <x:v>Không tràn ngang toàn trang; chữ/nút không chồng hoặc bị cắt; nội dung/ảnh không mất; bảng rộng cuộn trong vùng bảng. Menu và CTA chính thao tác được.</x:v>
      </x:c>
      <x:c r="Q164" s="11" t="str"/>
      <x:c r="R164" s="8" t="str">
        <x:v>NOT RUN</x:v>
      </x:c>
      <x:c r="S164" s="11" t="str">
        <x:v>QA/UAT — cần điền URL/build</x:v>
      </x:c>
      <x:c r="T164" s="11" t="str">
        <x:v>Cần điền phiên bản thực</x:v>
      </x:c>
      <x:c r="U164" s="11" t="str"/>
      <x:c r="V164" s="12" t="str"/>
      <x:c r="W164" s="11" t="str"/>
      <x:c r="X164" s="11" t="str"/>
      <x:c r="Y164" s="3" t="str">
        <x:v>Nguồn: frontend/src/app; admin/src/app/styles.css. Đánh giá khả dụng theo yêu cầu người dùng; ngưỡng WCAG chính thức vẫn cần phê duyệt.</x:v>
      </x:c>
    </x:row>
    <x:row r="165" ht="49" customHeight="1">
      <x:c r="A165" s="3" t="n">
        <x:v>164</x:v>
      </x:c>
      <x:c r="B165" s="3" t="str">
        <x:v>TC_UI_125</x:v>
      </x:c>
      <x:c r="C165" s="3" t="str">
        <x:v>UI</x:v>
      </x:c>
      <x:c r="D165" s="3" t="str">
        <x:v>Responsive Nhân sự</x:v>
      </x:c>
      <x:c r="E165" s="3" t="str">
        <x:v>Responsive Nhân sự</x:v>
      </x:c>
      <x:c r="F165" s="3" t="str">
        <x:v>Responsive — Nhân sự tại 1024px</x:v>
      </x:c>
      <x:c r="G165" s="3" t="str">
        <x:v>Nhân sự tại 1024px</x:v>
      </x:c>
      <x:c r="H165" s="3" t="str">
        <x:v>NFR-003</x:v>
      </x:c>
      <x:c r="I165" s="3" t="str">
        <x:v>QTV có quyền tương ứng</x:v>
      </x:c>
      <x:c r="J165" s="3" t="str">
        <x:v>Responsive</x:v>
      </x:c>
      <x:c r="K165" s="3" t="str">
        <x:v>Medium</x:v>
      </x:c>
      <x:c r="L165" s="3" t="str">
        <x:v>Medium</x:v>
      </x:c>
      <x:c r="M165" s="3" t="str">
        <x:v>Môi trường QA cô lập, DB/MinIO sẵn sàng; dữ liệu fixture đã tạo. Đăng nhập tài khoản ACTIVE, mustChangePassword=false.</x:v>
      </x:c>
      <x:c r="N165" s="3" t="str">
        <x:v>Viewport 1024×900 CSS px; fixture có tên/tiêu đề dài và tiếng Việt.</x:v>
      </x:c>
      <x:c r="O165" s="3" t="str">
        <x:v>1. Mở /admin/users; viewport 1024×900 CSS px, zoom100%
2. Cuộn hết trang và mở tương tác chính
3. Đo scrollWidth so clientWidth và chụp màn hình</x:v>
      </x:c>
      <x:c r="P165" s="3" t="str">
        <x:v>Không tràn ngang toàn trang; chữ/nút không chồng hoặc bị cắt; nội dung/ảnh không mất; bảng rộng cuộn trong vùng bảng. Menu và CTA chính thao tác được.</x:v>
      </x:c>
      <x:c r="Q165" s="11" t="str"/>
      <x:c r="R165" s="8" t="str">
        <x:v>NOT RUN</x:v>
      </x:c>
      <x:c r="S165" s="11" t="str">
        <x:v>QA/UAT — cần điền URL/build</x:v>
      </x:c>
      <x:c r="T165" s="11" t="str">
        <x:v>Cần điền phiên bản thực</x:v>
      </x:c>
      <x:c r="U165" s="11" t="str"/>
      <x:c r="V165" s="12" t="str"/>
      <x:c r="W165" s="11" t="str"/>
      <x:c r="X165" s="11" t="str"/>
      <x:c r="Y165" s="3" t="str">
        <x:v>Nguồn: frontend/src/app; admin/src/app/styles.css. Đánh giá khả dụng theo yêu cầu người dùng; ngưỡng WCAG chính thức vẫn cần phê duyệt.</x:v>
      </x:c>
    </x:row>
    <x:row r="166" ht="49" customHeight="1">
      <x:c r="A166" s="3" t="n">
        <x:v>165</x:v>
      </x:c>
      <x:c r="B166" s="3" t="str">
        <x:v>TC_UI_126</x:v>
      </x:c>
      <x:c r="C166" s="3" t="str">
        <x:v>UI</x:v>
      </x:c>
      <x:c r="D166" s="3" t="str">
        <x:v>Responsive Nhân sự</x:v>
      </x:c>
      <x:c r="E166" s="3" t="str">
        <x:v>Responsive Nhân sự</x:v>
      </x:c>
      <x:c r="F166" s="3" t="str">
        <x:v>Responsive — Nhân sự tại 1280px</x:v>
      </x:c>
      <x:c r="G166" s="3" t="str">
        <x:v>Nhân sự tại 1280px</x:v>
      </x:c>
      <x:c r="H166" s="3" t="str">
        <x:v>NFR-003</x:v>
      </x:c>
      <x:c r="I166" s="3" t="str">
        <x:v>QTV có quyền tương ứng</x:v>
      </x:c>
      <x:c r="J166" s="3" t="str">
        <x:v>Responsive</x:v>
      </x:c>
      <x:c r="K166" s="3" t="str">
        <x:v>Medium</x:v>
      </x:c>
      <x:c r="L166" s="3" t="str">
        <x:v>Medium</x:v>
      </x:c>
      <x:c r="M166" s="3" t="str">
        <x:v>Môi trường QA cô lập, DB/MinIO sẵn sàng; dữ liệu fixture đã tạo. Đăng nhập tài khoản ACTIVE, mustChangePassword=false.</x:v>
      </x:c>
      <x:c r="N166" s="3" t="str">
        <x:v>Viewport 1280×900 CSS px; fixture có tên/tiêu đề dài và tiếng Việt.</x:v>
      </x:c>
      <x:c r="O166" s="3" t="str">
        <x:v>1. Mở /admin/users; viewport 1280×900 CSS px, zoom100%
2. Cuộn hết trang và mở tương tác chính
3. Đo scrollWidth so clientWidth và chụp màn hình</x:v>
      </x:c>
      <x:c r="P166" s="3" t="str">
        <x:v>Không tràn ngang toàn trang; chữ/nút không chồng hoặc bị cắt; nội dung/ảnh không mất; bảng rộng cuộn trong vùng bảng. Menu và CTA chính thao tác được.</x:v>
      </x:c>
      <x:c r="Q166" s="11" t="str"/>
      <x:c r="R166" s="8" t="str">
        <x:v>NOT RUN</x:v>
      </x:c>
      <x:c r="S166" s="11" t="str">
        <x:v>QA/UAT — cần điền URL/build</x:v>
      </x:c>
      <x:c r="T166" s="11" t="str">
        <x:v>Cần điền phiên bản thực</x:v>
      </x:c>
      <x:c r="U166" s="11" t="str"/>
      <x:c r="V166" s="12" t="str"/>
      <x:c r="W166" s="11" t="str"/>
      <x:c r="X166" s="11" t="str"/>
      <x:c r="Y166" s="3" t="str">
        <x:v>Nguồn: frontend/src/app; admin/src/app/styles.css. Đánh giá khả dụng theo yêu cầu người dùng; ngưỡng WCAG chính thức vẫn cần phê duyệt.</x:v>
      </x:c>
    </x:row>
    <x:row r="167" ht="49" customHeight="1">
      <x:c r="A167" s="3" t="n">
        <x:v>166</x:v>
      </x:c>
      <x:c r="B167" s="3" t="str">
        <x:v>TC_UI_127</x:v>
      </x:c>
      <x:c r="C167" s="3" t="str">
        <x:v>UI</x:v>
      </x:c>
      <x:c r="D167" s="3" t="str">
        <x:v>Responsive Nhân sự</x:v>
      </x:c>
      <x:c r="E167" s="3" t="str">
        <x:v>Responsive Nhân sự</x:v>
      </x:c>
      <x:c r="F167" s="3" t="str">
        <x:v>Responsive — Nhân sự tại 1440px</x:v>
      </x:c>
      <x:c r="G167" s="3" t="str">
        <x:v>Nhân sự tại 1440px</x:v>
      </x:c>
      <x:c r="H167" s="3" t="str">
        <x:v>NFR-003</x:v>
      </x:c>
      <x:c r="I167" s="3" t="str">
        <x:v>QTV có quyền tương ứng</x:v>
      </x:c>
      <x:c r="J167" s="3" t="str">
        <x:v>Responsive</x:v>
      </x:c>
      <x:c r="K167" s="3" t="str">
        <x:v>Medium</x:v>
      </x:c>
      <x:c r="L167" s="3" t="str">
        <x:v>Medium</x:v>
      </x:c>
      <x:c r="M167" s="3" t="str">
        <x:v>Môi trường QA cô lập, DB/MinIO sẵn sàng; dữ liệu fixture đã tạo. Đăng nhập tài khoản ACTIVE, mustChangePassword=false.</x:v>
      </x:c>
      <x:c r="N167" s="3" t="str">
        <x:v>Viewport 1440×900 CSS px; fixture có tên/tiêu đề dài và tiếng Việt.</x:v>
      </x:c>
      <x:c r="O167" s="3" t="str">
        <x:v>1. Mở /admin/users; viewport 1440×900 CSS px, zoom100%
2. Cuộn hết trang và mở tương tác chính
3. Đo scrollWidth so clientWidth và chụp màn hình</x:v>
      </x:c>
      <x:c r="P167" s="3" t="str">
        <x:v>Không tràn ngang toàn trang; chữ/nút không chồng hoặc bị cắt; nội dung/ảnh không mất; bảng rộng cuộn trong vùng bảng. Menu và CTA chính thao tác được.</x:v>
      </x:c>
      <x:c r="Q167" s="11" t="str"/>
      <x:c r="R167" s="8" t="str">
        <x:v>NOT RUN</x:v>
      </x:c>
      <x:c r="S167" s="11" t="str">
        <x:v>QA/UAT — cần điền URL/build</x:v>
      </x:c>
      <x:c r="T167" s="11" t="str">
        <x:v>Cần điền phiên bản thực</x:v>
      </x:c>
      <x:c r="U167" s="11" t="str"/>
      <x:c r="V167" s="12" t="str"/>
      <x:c r="W167" s="11" t="str"/>
      <x:c r="X167" s="11" t="str"/>
      <x:c r="Y167" s="3" t="str">
        <x:v>Nguồn: frontend/src/app; admin/src/app/styles.css. Đánh giá khả dụng theo yêu cầu người dùng; ngưỡng WCAG chính thức vẫn cần phê duyệt.</x:v>
      </x:c>
    </x:row>
    <x:row r="168" ht="49" customHeight="1">
      <x:c r="A168" s="3" t="n">
        <x:v>167</x:v>
      </x:c>
      <x:c r="B168" s="3" t="str">
        <x:v>TC_UI_128</x:v>
      </x:c>
      <x:c r="C168" s="3" t="str">
        <x:v>UI</x:v>
      </x:c>
      <x:c r="D168" s="3" t="str">
        <x:v>Responsive Nhân sự</x:v>
      </x:c>
      <x:c r="E168" s="3" t="str">
        <x:v>Responsive Nhân sự</x:v>
      </x:c>
      <x:c r="F168" s="3" t="str">
        <x:v>Responsive — Nhân sự tại 1920px</x:v>
      </x:c>
      <x:c r="G168" s="3" t="str">
        <x:v>Nhân sự tại 1920px</x:v>
      </x:c>
      <x:c r="H168" s="3" t="str">
        <x:v>NFR-003</x:v>
      </x:c>
      <x:c r="I168" s="3" t="str">
        <x:v>QTV có quyền tương ứng</x:v>
      </x:c>
      <x:c r="J168" s="3" t="str">
        <x:v>Responsive</x:v>
      </x:c>
      <x:c r="K168" s="3" t="str">
        <x:v>Medium</x:v>
      </x:c>
      <x:c r="L168" s="3" t="str">
        <x:v>Medium</x:v>
      </x:c>
      <x:c r="M168" s="3" t="str">
        <x:v>Môi trường QA cô lập, DB/MinIO sẵn sàng; dữ liệu fixture đã tạo. Đăng nhập tài khoản ACTIVE, mustChangePassword=false.</x:v>
      </x:c>
      <x:c r="N168" s="3" t="str">
        <x:v>Viewport 1920×900 CSS px; fixture có tên/tiêu đề dài và tiếng Việt.</x:v>
      </x:c>
      <x:c r="O168" s="3" t="str">
        <x:v>1. Mở /admin/users; viewport 1920×900 CSS px, zoom100%
2. Cuộn hết trang và mở tương tác chính
3. Đo scrollWidth so clientWidth và chụp màn hình</x:v>
      </x:c>
      <x:c r="P168" s="3" t="str">
        <x:v>Không tràn ngang toàn trang; chữ/nút không chồng hoặc bị cắt; nội dung/ảnh không mất; bảng rộng cuộn trong vùng bảng. Menu và CTA chính thao tác được.</x:v>
      </x:c>
      <x:c r="Q168" s="11" t="str"/>
      <x:c r="R168" s="8" t="str">
        <x:v>NOT RUN</x:v>
      </x:c>
      <x:c r="S168" s="11" t="str">
        <x:v>QA/UAT — cần điền URL/build</x:v>
      </x:c>
      <x:c r="T168" s="11" t="str">
        <x:v>Cần điền phiên bản thực</x:v>
      </x:c>
      <x:c r="U168" s="11" t="str"/>
      <x:c r="V168" s="12" t="str"/>
      <x:c r="W168" s="11" t="str"/>
      <x:c r="X168" s="11" t="str"/>
      <x:c r="Y168" s="3" t="str">
        <x:v>Nguồn: frontend/src/app; admin/src/app/styles.css. Đánh giá khả dụng theo yêu cầu người dùng; ngưỡng WCAG chính thức vẫn cần phê duyệt.</x:v>
      </x:c>
    </x:row>
    <x:row r="169" ht="49" customHeight="1">
      <x:c r="A169" s="3" t="n">
        <x:v>168</x:v>
      </x:c>
      <x:c r="B169" s="3" t="str">
        <x:v>TC_UI_129</x:v>
      </x:c>
      <x:c r="C169" s="3" t="str">
        <x:v>UI</x:v>
      </x:c>
      <x:c r="D169" s="3" t="str">
        <x:v>Responsive Hồ sơ</x:v>
      </x:c>
      <x:c r="E169" s="3" t="str">
        <x:v>Responsive Hồ sơ</x:v>
      </x:c>
      <x:c r="F169" s="3" t="str">
        <x:v>Responsive — Hồ sơ tại 320px</x:v>
      </x:c>
      <x:c r="G169" s="3" t="str">
        <x:v>Hồ sơ tại 320px</x:v>
      </x:c>
      <x:c r="H169" s="3" t="str">
        <x:v>NFR-003</x:v>
      </x:c>
      <x:c r="I169" s="3" t="str">
        <x:v>QTV có quyền tương ứng</x:v>
      </x:c>
      <x:c r="J169" s="3" t="str">
        <x:v>Responsive</x:v>
      </x:c>
      <x:c r="K169" s="3" t="str">
        <x:v>High</x:v>
      </x:c>
      <x:c r="L169" s="3" t="str">
        <x:v>High</x:v>
      </x:c>
      <x:c r="M169" s="3" t="str">
        <x:v>Môi trường QA cô lập, DB/MinIO sẵn sàng; dữ liệu fixture đã tạo. Đăng nhập tài khoản ACTIVE, mustChangePassword=false.</x:v>
      </x:c>
      <x:c r="N169" s="3" t="str">
        <x:v>Viewport 320×900 CSS px; fixture có tên/tiêu đề dài và tiếng Việt.</x:v>
      </x:c>
      <x:c r="O169" s="3" t="str">
        <x:v>1. Mở /admin/profile; viewport 320×900 CSS px, zoom100%
2. Cuộn hết trang và mở tương tác chính
3. Đo scrollWidth so clientWidth và chụp màn hình</x:v>
      </x:c>
      <x:c r="P169" s="3" t="str">
        <x:v>Không tràn ngang toàn trang; chữ/nút không chồng hoặc bị cắt; nội dung/ảnh không mất; bảng rộng cuộn trong vùng bảng. Menu và CTA chính thao tác được.</x:v>
      </x:c>
      <x:c r="Q169" s="11" t="str"/>
      <x:c r="R169" s="8" t="str">
        <x:v>NOT RUN</x:v>
      </x:c>
      <x:c r="S169" s="11" t="str">
        <x:v>QA/UAT — cần điền URL/build</x:v>
      </x:c>
      <x:c r="T169" s="11" t="str">
        <x:v>Cần điền phiên bản thực</x:v>
      </x:c>
      <x:c r="U169" s="11" t="str"/>
      <x:c r="V169" s="12" t="str"/>
      <x:c r="W169" s="11" t="str"/>
      <x:c r="X169" s="11" t="str"/>
      <x:c r="Y169" s="3" t="str">
        <x:v>Nguồn: frontend/src/app; admin/src/app/styles.css. Đánh giá khả dụng theo yêu cầu người dùng; ngưỡng WCAG chính thức vẫn cần phê duyệt.</x:v>
      </x:c>
    </x:row>
    <x:row r="170" ht="49" customHeight="1">
      <x:c r="A170" s="3" t="n">
        <x:v>169</x:v>
      </x:c>
      <x:c r="B170" s="3" t="str">
        <x:v>TC_UI_130</x:v>
      </x:c>
      <x:c r="C170" s="3" t="str">
        <x:v>UI</x:v>
      </x:c>
      <x:c r="D170" s="3" t="str">
        <x:v>Responsive Hồ sơ</x:v>
      </x:c>
      <x:c r="E170" s="3" t="str">
        <x:v>Responsive Hồ sơ</x:v>
      </x:c>
      <x:c r="F170" s="3" t="str">
        <x:v>Responsive — Hồ sơ tại 375px</x:v>
      </x:c>
      <x:c r="G170" s="3" t="str">
        <x:v>Hồ sơ tại 375px</x:v>
      </x:c>
      <x:c r="H170" s="3" t="str">
        <x:v>NFR-003</x:v>
      </x:c>
      <x:c r="I170" s="3" t="str">
        <x:v>QTV có quyền tương ứng</x:v>
      </x:c>
      <x:c r="J170" s="3" t="str">
        <x:v>Responsive</x:v>
      </x:c>
      <x:c r="K170" s="3" t="str">
        <x:v>Medium</x:v>
      </x:c>
      <x:c r="L170" s="3" t="str">
        <x:v>Medium</x:v>
      </x:c>
      <x:c r="M170" s="3" t="str">
        <x:v>Môi trường QA cô lập, DB/MinIO sẵn sàng; dữ liệu fixture đã tạo. Đăng nhập tài khoản ACTIVE, mustChangePassword=false.</x:v>
      </x:c>
      <x:c r="N170" s="3" t="str">
        <x:v>Viewport 375×900 CSS px; fixture có tên/tiêu đề dài và tiếng Việt.</x:v>
      </x:c>
      <x:c r="O170" s="3" t="str">
        <x:v>1. Mở /admin/profile; viewport 375×900 CSS px, zoom100%
2. Cuộn hết trang và mở tương tác chính
3. Đo scrollWidth so clientWidth và chụp màn hình</x:v>
      </x:c>
      <x:c r="P170" s="3" t="str">
        <x:v>Không tràn ngang toàn trang; chữ/nút không chồng hoặc bị cắt; nội dung/ảnh không mất; bảng rộng cuộn trong vùng bảng. Menu và CTA chính thao tác được.</x:v>
      </x:c>
      <x:c r="Q170" s="11" t="str"/>
      <x:c r="R170" s="8" t="str">
        <x:v>NOT RUN</x:v>
      </x:c>
      <x:c r="S170" s="11" t="str">
        <x:v>QA/UAT — cần điền URL/build</x:v>
      </x:c>
      <x:c r="T170" s="11" t="str">
        <x:v>Cần điền phiên bản thực</x:v>
      </x:c>
      <x:c r="U170" s="11" t="str"/>
      <x:c r="V170" s="12" t="str"/>
      <x:c r="W170" s="11" t="str"/>
      <x:c r="X170" s="11" t="str"/>
      <x:c r="Y170" s="3" t="str">
        <x:v>Nguồn: frontend/src/app; admin/src/app/styles.css. Đánh giá khả dụng theo yêu cầu người dùng; ngưỡng WCAG chính thức vẫn cần phê duyệt.</x:v>
      </x:c>
    </x:row>
    <x:row r="171" ht="49" customHeight="1">
      <x:c r="A171" s="3" t="n">
        <x:v>170</x:v>
      </x:c>
      <x:c r="B171" s="3" t="str">
        <x:v>TC_UI_131</x:v>
      </x:c>
      <x:c r="C171" s="3" t="str">
        <x:v>UI</x:v>
      </x:c>
      <x:c r="D171" s="3" t="str">
        <x:v>Responsive Hồ sơ</x:v>
      </x:c>
      <x:c r="E171" s="3" t="str">
        <x:v>Responsive Hồ sơ</x:v>
      </x:c>
      <x:c r="F171" s="3" t="str">
        <x:v>Responsive — Hồ sơ tại 390px</x:v>
      </x:c>
      <x:c r="G171" s="3" t="str">
        <x:v>Hồ sơ tại 390px</x:v>
      </x:c>
      <x:c r="H171" s="3" t="str">
        <x:v>NFR-003</x:v>
      </x:c>
      <x:c r="I171" s="3" t="str">
        <x:v>QTV có quyền tương ứng</x:v>
      </x:c>
      <x:c r="J171" s="3" t="str">
        <x:v>Responsive</x:v>
      </x:c>
      <x:c r="K171" s="3" t="str">
        <x:v>Medium</x:v>
      </x:c>
      <x:c r="L171" s="3" t="str">
        <x:v>Medium</x:v>
      </x:c>
      <x:c r="M171" s="3" t="str">
        <x:v>Môi trường QA cô lập, DB/MinIO sẵn sàng; dữ liệu fixture đã tạo. Đăng nhập tài khoản ACTIVE, mustChangePassword=false.</x:v>
      </x:c>
      <x:c r="N171" s="3" t="str">
        <x:v>Viewport 390×900 CSS px; fixture có tên/tiêu đề dài và tiếng Việt.</x:v>
      </x:c>
      <x:c r="O171" s="3" t="str">
        <x:v>1. Mở /admin/profile; viewport 390×900 CSS px, zoom100%
2. Cuộn hết trang và mở tương tác chính
3. Đo scrollWidth so clientWidth và chụp màn hình</x:v>
      </x:c>
      <x:c r="P171" s="3" t="str">
        <x:v>Không tràn ngang toàn trang; chữ/nút không chồng hoặc bị cắt; nội dung/ảnh không mất; bảng rộng cuộn trong vùng bảng. Menu và CTA chính thao tác được.</x:v>
      </x:c>
      <x:c r="Q171" s="11" t="str"/>
      <x:c r="R171" s="8" t="str">
        <x:v>NOT RUN</x:v>
      </x:c>
      <x:c r="S171" s="11" t="str">
        <x:v>QA/UAT — cần điền URL/build</x:v>
      </x:c>
      <x:c r="T171" s="11" t="str">
        <x:v>Cần điền phiên bản thực</x:v>
      </x:c>
      <x:c r="U171" s="11" t="str"/>
      <x:c r="V171" s="12" t="str"/>
      <x:c r="W171" s="11" t="str"/>
      <x:c r="X171" s="11" t="str"/>
      <x:c r="Y171" s="3" t="str">
        <x:v>Nguồn: frontend/src/app; admin/src/app/styles.css. Đánh giá khả dụng theo yêu cầu người dùng; ngưỡng WCAG chính thức vẫn cần phê duyệt.</x:v>
      </x:c>
    </x:row>
    <x:row r="172" ht="49" customHeight="1">
      <x:c r="A172" s="3" t="n">
        <x:v>171</x:v>
      </x:c>
      <x:c r="B172" s="3" t="str">
        <x:v>TC_UI_132</x:v>
      </x:c>
      <x:c r="C172" s="3" t="str">
        <x:v>UI</x:v>
      </x:c>
      <x:c r="D172" s="3" t="str">
        <x:v>Responsive Hồ sơ</x:v>
      </x:c>
      <x:c r="E172" s="3" t="str">
        <x:v>Responsive Hồ sơ</x:v>
      </x:c>
      <x:c r="F172" s="3" t="str">
        <x:v>Responsive — Hồ sơ tại 768px</x:v>
      </x:c>
      <x:c r="G172" s="3" t="str">
        <x:v>Hồ sơ tại 768px</x:v>
      </x:c>
      <x:c r="H172" s="3" t="str">
        <x:v>NFR-003</x:v>
      </x:c>
      <x:c r="I172" s="3" t="str">
        <x:v>QTV có quyền tương ứng</x:v>
      </x:c>
      <x:c r="J172" s="3" t="str">
        <x:v>Responsive</x:v>
      </x:c>
      <x:c r="K172" s="3" t="str">
        <x:v>Medium</x:v>
      </x:c>
      <x:c r="L172" s="3" t="str">
        <x:v>Medium</x:v>
      </x:c>
      <x:c r="M172" s="3" t="str">
        <x:v>Môi trường QA cô lập, DB/MinIO sẵn sàng; dữ liệu fixture đã tạo. Đăng nhập tài khoản ACTIVE, mustChangePassword=false.</x:v>
      </x:c>
      <x:c r="N172" s="3" t="str">
        <x:v>Viewport 768×900 CSS px; fixture có tên/tiêu đề dài và tiếng Việt.</x:v>
      </x:c>
      <x:c r="O172" s="3" t="str">
        <x:v>1. Mở /admin/profile; viewport 768×900 CSS px, zoom100%
2. Cuộn hết trang và mở tương tác chính
3. Đo scrollWidth so clientWidth và chụp màn hình</x:v>
      </x:c>
      <x:c r="P172" s="3" t="str">
        <x:v>Không tràn ngang toàn trang; chữ/nút không chồng hoặc bị cắt; nội dung/ảnh không mất; bảng rộng cuộn trong vùng bảng. Menu và CTA chính thao tác được.</x:v>
      </x:c>
      <x:c r="Q172" s="11" t="str"/>
      <x:c r="R172" s="8" t="str">
        <x:v>NOT RUN</x:v>
      </x:c>
      <x:c r="S172" s="11" t="str">
        <x:v>QA/UAT — cần điền URL/build</x:v>
      </x:c>
      <x:c r="T172" s="11" t="str">
        <x:v>Cần điền phiên bản thực</x:v>
      </x:c>
      <x:c r="U172" s="11" t="str"/>
      <x:c r="V172" s="12" t="str"/>
      <x:c r="W172" s="11" t="str"/>
      <x:c r="X172" s="11" t="str"/>
      <x:c r="Y172" s="3" t="str">
        <x:v>Nguồn: frontend/src/app; admin/src/app/styles.css. Đánh giá khả dụng theo yêu cầu người dùng; ngưỡng WCAG chính thức vẫn cần phê duyệt.</x:v>
      </x:c>
    </x:row>
    <x:row r="173" ht="49" customHeight="1">
      <x:c r="A173" s="3" t="n">
        <x:v>172</x:v>
      </x:c>
      <x:c r="B173" s="3" t="str">
        <x:v>TC_UI_133</x:v>
      </x:c>
      <x:c r="C173" s="3" t="str">
        <x:v>UI</x:v>
      </x:c>
      <x:c r="D173" s="3" t="str">
        <x:v>Responsive Hồ sơ</x:v>
      </x:c>
      <x:c r="E173" s="3" t="str">
        <x:v>Responsive Hồ sơ</x:v>
      </x:c>
      <x:c r="F173" s="3" t="str">
        <x:v>Responsive — Hồ sơ tại 1024px</x:v>
      </x:c>
      <x:c r="G173" s="3" t="str">
        <x:v>Hồ sơ tại 1024px</x:v>
      </x:c>
      <x:c r="H173" s="3" t="str">
        <x:v>NFR-003</x:v>
      </x:c>
      <x:c r="I173" s="3" t="str">
        <x:v>QTV có quyền tương ứng</x:v>
      </x:c>
      <x:c r="J173" s="3" t="str">
        <x:v>Responsive</x:v>
      </x:c>
      <x:c r="K173" s="3" t="str">
        <x:v>Medium</x:v>
      </x:c>
      <x:c r="L173" s="3" t="str">
        <x:v>Medium</x:v>
      </x:c>
      <x:c r="M173" s="3" t="str">
        <x:v>Môi trường QA cô lập, DB/MinIO sẵn sàng; dữ liệu fixture đã tạo. Đăng nhập tài khoản ACTIVE, mustChangePassword=false.</x:v>
      </x:c>
      <x:c r="N173" s="3" t="str">
        <x:v>Viewport 1024×900 CSS px; fixture có tên/tiêu đề dài và tiếng Việt.</x:v>
      </x:c>
      <x:c r="O173" s="3" t="str">
        <x:v>1. Mở /admin/profile; viewport 1024×900 CSS px, zoom100%
2. Cuộn hết trang và mở tương tác chính
3. Đo scrollWidth so clientWidth và chụp màn hình</x:v>
      </x:c>
      <x:c r="P173" s="3" t="str">
        <x:v>Không tràn ngang toàn trang; chữ/nút không chồng hoặc bị cắt; nội dung/ảnh không mất; bảng rộng cuộn trong vùng bảng. Menu và CTA chính thao tác được.</x:v>
      </x:c>
      <x:c r="Q173" s="11" t="str"/>
      <x:c r="R173" s="8" t="str">
        <x:v>NOT RUN</x:v>
      </x:c>
      <x:c r="S173" s="11" t="str">
        <x:v>QA/UAT — cần điền URL/build</x:v>
      </x:c>
      <x:c r="T173" s="11" t="str">
        <x:v>Cần điền phiên bản thực</x:v>
      </x:c>
      <x:c r="U173" s="11" t="str"/>
      <x:c r="V173" s="12" t="str"/>
      <x:c r="W173" s="11" t="str"/>
      <x:c r="X173" s="11" t="str"/>
      <x:c r="Y173" s="3" t="str">
        <x:v>Nguồn: frontend/src/app; admin/src/app/styles.css. Đánh giá khả dụng theo yêu cầu người dùng; ngưỡng WCAG chính thức vẫn cần phê duyệt.</x:v>
      </x:c>
    </x:row>
    <x:row r="174" ht="49" customHeight="1">
      <x:c r="A174" s="3" t="n">
        <x:v>173</x:v>
      </x:c>
      <x:c r="B174" s="3" t="str">
        <x:v>TC_UI_134</x:v>
      </x:c>
      <x:c r="C174" s="3" t="str">
        <x:v>UI</x:v>
      </x:c>
      <x:c r="D174" s="3" t="str">
        <x:v>Responsive Hồ sơ</x:v>
      </x:c>
      <x:c r="E174" s="3" t="str">
        <x:v>Responsive Hồ sơ</x:v>
      </x:c>
      <x:c r="F174" s="3" t="str">
        <x:v>Responsive — Hồ sơ tại 1280px</x:v>
      </x:c>
      <x:c r="G174" s="3" t="str">
        <x:v>Hồ sơ tại 1280px</x:v>
      </x:c>
      <x:c r="H174" s="3" t="str">
        <x:v>NFR-003</x:v>
      </x:c>
      <x:c r="I174" s="3" t="str">
        <x:v>QTV có quyền tương ứng</x:v>
      </x:c>
      <x:c r="J174" s="3" t="str">
        <x:v>Responsive</x:v>
      </x:c>
      <x:c r="K174" s="3" t="str">
        <x:v>Medium</x:v>
      </x:c>
      <x:c r="L174" s="3" t="str">
        <x:v>Medium</x:v>
      </x:c>
      <x:c r="M174" s="3" t="str">
        <x:v>Môi trường QA cô lập, DB/MinIO sẵn sàng; dữ liệu fixture đã tạo. Đăng nhập tài khoản ACTIVE, mustChangePassword=false.</x:v>
      </x:c>
      <x:c r="N174" s="3" t="str">
        <x:v>Viewport 1280×900 CSS px; fixture có tên/tiêu đề dài và tiếng Việt.</x:v>
      </x:c>
      <x:c r="O174" s="3" t="str">
        <x:v>1. Mở /admin/profile; viewport 1280×900 CSS px, zoom100%
2. Cuộn hết trang và mở tương tác chính
3. Đo scrollWidth so clientWidth và chụp màn hình</x:v>
      </x:c>
      <x:c r="P174" s="3" t="str">
        <x:v>Không tràn ngang toàn trang; chữ/nút không chồng hoặc bị cắt; nội dung/ảnh không mất; bảng rộng cuộn trong vùng bảng. Menu và CTA chính thao tác được.</x:v>
      </x:c>
      <x:c r="Q174" s="11" t="str"/>
      <x:c r="R174" s="8" t="str">
        <x:v>NOT RUN</x:v>
      </x:c>
      <x:c r="S174" s="11" t="str">
        <x:v>QA/UAT — cần điền URL/build</x:v>
      </x:c>
      <x:c r="T174" s="11" t="str">
        <x:v>Cần điền phiên bản thực</x:v>
      </x:c>
      <x:c r="U174" s="11" t="str"/>
      <x:c r="V174" s="12" t="str"/>
      <x:c r="W174" s="11" t="str"/>
      <x:c r="X174" s="11" t="str"/>
      <x:c r="Y174" s="3" t="str">
        <x:v>Nguồn: frontend/src/app; admin/src/app/styles.css. Đánh giá khả dụng theo yêu cầu người dùng; ngưỡng WCAG chính thức vẫn cần phê duyệt.</x:v>
      </x:c>
    </x:row>
    <x:row r="175" ht="49" customHeight="1">
      <x:c r="A175" s="3" t="n">
        <x:v>174</x:v>
      </x:c>
      <x:c r="B175" s="3" t="str">
        <x:v>TC_UI_135</x:v>
      </x:c>
      <x:c r="C175" s="3" t="str">
        <x:v>UI</x:v>
      </x:c>
      <x:c r="D175" s="3" t="str">
        <x:v>Responsive Hồ sơ</x:v>
      </x:c>
      <x:c r="E175" s="3" t="str">
        <x:v>Responsive Hồ sơ</x:v>
      </x:c>
      <x:c r="F175" s="3" t="str">
        <x:v>Responsive — Hồ sơ tại 1440px</x:v>
      </x:c>
      <x:c r="G175" s="3" t="str">
        <x:v>Hồ sơ tại 1440px</x:v>
      </x:c>
      <x:c r="H175" s="3" t="str">
        <x:v>NFR-003</x:v>
      </x:c>
      <x:c r="I175" s="3" t="str">
        <x:v>QTV có quyền tương ứng</x:v>
      </x:c>
      <x:c r="J175" s="3" t="str">
        <x:v>Responsive</x:v>
      </x:c>
      <x:c r="K175" s="3" t="str">
        <x:v>Medium</x:v>
      </x:c>
      <x:c r="L175" s="3" t="str">
        <x:v>Medium</x:v>
      </x:c>
      <x:c r="M175" s="3" t="str">
        <x:v>Môi trường QA cô lập, DB/MinIO sẵn sàng; dữ liệu fixture đã tạo. Đăng nhập tài khoản ACTIVE, mustChangePassword=false.</x:v>
      </x:c>
      <x:c r="N175" s="3" t="str">
        <x:v>Viewport 1440×900 CSS px; fixture có tên/tiêu đề dài và tiếng Việt.</x:v>
      </x:c>
      <x:c r="O175" s="3" t="str">
        <x:v>1. Mở /admin/profile; viewport 1440×900 CSS px, zoom100%
2. Cuộn hết trang và mở tương tác chính
3. Đo scrollWidth so clientWidth và chụp màn hình</x:v>
      </x:c>
      <x:c r="P175" s="3" t="str">
        <x:v>Không tràn ngang toàn trang; chữ/nút không chồng hoặc bị cắt; nội dung/ảnh không mất; bảng rộng cuộn trong vùng bảng. Menu và CTA chính thao tác được.</x:v>
      </x:c>
      <x:c r="Q175" s="11" t="str"/>
      <x:c r="R175" s="8" t="str">
        <x:v>NOT RUN</x:v>
      </x:c>
      <x:c r="S175" s="11" t="str">
        <x:v>QA/UAT — cần điền URL/build</x:v>
      </x:c>
      <x:c r="T175" s="11" t="str">
        <x:v>Cần điền phiên bản thực</x:v>
      </x:c>
      <x:c r="U175" s="11" t="str"/>
      <x:c r="V175" s="12" t="str"/>
      <x:c r="W175" s="11" t="str"/>
      <x:c r="X175" s="11" t="str"/>
      <x:c r="Y175" s="3" t="str">
        <x:v>Nguồn: frontend/src/app; admin/src/app/styles.css. Đánh giá khả dụng theo yêu cầu người dùng; ngưỡng WCAG chính thức vẫn cần phê duyệt.</x:v>
      </x:c>
    </x:row>
    <x:row r="176" ht="49" customHeight="1">
      <x:c r="A176" s="3" t="n">
        <x:v>175</x:v>
      </x:c>
      <x:c r="B176" s="3" t="str">
        <x:v>TC_UI_136</x:v>
      </x:c>
      <x:c r="C176" s="3" t="str">
        <x:v>UI</x:v>
      </x:c>
      <x:c r="D176" s="3" t="str">
        <x:v>Responsive Hồ sơ</x:v>
      </x:c>
      <x:c r="E176" s="3" t="str">
        <x:v>Responsive Hồ sơ</x:v>
      </x:c>
      <x:c r="F176" s="3" t="str">
        <x:v>Responsive — Hồ sơ tại 1920px</x:v>
      </x:c>
      <x:c r="G176" s="3" t="str">
        <x:v>Hồ sơ tại 1920px</x:v>
      </x:c>
      <x:c r="H176" s="3" t="str">
        <x:v>NFR-003</x:v>
      </x:c>
      <x:c r="I176" s="3" t="str">
        <x:v>QTV có quyền tương ứng</x:v>
      </x:c>
      <x:c r="J176" s="3" t="str">
        <x:v>Responsive</x:v>
      </x:c>
      <x:c r="K176" s="3" t="str">
        <x:v>Medium</x:v>
      </x:c>
      <x:c r="L176" s="3" t="str">
        <x:v>Medium</x:v>
      </x:c>
      <x:c r="M176" s="3" t="str">
        <x:v>Môi trường QA cô lập, DB/MinIO sẵn sàng; dữ liệu fixture đã tạo. Đăng nhập tài khoản ACTIVE, mustChangePassword=false.</x:v>
      </x:c>
      <x:c r="N176" s="3" t="str">
        <x:v>Viewport 1920×900 CSS px; fixture có tên/tiêu đề dài và tiếng Việt.</x:v>
      </x:c>
      <x:c r="O176" s="3" t="str">
        <x:v>1. Mở /admin/profile; viewport 1920×900 CSS px, zoom100%
2. Cuộn hết trang và mở tương tác chính
3. Đo scrollWidth so clientWidth và chụp màn hình</x:v>
      </x:c>
      <x:c r="P176" s="3" t="str">
        <x:v>Không tràn ngang toàn trang; chữ/nút không chồng hoặc bị cắt; nội dung/ảnh không mất; bảng rộng cuộn trong vùng bảng. Menu và CTA chính thao tác được.</x:v>
      </x:c>
      <x:c r="Q176" s="11" t="str"/>
      <x:c r="R176" s="8" t="str">
        <x:v>NOT RUN</x:v>
      </x:c>
      <x:c r="S176" s="11" t="str">
        <x:v>QA/UAT — cần điền URL/build</x:v>
      </x:c>
      <x:c r="T176" s="11" t="str">
        <x:v>Cần điền phiên bản thực</x:v>
      </x:c>
      <x:c r="U176" s="11" t="str"/>
      <x:c r="V176" s="12" t="str"/>
      <x:c r="W176" s="11" t="str"/>
      <x:c r="X176" s="11" t="str"/>
      <x:c r="Y176" s="3" t="str">
        <x:v>Nguồn: frontend/src/app; admin/src/app/styles.css. Đánh giá khả dụng theo yêu cầu người dùng; ngưỡng WCAG chính thức vẫn cần phê duyệt.</x:v>
      </x:c>
    </x:row>
    <x:row r="177" ht="49" customHeight="1">
      <x:c r="A177" s="3" t="n">
        <x:v>176</x:v>
      </x:c>
      <x:c r="B177" s="3" t="str">
        <x:v>TC_UI_137</x:v>
      </x:c>
      <x:c r="C177" s="3" t="str">
        <x:v>UI</x:v>
      </x:c>
      <x:c r="D177" s="3" t="str">
        <x:v>Responsive Biên tập tin</x:v>
      </x:c>
      <x:c r="E177" s="3" t="str">
        <x:v>Responsive Biên tập tin</x:v>
      </x:c>
      <x:c r="F177" s="3" t="str">
        <x:v>Responsive — Biên tập tin tại 320px</x:v>
      </x:c>
      <x:c r="G177" s="3" t="str">
        <x:v>Biên tập tin tại 320px</x:v>
      </x:c>
      <x:c r="H177" s="3" t="str">
        <x:v>NFR-003</x:v>
      </x:c>
      <x:c r="I177" s="3" t="str">
        <x:v>QTV có quyền tương ứng</x:v>
      </x:c>
      <x:c r="J177" s="3" t="str">
        <x:v>Responsive</x:v>
      </x:c>
      <x:c r="K177" s="3" t="str">
        <x:v>High</x:v>
      </x:c>
      <x:c r="L177" s="3" t="str">
        <x:v>High</x:v>
      </x:c>
      <x:c r="M177" s="3" t="str">
        <x:v>Môi trường QA cô lập, DB/MinIO sẵn sàng; dữ liệu fixture đã tạo. Đăng nhập tài khoản ACTIVE, mustChangePassword=false.</x:v>
      </x:c>
      <x:c r="N177" s="3" t="str">
        <x:v>Viewport 320×900 CSS px; fixture có tên/tiêu đề dài và tiếng Việt.</x:v>
      </x:c>
      <x:c r="O177" s="3" t="str">
        <x:v>1. Mở /admin/news; viewport 320×900 CSS px, zoom100%
2. Cuộn hết trang và mở tương tác chính
3. Đo scrollWidth so clientWidth và chụp màn hình</x:v>
      </x:c>
      <x:c r="P177" s="3" t="str">
        <x:v>Không tràn ngang toàn trang; chữ/nút không chồng hoặc bị cắt; nội dung/ảnh không mất; bảng rộng cuộn trong vùng bảng. Menu và CTA chính thao tác được.</x:v>
      </x:c>
      <x:c r="Q177" s="11" t="str"/>
      <x:c r="R177" s="8" t="str">
        <x:v>NOT RUN</x:v>
      </x:c>
      <x:c r="S177" s="11" t="str">
        <x:v>QA/UAT — cần điền URL/build</x:v>
      </x:c>
      <x:c r="T177" s="11" t="str">
        <x:v>Cần điền phiên bản thực</x:v>
      </x:c>
      <x:c r="U177" s="11" t="str"/>
      <x:c r="V177" s="12" t="str"/>
      <x:c r="W177" s="11" t="str"/>
      <x:c r="X177" s="11" t="str"/>
      <x:c r="Y177" s="3" t="str">
        <x:v>Nguồn: frontend/src/app; admin/src/app/styles.css. Đánh giá khả dụng theo yêu cầu người dùng; ngưỡng WCAG chính thức vẫn cần phê duyệt.</x:v>
      </x:c>
    </x:row>
    <x:row r="178" ht="49" customHeight="1">
      <x:c r="A178" s="3" t="n">
        <x:v>177</x:v>
      </x:c>
      <x:c r="B178" s="3" t="str">
        <x:v>TC_UI_138</x:v>
      </x:c>
      <x:c r="C178" s="3" t="str">
        <x:v>UI</x:v>
      </x:c>
      <x:c r="D178" s="3" t="str">
        <x:v>Responsive Biên tập tin</x:v>
      </x:c>
      <x:c r="E178" s="3" t="str">
        <x:v>Responsive Biên tập tin</x:v>
      </x:c>
      <x:c r="F178" s="3" t="str">
        <x:v>Responsive — Biên tập tin tại 375px</x:v>
      </x:c>
      <x:c r="G178" s="3" t="str">
        <x:v>Biên tập tin tại 375px</x:v>
      </x:c>
      <x:c r="H178" s="3" t="str">
        <x:v>NFR-003</x:v>
      </x:c>
      <x:c r="I178" s="3" t="str">
        <x:v>QTV có quyền tương ứng</x:v>
      </x:c>
      <x:c r="J178" s="3" t="str">
        <x:v>Responsive</x:v>
      </x:c>
      <x:c r="K178" s="3" t="str">
        <x:v>Medium</x:v>
      </x:c>
      <x:c r="L178" s="3" t="str">
        <x:v>Medium</x:v>
      </x:c>
      <x:c r="M178" s="3" t="str">
        <x:v>Môi trường QA cô lập, DB/MinIO sẵn sàng; dữ liệu fixture đã tạo. Đăng nhập tài khoản ACTIVE, mustChangePassword=false.</x:v>
      </x:c>
      <x:c r="N178" s="3" t="str">
        <x:v>Viewport 375×900 CSS px; fixture có tên/tiêu đề dài và tiếng Việt.</x:v>
      </x:c>
      <x:c r="O178" s="3" t="str">
        <x:v>1. Mở /admin/news; viewport 375×900 CSS px, zoom100%
2. Cuộn hết trang và mở tương tác chính
3. Đo scrollWidth so clientWidth và chụp màn hình</x:v>
      </x:c>
      <x:c r="P178" s="3" t="str">
        <x:v>Không tràn ngang toàn trang; chữ/nút không chồng hoặc bị cắt; nội dung/ảnh không mất; bảng rộng cuộn trong vùng bảng. Menu và CTA chính thao tác được.</x:v>
      </x:c>
      <x:c r="Q178" s="11" t="str"/>
      <x:c r="R178" s="8" t="str">
        <x:v>NOT RUN</x:v>
      </x:c>
      <x:c r="S178" s="11" t="str">
        <x:v>QA/UAT — cần điền URL/build</x:v>
      </x:c>
      <x:c r="T178" s="11" t="str">
        <x:v>Cần điền phiên bản thực</x:v>
      </x:c>
      <x:c r="U178" s="11" t="str"/>
      <x:c r="V178" s="12" t="str"/>
      <x:c r="W178" s="11" t="str"/>
      <x:c r="X178" s="11" t="str"/>
      <x:c r="Y178" s="3" t="str">
        <x:v>Nguồn: frontend/src/app; admin/src/app/styles.css. Đánh giá khả dụng theo yêu cầu người dùng; ngưỡng WCAG chính thức vẫn cần phê duyệt.</x:v>
      </x:c>
    </x:row>
    <x:row r="179" ht="49" customHeight="1">
      <x:c r="A179" s="3" t="n">
        <x:v>178</x:v>
      </x:c>
      <x:c r="B179" s="3" t="str">
        <x:v>TC_UI_139</x:v>
      </x:c>
      <x:c r="C179" s="3" t="str">
        <x:v>UI</x:v>
      </x:c>
      <x:c r="D179" s="3" t="str">
        <x:v>Responsive Biên tập tin</x:v>
      </x:c>
      <x:c r="E179" s="3" t="str">
        <x:v>Responsive Biên tập tin</x:v>
      </x:c>
      <x:c r="F179" s="3" t="str">
        <x:v>Responsive — Biên tập tin tại 390px</x:v>
      </x:c>
      <x:c r="G179" s="3" t="str">
        <x:v>Biên tập tin tại 390px</x:v>
      </x:c>
      <x:c r="H179" s="3" t="str">
        <x:v>NFR-003</x:v>
      </x:c>
      <x:c r="I179" s="3" t="str">
        <x:v>QTV có quyền tương ứng</x:v>
      </x:c>
      <x:c r="J179" s="3" t="str">
        <x:v>Responsive</x:v>
      </x:c>
      <x:c r="K179" s="3" t="str">
        <x:v>Medium</x:v>
      </x:c>
      <x:c r="L179" s="3" t="str">
        <x:v>Medium</x:v>
      </x:c>
      <x:c r="M179" s="3" t="str">
        <x:v>Môi trường QA cô lập, DB/MinIO sẵn sàng; dữ liệu fixture đã tạo. Đăng nhập tài khoản ACTIVE, mustChangePassword=false.</x:v>
      </x:c>
      <x:c r="N179" s="3" t="str">
        <x:v>Viewport 390×900 CSS px; fixture có tên/tiêu đề dài và tiếng Việt.</x:v>
      </x:c>
      <x:c r="O179" s="3" t="str">
        <x:v>1. Mở /admin/news; viewport 390×900 CSS px, zoom100%
2. Cuộn hết trang và mở tương tác chính
3. Đo scrollWidth so clientWidth và chụp màn hình</x:v>
      </x:c>
      <x:c r="P179" s="3" t="str">
        <x:v>Không tràn ngang toàn trang; chữ/nút không chồng hoặc bị cắt; nội dung/ảnh không mất; bảng rộng cuộn trong vùng bảng. Menu và CTA chính thao tác được.</x:v>
      </x:c>
      <x:c r="Q179" s="11" t="str"/>
      <x:c r="R179" s="8" t="str">
        <x:v>NOT RUN</x:v>
      </x:c>
      <x:c r="S179" s="11" t="str">
        <x:v>QA/UAT — cần điền URL/build</x:v>
      </x:c>
      <x:c r="T179" s="11" t="str">
        <x:v>Cần điền phiên bản thực</x:v>
      </x:c>
      <x:c r="U179" s="11" t="str"/>
      <x:c r="V179" s="12" t="str"/>
      <x:c r="W179" s="11" t="str"/>
      <x:c r="X179" s="11" t="str"/>
      <x:c r="Y179" s="3" t="str">
        <x:v>Nguồn: frontend/src/app; admin/src/app/styles.css. Đánh giá khả dụng theo yêu cầu người dùng; ngưỡng WCAG chính thức vẫn cần phê duyệt.</x:v>
      </x:c>
    </x:row>
    <x:row r="180" ht="49" customHeight="1">
      <x:c r="A180" s="3" t="n">
        <x:v>179</x:v>
      </x:c>
      <x:c r="B180" s="3" t="str">
        <x:v>TC_UI_140</x:v>
      </x:c>
      <x:c r="C180" s="3" t="str">
        <x:v>UI</x:v>
      </x:c>
      <x:c r="D180" s="3" t="str">
        <x:v>Responsive Biên tập tin</x:v>
      </x:c>
      <x:c r="E180" s="3" t="str">
        <x:v>Responsive Biên tập tin</x:v>
      </x:c>
      <x:c r="F180" s="3" t="str">
        <x:v>Responsive — Biên tập tin tại 768px</x:v>
      </x:c>
      <x:c r="G180" s="3" t="str">
        <x:v>Biên tập tin tại 768px</x:v>
      </x:c>
      <x:c r="H180" s="3" t="str">
        <x:v>NFR-003</x:v>
      </x:c>
      <x:c r="I180" s="3" t="str">
        <x:v>QTV có quyền tương ứng</x:v>
      </x:c>
      <x:c r="J180" s="3" t="str">
        <x:v>Responsive</x:v>
      </x:c>
      <x:c r="K180" s="3" t="str">
        <x:v>Medium</x:v>
      </x:c>
      <x:c r="L180" s="3" t="str">
        <x:v>Medium</x:v>
      </x:c>
      <x:c r="M180" s="3" t="str">
        <x:v>Môi trường QA cô lập, DB/MinIO sẵn sàng; dữ liệu fixture đã tạo. Đăng nhập tài khoản ACTIVE, mustChangePassword=false.</x:v>
      </x:c>
      <x:c r="N180" s="3" t="str">
        <x:v>Viewport 768×900 CSS px; fixture có tên/tiêu đề dài và tiếng Việt.</x:v>
      </x:c>
      <x:c r="O180" s="3" t="str">
        <x:v>1. Mở /admin/news; viewport 768×900 CSS px, zoom100%
2. Cuộn hết trang và mở tương tác chính
3. Đo scrollWidth so clientWidth và chụp màn hình</x:v>
      </x:c>
      <x:c r="P180" s="3" t="str">
        <x:v>Không tràn ngang toàn trang; chữ/nút không chồng hoặc bị cắt; nội dung/ảnh không mất; bảng rộng cuộn trong vùng bảng. Menu và CTA chính thao tác được.</x:v>
      </x:c>
      <x:c r="Q180" s="11" t="str"/>
      <x:c r="R180" s="8" t="str">
        <x:v>NOT RUN</x:v>
      </x:c>
      <x:c r="S180" s="11" t="str">
        <x:v>QA/UAT — cần điền URL/build</x:v>
      </x:c>
      <x:c r="T180" s="11" t="str">
        <x:v>Cần điền phiên bản thực</x:v>
      </x:c>
      <x:c r="U180" s="11" t="str"/>
      <x:c r="V180" s="12" t="str"/>
      <x:c r="W180" s="11" t="str"/>
      <x:c r="X180" s="11" t="str"/>
      <x:c r="Y180" s="3" t="str">
        <x:v>Nguồn: frontend/src/app; admin/src/app/styles.css. Đánh giá khả dụng theo yêu cầu người dùng; ngưỡng WCAG chính thức vẫn cần phê duyệt.</x:v>
      </x:c>
    </x:row>
    <x:row r="181" ht="49" customHeight="1">
      <x:c r="A181" s="3" t="n">
        <x:v>180</x:v>
      </x:c>
      <x:c r="B181" s="3" t="str">
        <x:v>TC_UI_141</x:v>
      </x:c>
      <x:c r="C181" s="3" t="str">
        <x:v>UI</x:v>
      </x:c>
      <x:c r="D181" s="3" t="str">
        <x:v>Responsive Biên tập tin</x:v>
      </x:c>
      <x:c r="E181" s="3" t="str">
        <x:v>Responsive Biên tập tin</x:v>
      </x:c>
      <x:c r="F181" s="3" t="str">
        <x:v>Responsive — Biên tập tin tại 1024px</x:v>
      </x:c>
      <x:c r="G181" s="3" t="str">
        <x:v>Biên tập tin tại 1024px</x:v>
      </x:c>
      <x:c r="H181" s="3" t="str">
        <x:v>NFR-003</x:v>
      </x:c>
      <x:c r="I181" s="3" t="str">
        <x:v>QTV có quyền tương ứng</x:v>
      </x:c>
      <x:c r="J181" s="3" t="str">
        <x:v>Responsive</x:v>
      </x:c>
      <x:c r="K181" s="3" t="str">
        <x:v>Medium</x:v>
      </x:c>
      <x:c r="L181" s="3" t="str">
        <x:v>Medium</x:v>
      </x:c>
      <x:c r="M181" s="3" t="str">
        <x:v>Môi trường QA cô lập, DB/MinIO sẵn sàng; dữ liệu fixture đã tạo. Đăng nhập tài khoản ACTIVE, mustChangePassword=false.</x:v>
      </x:c>
      <x:c r="N181" s="3" t="str">
        <x:v>Viewport 1024×900 CSS px; fixture có tên/tiêu đề dài và tiếng Việt.</x:v>
      </x:c>
      <x:c r="O181" s="3" t="str">
        <x:v>1. Mở /admin/news; viewport 1024×900 CSS px, zoom100%
2. Cuộn hết trang và mở tương tác chính
3. Đo scrollWidth so clientWidth và chụp màn hình</x:v>
      </x:c>
      <x:c r="P181" s="3" t="str">
        <x:v>Không tràn ngang toàn trang; chữ/nút không chồng hoặc bị cắt; nội dung/ảnh không mất; bảng rộng cuộn trong vùng bảng. Menu và CTA chính thao tác được.</x:v>
      </x:c>
      <x:c r="Q181" s="11" t="str"/>
      <x:c r="R181" s="8" t="str">
        <x:v>NOT RUN</x:v>
      </x:c>
      <x:c r="S181" s="11" t="str">
        <x:v>QA/UAT — cần điền URL/build</x:v>
      </x:c>
      <x:c r="T181" s="11" t="str">
        <x:v>Cần điền phiên bản thực</x:v>
      </x:c>
      <x:c r="U181" s="11" t="str"/>
      <x:c r="V181" s="12" t="str"/>
      <x:c r="W181" s="11" t="str"/>
      <x:c r="X181" s="11" t="str"/>
      <x:c r="Y181" s="3" t="str">
        <x:v>Nguồn: frontend/src/app; admin/src/app/styles.css. Đánh giá khả dụng theo yêu cầu người dùng; ngưỡng WCAG chính thức vẫn cần phê duyệt.</x:v>
      </x:c>
    </x:row>
    <x:row r="182" ht="49" customHeight="1">
      <x:c r="A182" s="3" t="n">
        <x:v>181</x:v>
      </x:c>
      <x:c r="B182" s="3" t="str">
        <x:v>TC_UI_142</x:v>
      </x:c>
      <x:c r="C182" s="3" t="str">
        <x:v>UI</x:v>
      </x:c>
      <x:c r="D182" s="3" t="str">
        <x:v>Responsive Biên tập tin</x:v>
      </x:c>
      <x:c r="E182" s="3" t="str">
        <x:v>Responsive Biên tập tin</x:v>
      </x:c>
      <x:c r="F182" s="3" t="str">
        <x:v>Responsive — Biên tập tin tại 1280px</x:v>
      </x:c>
      <x:c r="G182" s="3" t="str">
        <x:v>Biên tập tin tại 1280px</x:v>
      </x:c>
      <x:c r="H182" s="3" t="str">
        <x:v>NFR-003</x:v>
      </x:c>
      <x:c r="I182" s="3" t="str">
        <x:v>QTV có quyền tương ứng</x:v>
      </x:c>
      <x:c r="J182" s="3" t="str">
        <x:v>Responsive</x:v>
      </x:c>
      <x:c r="K182" s="3" t="str">
        <x:v>Medium</x:v>
      </x:c>
      <x:c r="L182" s="3" t="str">
        <x:v>Medium</x:v>
      </x:c>
      <x:c r="M182" s="3" t="str">
        <x:v>Môi trường QA cô lập, DB/MinIO sẵn sàng; dữ liệu fixture đã tạo. Đăng nhập tài khoản ACTIVE, mustChangePassword=false.</x:v>
      </x:c>
      <x:c r="N182" s="3" t="str">
        <x:v>Viewport 1280×900 CSS px; fixture có tên/tiêu đề dài và tiếng Việt.</x:v>
      </x:c>
      <x:c r="O182" s="3" t="str">
        <x:v>1. Mở /admin/news; viewport 1280×900 CSS px, zoom100%
2. Cuộn hết trang và mở tương tác chính
3. Đo scrollWidth so clientWidth và chụp màn hình</x:v>
      </x:c>
      <x:c r="P182" s="3" t="str">
        <x:v>Không tràn ngang toàn trang; chữ/nút không chồng hoặc bị cắt; nội dung/ảnh không mất; bảng rộng cuộn trong vùng bảng. Menu và CTA chính thao tác được.</x:v>
      </x:c>
      <x:c r="Q182" s="11" t="str"/>
      <x:c r="R182" s="8" t="str">
        <x:v>NOT RUN</x:v>
      </x:c>
      <x:c r="S182" s="11" t="str">
        <x:v>QA/UAT — cần điền URL/build</x:v>
      </x:c>
      <x:c r="T182" s="11" t="str">
        <x:v>Cần điền phiên bản thực</x:v>
      </x:c>
      <x:c r="U182" s="11" t="str"/>
      <x:c r="V182" s="12" t="str"/>
      <x:c r="W182" s="11" t="str"/>
      <x:c r="X182" s="11" t="str"/>
      <x:c r="Y182" s="3" t="str">
        <x:v>Nguồn: frontend/src/app; admin/src/app/styles.css. Đánh giá khả dụng theo yêu cầu người dùng; ngưỡng WCAG chính thức vẫn cần phê duyệt.</x:v>
      </x:c>
    </x:row>
    <x:row r="183" ht="49" customHeight="1">
      <x:c r="A183" s="3" t="n">
        <x:v>182</x:v>
      </x:c>
      <x:c r="B183" s="3" t="str">
        <x:v>TC_UI_143</x:v>
      </x:c>
      <x:c r="C183" s="3" t="str">
        <x:v>UI</x:v>
      </x:c>
      <x:c r="D183" s="3" t="str">
        <x:v>Responsive Biên tập tin</x:v>
      </x:c>
      <x:c r="E183" s="3" t="str">
        <x:v>Responsive Biên tập tin</x:v>
      </x:c>
      <x:c r="F183" s="3" t="str">
        <x:v>Responsive — Biên tập tin tại 1440px</x:v>
      </x:c>
      <x:c r="G183" s="3" t="str">
        <x:v>Biên tập tin tại 1440px</x:v>
      </x:c>
      <x:c r="H183" s="3" t="str">
        <x:v>NFR-003</x:v>
      </x:c>
      <x:c r="I183" s="3" t="str">
        <x:v>QTV có quyền tương ứng</x:v>
      </x:c>
      <x:c r="J183" s="3" t="str">
        <x:v>Responsive</x:v>
      </x:c>
      <x:c r="K183" s="3" t="str">
        <x:v>Medium</x:v>
      </x:c>
      <x:c r="L183" s="3" t="str">
        <x:v>Medium</x:v>
      </x:c>
      <x:c r="M183" s="3" t="str">
        <x:v>Môi trường QA cô lập, DB/MinIO sẵn sàng; dữ liệu fixture đã tạo. Đăng nhập tài khoản ACTIVE, mustChangePassword=false.</x:v>
      </x:c>
      <x:c r="N183" s="3" t="str">
        <x:v>Viewport 1440×900 CSS px; fixture có tên/tiêu đề dài và tiếng Việt.</x:v>
      </x:c>
      <x:c r="O183" s="3" t="str">
        <x:v>1. Mở /admin/news; viewport 1440×900 CSS px, zoom100%
2. Cuộn hết trang và mở tương tác chính
3. Đo scrollWidth so clientWidth và chụp màn hình</x:v>
      </x:c>
      <x:c r="P183" s="3" t="str">
        <x:v>Không tràn ngang toàn trang; chữ/nút không chồng hoặc bị cắt; nội dung/ảnh không mất; bảng rộng cuộn trong vùng bảng. Menu và CTA chính thao tác được.</x:v>
      </x:c>
      <x:c r="Q183" s="11" t="str"/>
      <x:c r="R183" s="8" t="str">
        <x:v>NOT RUN</x:v>
      </x:c>
      <x:c r="S183" s="11" t="str">
        <x:v>QA/UAT — cần điền URL/build</x:v>
      </x:c>
      <x:c r="T183" s="11" t="str">
        <x:v>Cần điền phiên bản thực</x:v>
      </x:c>
      <x:c r="U183" s="11" t="str"/>
      <x:c r="V183" s="12" t="str"/>
      <x:c r="W183" s="11" t="str"/>
      <x:c r="X183" s="11" t="str"/>
      <x:c r="Y183" s="3" t="str">
        <x:v>Nguồn: frontend/src/app; admin/src/app/styles.css. Đánh giá khả dụng theo yêu cầu người dùng; ngưỡng WCAG chính thức vẫn cần phê duyệt.</x:v>
      </x:c>
    </x:row>
    <x:row r="184" ht="49" customHeight="1">
      <x:c r="A184" s="3" t="n">
        <x:v>183</x:v>
      </x:c>
      <x:c r="B184" s="3" t="str">
        <x:v>TC_UI_144</x:v>
      </x:c>
      <x:c r="C184" s="3" t="str">
        <x:v>UI</x:v>
      </x:c>
      <x:c r="D184" s="3" t="str">
        <x:v>Responsive Biên tập tin</x:v>
      </x:c>
      <x:c r="E184" s="3" t="str">
        <x:v>Responsive Biên tập tin</x:v>
      </x:c>
      <x:c r="F184" s="3" t="str">
        <x:v>Responsive — Biên tập tin tại 1920px</x:v>
      </x:c>
      <x:c r="G184" s="3" t="str">
        <x:v>Biên tập tin tại 1920px</x:v>
      </x:c>
      <x:c r="H184" s="3" t="str">
        <x:v>NFR-003</x:v>
      </x:c>
      <x:c r="I184" s="3" t="str">
        <x:v>QTV có quyền tương ứng</x:v>
      </x:c>
      <x:c r="J184" s="3" t="str">
        <x:v>Responsive</x:v>
      </x:c>
      <x:c r="K184" s="3" t="str">
        <x:v>Medium</x:v>
      </x:c>
      <x:c r="L184" s="3" t="str">
        <x:v>Medium</x:v>
      </x:c>
      <x:c r="M184" s="3" t="str">
        <x:v>Môi trường QA cô lập, DB/MinIO sẵn sàng; dữ liệu fixture đã tạo. Đăng nhập tài khoản ACTIVE, mustChangePassword=false.</x:v>
      </x:c>
      <x:c r="N184" s="3" t="str">
        <x:v>Viewport 1920×900 CSS px; fixture có tên/tiêu đề dài và tiếng Việt.</x:v>
      </x:c>
      <x:c r="O184" s="3" t="str">
        <x:v>1. Mở /admin/news; viewport 1920×900 CSS px, zoom100%
2. Cuộn hết trang và mở tương tác chính
3. Đo scrollWidth so clientWidth và chụp màn hình</x:v>
      </x:c>
      <x:c r="P184" s="3" t="str">
        <x:v>Không tràn ngang toàn trang; chữ/nút không chồng hoặc bị cắt; nội dung/ảnh không mất; bảng rộng cuộn trong vùng bảng. Menu và CTA chính thao tác được.</x:v>
      </x:c>
      <x:c r="Q184" s="11" t="str"/>
      <x:c r="R184" s="8" t="str">
        <x:v>NOT RUN</x:v>
      </x:c>
      <x:c r="S184" s="11" t="str">
        <x:v>QA/UAT — cần điền URL/build</x:v>
      </x:c>
      <x:c r="T184" s="11" t="str">
        <x:v>Cần điền phiên bản thực</x:v>
      </x:c>
      <x:c r="U184" s="11" t="str"/>
      <x:c r="V184" s="12" t="str"/>
      <x:c r="W184" s="11" t="str"/>
      <x:c r="X184" s="11" t="str"/>
      <x:c r="Y184" s="3" t="str">
        <x:v>Nguồn: frontend/src/app; admin/src/app/styles.css. Đánh giá khả dụng theo yêu cầu người dùng; ngưỡng WCAG chính thức vẫn cần phê duyệt.</x:v>
      </x:c>
    </x:row>
    <x:row r="185" ht="49" customHeight="1">
      <x:c r="A185" s="3" t="n">
        <x:v>184</x:v>
      </x:c>
      <x:c r="B185" s="3" t="str">
        <x:v>TC_UI_145</x:v>
      </x:c>
      <x:c r="C185" s="3" t="str">
        <x:v>UI</x:v>
      </x:c>
      <x:c r="D185" s="3" t="str">
        <x:v>Responsive Quản lý tài nguyên</x:v>
      </x:c>
      <x:c r="E185" s="3" t="str">
        <x:v>Responsive Quản lý tài nguyên</x:v>
      </x:c>
      <x:c r="F185" s="3" t="str">
        <x:v>Responsive — Quản lý tài nguyên tại 320px</x:v>
      </x:c>
      <x:c r="G185" s="3" t="str">
        <x:v>Quản lý tài nguyên tại 320px</x:v>
      </x:c>
      <x:c r="H185" s="3" t="str">
        <x:v>NFR-003</x:v>
      </x:c>
      <x:c r="I185" s="3" t="str">
        <x:v>QTV có quyền tương ứng</x:v>
      </x:c>
      <x:c r="J185" s="3" t="str">
        <x:v>Responsive</x:v>
      </x:c>
      <x:c r="K185" s="3" t="str">
        <x:v>High</x:v>
      </x:c>
      <x:c r="L185" s="3" t="str">
        <x:v>High</x:v>
      </x:c>
      <x:c r="M185" s="3" t="str">
        <x:v>Môi trường QA cô lập, DB/MinIO sẵn sàng; dữ liệu fixture đã tạo. Đăng nhập tài khoản ACTIVE, mustChangePassword=false.</x:v>
      </x:c>
      <x:c r="N185" s="3" t="str">
        <x:v>Viewport 320×900 CSS px; fixture có tên/tiêu đề dài và tiếng Việt.</x:v>
      </x:c>
      <x:c r="O185" s="3" t="str">
        <x:v>1. Mở /admin/resources; viewport 320×900 CSS px, zoom100%
2. Cuộn hết trang và mở tương tác chính
3. Đo scrollWidth so clientWidth và chụp màn hình</x:v>
      </x:c>
      <x:c r="P185" s="3" t="str">
        <x:v>Không tràn ngang toàn trang; chữ/nút không chồng hoặc bị cắt; nội dung/ảnh không mất; bảng rộng cuộn trong vùng bảng. Menu và CTA chính thao tác được.</x:v>
      </x:c>
      <x:c r="Q185" s="11" t="str"/>
      <x:c r="R185" s="8" t="str">
        <x:v>NOT RUN</x:v>
      </x:c>
      <x:c r="S185" s="11" t="str">
        <x:v>QA/UAT — cần điền URL/build</x:v>
      </x:c>
      <x:c r="T185" s="11" t="str">
        <x:v>Cần điền phiên bản thực</x:v>
      </x:c>
      <x:c r="U185" s="11" t="str"/>
      <x:c r="V185" s="12" t="str"/>
      <x:c r="W185" s="11" t="str"/>
      <x:c r="X185" s="11" t="str"/>
      <x:c r="Y185" s="3" t="str">
        <x:v>Nguồn: frontend/src/app; admin/src/app/styles.css. Đánh giá khả dụng theo yêu cầu người dùng; ngưỡng WCAG chính thức vẫn cần phê duyệt.</x:v>
      </x:c>
    </x:row>
    <x:row r="186" ht="49" customHeight="1">
      <x:c r="A186" s="3" t="n">
        <x:v>185</x:v>
      </x:c>
      <x:c r="B186" s="3" t="str">
        <x:v>TC_UI_146</x:v>
      </x:c>
      <x:c r="C186" s="3" t="str">
        <x:v>UI</x:v>
      </x:c>
      <x:c r="D186" s="3" t="str">
        <x:v>Responsive Quản lý tài nguyên</x:v>
      </x:c>
      <x:c r="E186" s="3" t="str">
        <x:v>Responsive Quản lý tài nguyên</x:v>
      </x:c>
      <x:c r="F186" s="3" t="str">
        <x:v>Responsive — Quản lý tài nguyên tại 375px</x:v>
      </x:c>
      <x:c r="G186" s="3" t="str">
        <x:v>Quản lý tài nguyên tại 375px</x:v>
      </x:c>
      <x:c r="H186" s="3" t="str">
        <x:v>NFR-003</x:v>
      </x:c>
      <x:c r="I186" s="3" t="str">
        <x:v>QTV có quyền tương ứng</x:v>
      </x:c>
      <x:c r="J186" s="3" t="str">
        <x:v>Responsive</x:v>
      </x:c>
      <x:c r="K186" s="3" t="str">
        <x:v>Medium</x:v>
      </x:c>
      <x:c r="L186" s="3" t="str">
        <x:v>Medium</x:v>
      </x:c>
      <x:c r="M186" s="3" t="str">
        <x:v>Môi trường QA cô lập, DB/MinIO sẵn sàng; dữ liệu fixture đã tạo. Đăng nhập tài khoản ACTIVE, mustChangePassword=false.</x:v>
      </x:c>
      <x:c r="N186" s="3" t="str">
        <x:v>Viewport 375×900 CSS px; fixture có tên/tiêu đề dài và tiếng Việt.</x:v>
      </x:c>
      <x:c r="O186" s="3" t="str">
        <x:v>1. Mở /admin/resources; viewport 375×900 CSS px, zoom100%
2. Cuộn hết trang và mở tương tác chính
3. Đo scrollWidth so clientWidth và chụp màn hình</x:v>
      </x:c>
      <x:c r="P186" s="3" t="str">
        <x:v>Không tràn ngang toàn trang; chữ/nút không chồng hoặc bị cắt; nội dung/ảnh không mất; bảng rộng cuộn trong vùng bảng. Menu và CTA chính thao tác được.</x:v>
      </x:c>
      <x:c r="Q186" s="11" t="str"/>
      <x:c r="R186" s="8" t="str">
        <x:v>NOT RUN</x:v>
      </x:c>
      <x:c r="S186" s="11" t="str">
        <x:v>QA/UAT — cần điền URL/build</x:v>
      </x:c>
      <x:c r="T186" s="11" t="str">
        <x:v>Cần điền phiên bản thực</x:v>
      </x:c>
      <x:c r="U186" s="11" t="str"/>
      <x:c r="V186" s="12" t="str"/>
      <x:c r="W186" s="11" t="str"/>
      <x:c r="X186" s="11" t="str"/>
      <x:c r="Y186" s="3" t="str">
        <x:v>Nguồn: frontend/src/app; admin/src/app/styles.css. Đánh giá khả dụng theo yêu cầu người dùng; ngưỡng WCAG chính thức vẫn cần phê duyệt.</x:v>
      </x:c>
    </x:row>
    <x:row r="187" ht="49" customHeight="1">
      <x:c r="A187" s="3" t="n">
        <x:v>186</x:v>
      </x:c>
      <x:c r="B187" s="3" t="str">
        <x:v>TC_UI_147</x:v>
      </x:c>
      <x:c r="C187" s="3" t="str">
        <x:v>UI</x:v>
      </x:c>
      <x:c r="D187" s="3" t="str">
        <x:v>Responsive Quản lý tài nguyên</x:v>
      </x:c>
      <x:c r="E187" s="3" t="str">
        <x:v>Responsive Quản lý tài nguyên</x:v>
      </x:c>
      <x:c r="F187" s="3" t="str">
        <x:v>Responsive — Quản lý tài nguyên tại 390px</x:v>
      </x:c>
      <x:c r="G187" s="3" t="str">
        <x:v>Quản lý tài nguyên tại 390px</x:v>
      </x:c>
      <x:c r="H187" s="3" t="str">
        <x:v>NFR-003</x:v>
      </x:c>
      <x:c r="I187" s="3" t="str">
        <x:v>QTV có quyền tương ứng</x:v>
      </x:c>
      <x:c r="J187" s="3" t="str">
        <x:v>Responsive</x:v>
      </x:c>
      <x:c r="K187" s="3" t="str">
        <x:v>Medium</x:v>
      </x:c>
      <x:c r="L187" s="3" t="str">
        <x:v>Medium</x:v>
      </x:c>
      <x:c r="M187" s="3" t="str">
        <x:v>Môi trường QA cô lập, DB/MinIO sẵn sàng; dữ liệu fixture đã tạo. Đăng nhập tài khoản ACTIVE, mustChangePassword=false.</x:v>
      </x:c>
      <x:c r="N187" s="3" t="str">
        <x:v>Viewport 390×900 CSS px; fixture có tên/tiêu đề dài và tiếng Việt.</x:v>
      </x:c>
      <x:c r="O187" s="3" t="str">
        <x:v>1. Mở /admin/resources; viewport 390×900 CSS px, zoom100%
2. Cuộn hết trang và mở tương tác chính
3. Đo scrollWidth so clientWidth và chụp màn hình</x:v>
      </x:c>
      <x:c r="P187" s="3" t="str">
        <x:v>Không tràn ngang toàn trang; chữ/nút không chồng hoặc bị cắt; nội dung/ảnh không mất; bảng rộng cuộn trong vùng bảng. Menu và CTA chính thao tác được.</x:v>
      </x:c>
      <x:c r="Q187" s="11" t="str"/>
      <x:c r="R187" s="8" t="str">
        <x:v>NOT RUN</x:v>
      </x:c>
      <x:c r="S187" s="11" t="str">
        <x:v>QA/UAT — cần điền URL/build</x:v>
      </x:c>
      <x:c r="T187" s="11" t="str">
        <x:v>Cần điền phiên bản thực</x:v>
      </x:c>
      <x:c r="U187" s="11" t="str"/>
      <x:c r="V187" s="12" t="str"/>
      <x:c r="W187" s="11" t="str"/>
      <x:c r="X187" s="11" t="str"/>
      <x:c r="Y187" s="3" t="str">
        <x:v>Nguồn: frontend/src/app; admin/src/app/styles.css. Đánh giá khả dụng theo yêu cầu người dùng; ngưỡng WCAG chính thức vẫn cần phê duyệt.</x:v>
      </x:c>
    </x:row>
    <x:row r="188" ht="49" customHeight="1">
      <x:c r="A188" s="3" t="n">
        <x:v>187</x:v>
      </x:c>
      <x:c r="B188" s="3" t="str">
        <x:v>TC_UI_148</x:v>
      </x:c>
      <x:c r="C188" s="3" t="str">
        <x:v>UI</x:v>
      </x:c>
      <x:c r="D188" s="3" t="str">
        <x:v>Responsive Quản lý tài nguyên</x:v>
      </x:c>
      <x:c r="E188" s="3" t="str">
        <x:v>Responsive Quản lý tài nguyên</x:v>
      </x:c>
      <x:c r="F188" s="3" t="str">
        <x:v>Responsive — Quản lý tài nguyên tại 768px</x:v>
      </x:c>
      <x:c r="G188" s="3" t="str">
        <x:v>Quản lý tài nguyên tại 768px</x:v>
      </x:c>
      <x:c r="H188" s="3" t="str">
        <x:v>NFR-003</x:v>
      </x:c>
      <x:c r="I188" s="3" t="str">
        <x:v>QTV có quyền tương ứng</x:v>
      </x:c>
      <x:c r="J188" s="3" t="str">
        <x:v>Responsive</x:v>
      </x:c>
      <x:c r="K188" s="3" t="str">
        <x:v>Medium</x:v>
      </x:c>
      <x:c r="L188" s="3" t="str">
        <x:v>Medium</x:v>
      </x:c>
      <x:c r="M188" s="3" t="str">
        <x:v>Môi trường QA cô lập, DB/MinIO sẵn sàng; dữ liệu fixture đã tạo. Đăng nhập tài khoản ACTIVE, mustChangePassword=false.</x:v>
      </x:c>
      <x:c r="N188" s="3" t="str">
        <x:v>Viewport 768×900 CSS px; fixture có tên/tiêu đề dài và tiếng Việt.</x:v>
      </x:c>
      <x:c r="O188" s="3" t="str">
        <x:v>1. Mở /admin/resources; viewport 768×900 CSS px, zoom100%
2. Cuộn hết trang và mở tương tác chính
3. Đo scrollWidth so clientWidth và chụp màn hình</x:v>
      </x:c>
      <x:c r="P188" s="3" t="str">
        <x:v>Không tràn ngang toàn trang; chữ/nút không chồng hoặc bị cắt; nội dung/ảnh không mất; bảng rộng cuộn trong vùng bảng. Menu và CTA chính thao tác được.</x:v>
      </x:c>
      <x:c r="Q188" s="11" t="str"/>
      <x:c r="R188" s="8" t="str">
        <x:v>NOT RUN</x:v>
      </x:c>
      <x:c r="S188" s="11" t="str">
        <x:v>QA/UAT — cần điền URL/build</x:v>
      </x:c>
      <x:c r="T188" s="11" t="str">
        <x:v>Cần điền phiên bản thực</x:v>
      </x:c>
      <x:c r="U188" s="11" t="str"/>
      <x:c r="V188" s="12" t="str"/>
      <x:c r="W188" s="11" t="str"/>
      <x:c r="X188" s="11" t="str"/>
      <x:c r="Y188" s="3" t="str">
        <x:v>Nguồn: frontend/src/app; admin/src/app/styles.css. Đánh giá khả dụng theo yêu cầu người dùng; ngưỡng WCAG chính thức vẫn cần phê duyệt.</x:v>
      </x:c>
    </x:row>
    <x:row r="189" ht="49" customHeight="1">
      <x:c r="A189" s="3" t="n">
        <x:v>188</x:v>
      </x:c>
      <x:c r="B189" s="3" t="str">
        <x:v>TC_UI_149</x:v>
      </x:c>
      <x:c r="C189" s="3" t="str">
        <x:v>UI</x:v>
      </x:c>
      <x:c r="D189" s="3" t="str">
        <x:v>Responsive Quản lý tài nguyên</x:v>
      </x:c>
      <x:c r="E189" s="3" t="str">
        <x:v>Responsive Quản lý tài nguyên</x:v>
      </x:c>
      <x:c r="F189" s="3" t="str">
        <x:v>Responsive — Quản lý tài nguyên tại 1024px</x:v>
      </x:c>
      <x:c r="G189" s="3" t="str">
        <x:v>Quản lý tài nguyên tại 1024px</x:v>
      </x:c>
      <x:c r="H189" s="3" t="str">
        <x:v>NFR-003</x:v>
      </x:c>
      <x:c r="I189" s="3" t="str">
        <x:v>QTV có quyền tương ứng</x:v>
      </x:c>
      <x:c r="J189" s="3" t="str">
        <x:v>Responsive</x:v>
      </x:c>
      <x:c r="K189" s="3" t="str">
        <x:v>Medium</x:v>
      </x:c>
      <x:c r="L189" s="3" t="str">
        <x:v>Medium</x:v>
      </x:c>
      <x:c r="M189" s="3" t="str">
        <x:v>Môi trường QA cô lập, DB/MinIO sẵn sàng; dữ liệu fixture đã tạo. Đăng nhập tài khoản ACTIVE, mustChangePassword=false.</x:v>
      </x:c>
      <x:c r="N189" s="3" t="str">
        <x:v>Viewport 1024×900 CSS px; fixture có tên/tiêu đề dài và tiếng Việt.</x:v>
      </x:c>
      <x:c r="O189" s="3" t="str">
        <x:v>1. Mở /admin/resources; viewport 1024×900 CSS px, zoom100%
2. Cuộn hết trang và mở tương tác chính
3. Đo scrollWidth so clientWidth và chụp màn hình</x:v>
      </x:c>
      <x:c r="P189" s="3" t="str">
        <x:v>Không tràn ngang toàn trang; chữ/nút không chồng hoặc bị cắt; nội dung/ảnh không mất; bảng rộng cuộn trong vùng bảng. Menu và CTA chính thao tác được.</x:v>
      </x:c>
      <x:c r="Q189" s="11" t="str"/>
      <x:c r="R189" s="8" t="str">
        <x:v>NOT RUN</x:v>
      </x:c>
      <x:c r="S189" s="11" t="str">
        <x:v>QA/UAT — cần điền URL/build</x:v>
      </x:c>
      <x:c r="T189" s="11" t="str">
        <x:v>Cần điền phiên bản thực</x:v>
      </x:c>
      <x:c r="U189" s="11" t="str"/>
      <x:c r="V189" s="12" t="str"/>
      <x:c r="W189" s="11" t="str"/>
      <x:c r="X189" s="11" t="str"/>
      <x:c r="Y189" s="3" t="str">
        <x:v>Nguồn: frontend/src/app; admin/src/app/styles.css. Đánh giá khả dụng theo yêu cầu người dùng; ngưỡng WCAG chính thức vẫn cần phê duyệt.</x:v>
      </x:c>
    </x:row>
    <x:row r="190" ht="49" customHeight="1">
      <x:c r="A190" s="3" t="n">
        <x:v>189</x:v>
      </x:c>
      <x:c r="B190" s="3" t="str">
        <x:v>TC_UI_150</x:v>
      </x:c>
      <x:c r="C190" s="3" t="str">
        <x:v>UI</x:v>
      </x:c>
      <x:c r="D190" s="3" t="str">
        <x:v>Responsive Quản lý tài nguyên</x:v>
      </x:c>
      <x:c r="E190" s="3" t="str">
        <x:v>Responsive Quản lý tài nguyên</x:v>
      </x:c>
      <x:c r="F190" s="3" t="str">
        <x:v>Responsive — Quản lý tài nguyên tại 1280px</x:v>
      </x:c>
      <x:c r="G190" s="3" t="str">
        <x:v>Quản lý tài nguyên tại 1280px</x:v>
      </x:c>
      <x:c r="H190" s="3" t="str">
        <x:v>NFR-003</x:v>
      </x:c>
      <x:c r="I190" s="3" t="str">
        <x:v>QTV có quyền tương ứng</x:v>
      </x:c>
      <x:c r="J190" s="3" t="str">
        <x:v>Responsive</x:v>
      </x:c>
      <x:c r="K190" s="3" t="str">
        <x:v>Medium</x:v>
      </x:c>
      <x:c r="L190" s="3" t="str">
        <x:v>Medium</x:v>
      </x:c>
      <x:c r="M190" s="3" t="str">
        <x:v>Môi trường QA cô lập, DB/MinIO sẵn sàng; dữ liệu fixture đã tạo. Đăng nhập tài khoản ACTIVE, mustChangePassword=false.</x:v>
      </x:c>
      <x:c r="N190" s="3" t="str">
        <x:v>Viewport 1280×900 CSS px; fixture có tên/tiêu đề dài và tiếng Việt.</x:v>
      </x:c>
      <x:c r="O190" s="3" t="str">
        <x:v>1. Mở /admin/resources; viewport 1280×900 CSS px, zoom100%
2. Cuộn hết trang và mở tương tác chính
3. Đo scrollWidth so clientWidth và chụp màn hình</x:v>
      </x:c>
      <x:c r="P190" s="3" t="str">
        <x:v>Không tràn ngang toàn trang; chữ/nút không chồng hoặc bị cắt; nội dung/ảnh không mất; bảng rộng cuộn trong vùng bảng. Menu và CTA chính thao tác được.</x:v>
      </x:c>
      <x:c r="Q190" s="11" t="str"/>
      <x:c r="R190" s="8" t="str">
        <x:v>NOT RUN</x:v>
      </x:c>
      <x:c r="S190" s="11" t="str">
        <x:v>QA/UAT — cần điền URL/build</x:v>
      </x:c>
      <x:c r="T190" s="11" t="str">
        <x:v>Cần điền phiên bản thực</x:v>
      </x:c>
      <x:c r="U190" s="11" t="str"/>
      <x:c r="V190" s="12" t="str"/>
      <x:c r="W190" s="11" t="str"/>
      <x:c r="X190" s="11" t="str"/>
      <x:c r="Y190" s="3" t="str">
        <x:v>Nguồn: frontend/src/app; admin/src/app/styles.css. Đánh giá khả dụng theo yêu cầu người dùng; ngưỡng WCAG chính thức vẫn cần phê duyệt.</x:v>
      </x:c>
    </x:row>
    <x:row r="191" ht="49" customHeight="1">
      <x:c r="A191" s="3" t="n">
        <x:v>190</x:v>
      </x:c>
      <x:c r="B191" s="3" t="str">
        <x:v>TC_UI_151</x:v>
      </x:c>
      <x:c r="C191" s="3" t="str">
        <x:v>UI</x:v>
      </x:c>
      <x:c r="D191" s="3" t="str">
        <x:v>Responsive Quản lý tài nguyên</x:v>
      </x:c>
      <x:c r="E191" s="3" t="str">
        <x:v>Responsive Quản lý tài nguyên</x:v>
      </x:c>
      <x:c r="F191" s="3" t="str">
        <x:v>Responsive — Quản lý tài nguyên tại 1440px</x:v>
      </x:c>
      <x:c r="G191" s="3" t="str">
        <x:v>Quản lý tài nguyên tại 1440px</x:v>
      </x:c>
      <x:c r="H191" s="3" t="str">
        <x:v>NFR-003</x:v>
      </x:c>
      <x:c r="I191" s="3" t="str">
        <x:v>QTV có quyền tương ứng</x:v>
      </x:c>
      <x:c r="J191" s="3" t="str">
        <x:v>Responsive</x:v>
      </x:c>
      <x:c r="K191" s="3" t="str">
        <x:v>Medium</x:v>
      </x:c>
      <x:c r="L191" s="3" t="str">
        <x:v>Medium</x:v>
      </x:c>
      <x:c r="M191" s="3" t="str">
        <x:v>Môi trường QA cô lập, DB/MinIO sẵn sàng; dữ liệu fixture đã tạo. Đăng nhập tài khoản ACTIVE, mustChangePassword=false.</x:v>
      </x:c>
      <x:c r="N191" s="3" t="str">
        <x:v>Viewport 1440×900 CSS px; fixture có tên/tiêu đề dài và tiếng Việt.</x:v>
      </x:c>
      <x:c r="O191" s="3" t="str">
        <x:v>1. Mở /admin/resources; viewport 1440×900 CSS px, zoom100%
2. Cuộn hết trang và mở tương tác chính
3. Đo scrollWidth so clientWidth và chụp màn hình</x:v>
      </x:c>
      <x:c r="P191" s="3" t="str">
        <x:v>Không tràn ngang toàn trang; chữ/nút không chồng hoặc bị cắt; nội dung/ảnh không mất; bảng rộng cuộn trong vùng bảng. Menu và CTA chính thao tác được.</x:v>
      </x:c>
      <x:c r="Q191" s="11" t="str"/>
      <x:c r="R191" s="8" t="str">
        <x:v>NOT RUN</x:v>
      </x:c>
      <x:c r="S191" s="11" t="str">
        <x:v>QA/UAT — cần điền URL/build</x:v>
      </x:c>
      <x:c r="T191" s="11" t="str">
        <x:v>Cần điền phiên bản thực</x:v>
      </x:c>
      <x:c r="U191" s="11" t="str"/>
      <x:c r="V191" s="12" t="str"/>
      <x:c r="W191" s="11" t="str"/>
      <x:c r="X191" s="11" t="str"/>
      <x:c r="Y191" s="3" t="str">
        <x:v>Nguồn: frontend/src/app; admin/src/app/styles.css. Đánh giá khả dụng theo yêu cầu người dùng; ngưỡng WCAG chính thức vẫn cần phê duyệt.</x:v>
      </x:c>
    </x:row>
    <x:row r="192" ht="49" customHeight="1">
      <x:c r="A192" s="3" t="n">
        <x:v>191</x:v>
      </x:c>
      <x:c r="B192" s="3" t="str">
        <x:v>TC_UI_152</x:v>
      </x:c>
      <x:c r="C192" s="3" t="str">
        <x:v>UI</x:v>
      </x:c>
      <x:c r="D192" s="3" t="str">
        <x:v>Responsive Quản lý tài nguyên</x:v>
      </x:c>
      <x:c r="E192" s="3" t="str">
        <x:v>Responsive Quản lý tài nguyên</x:v>
      </x:c>
      <x:c r="F192" s="3" t="str">
        <x:v>Responsive — Quản lý tài nguyên tại 1920px</x:v>
      </x:c>
      <x:c r="G192" s="3" t="str">
        <x:v>Quản lý tài nguyên tại 1920px</x:v>
      </x:c>
      <x:c r="H192" s="3" t="str">
        <x:v>NFR-003</x:v>
      </x:c>
      <x:c r="I192" s="3" t="str">
        <x:v>QTV có quyền tương ứng</x:v>
      </x:c>
      <x:c r="J192" s="3" t="str">
        <x:v>Responsive</x:v>
      </x:c>
      <x:c r="K192" s="3" t="str">
        <x:v>Medium</x:v>
      </x:c>
      <x:c r="L192" s="3" t="str">
        <x:v>Medium</x:v>
      </x:c>
      <x:c r="M192" s="3" t="str">
        <x:v>Môi trường QA cô lập, DB/MinIO sẵn sàng; dữ liệu fixture đã tạo. Đăng nhập tài khoản ACTIVE, mustChangePassword=false.</x:v>
      </x:c>
      <x:c r="N192" s="3" t="str">
        <x:v>Viewport 1920×900 CSS px; fixture có tên/tiêu đề dài và tiếng Việt.</x:v>
      </x:c>
      <x:c r="O192" s="3" t="str">
        <x:v>1. Mở /admin/resources; viewport 1920×900 CSS px, zoom100%
2. Cuộn hết trang và mở tương tác chính
3. Đo scrollWidth so clientWidth và chụp màn hình</x:v>
      </x:c>
      <x:c r="P192" s="3" t="str">
        <x:v>Không tràn ngang toàn trang; chữ/nút không chồng hoặc bị cắt; nội dung/ảnh không mất; bảng rộng cuộn trong vùng bảng. Menu và CTA chính thao tác được.</x:v>
      </x:c>
      <x:c r="Q192" s="11" t="str"/>
      <x:c r="R192" s="8" t="str">
        <x:v>NOT RUN</x:v>
      </x:c>
      <x:c r="S192" s="11" t="str">
        <x:v>QA/UAT — cần điền URL/build</x:v>
      </x:c>
      <x:c r="T192" s="11" t="str">
        <x:v>Cần điền phiên bản thực</x:v>
      </x:c>
      <x:c r="U192" s="11" t="str"/>
      <x:c r="V192" s="12" t="str"/>
      <x:c r="W192" s="11" t="str"/>
      <x:c r="X192" s="11" t="str"/>
      <x:c r="Y192" s="3" t="str">
        <x:v>Nguồn: frontend/src/app; admin/src/app/styles.css. Đánh giá khả dụng theo yêu cầu người dùng; ngưỡng WCAG chính thức vẫn cần phê duyệt.</x:v>
      </x:c>
    </x:row>
    <x:row r="193" ht="49" customHeight="1">
      <x:c r="A193" s="3" t="n">
        <x:v>192</x:v>
      </x:c>
      <x:c r="B193" s="3" t="str">
        <x:v>TC_UI_153</x:v>
      </x:c>
      <x:c r="C193" s="3" t="str">
        <x:v>UI</x:v>
      </x:c>
      <x:c r="D193" s="3" t="str">
        <x:v>Responsive Danh sách tư vấn</x:v>
      </x:c>
      <x:c r="E193" s="3" t="str">
        <x:v>Responsive Danh sách tư vấn</x:v>
      </x:c>
      <x:c r="F193" s="3" t="str">
        <x:v>Responsive — Danh sách tư vấn tại 320px</x:v>
      </x:c>
      <x:c r="G193" s="3" t="str">
        <x:v>Danh sách tư vấn tại 320px</x:v>
      </x:c>
      <x:c r="H193" s="3" t="str">
        <x:v>NFR-003</x:v>
      </x:c>
      <x:c r="I193" s="3" t="str">
        <x:v>QTV có quyền tương ứng</x:v>
      </x:c>
      <x:c r="J193" s="3" t="str">
        <x:v>Responsive</x:v>
      </x:c>
      <x:c r="K193" s="3" t="str">
        <x:v>High</x:v>
      </x:c>
      <x:c r="L193" s="3" t="str">
        <x:v>High</x:v>
      </x:c>
      <x:c r="M193" s="3" t="str">
        <x:v>Môi trường QA cô lập, DB/MinIO sẵn sàng; dữ liệu fixture đã tạo. Đăng nhập tài khoản ACTIVE, mustChangePassword=false.</x:v>
      </x:c>
      <x:c r="N193" s="3" t="str">
        <x:v>Viewport 320×900 CSS px; fixture có tên/tiêu đề dài và tiếng Việt.</x:v>
      </x:c>
      <x:c r="O193" s="3" t="str">
        <x:v>1. Mở /admin/consultations; viewport 320×900 CSS px, zoom100%
2. Cuộn hết trang và mở tương tác chính
3. Đo scrollWidth so clientWidth và chụp màn hình</x:v>
      </x:c>
      <x:c r="P193" s="3" t="str">
        <x:v>Không tràn ngang toàn trang; chữ/nút không chồng hoặc bị cắt; nội dung/ảnh không mất; bảng rộng cuộn trong vùng bảng. Menu và CTA chính thao tác được.</x:v>
      </x:c>
      <x:c r="Q193" s="11" t="str"/>
      <x:c r="R193" s="8" t="str">
        <x:v>NOT RUN</x:v>
      </x:c>
      <x:c r="S193" s="11" t="str">
        <x:v>QA/UAT — cần điền URL/build</x:v>
      </x:c>
      <x:c r="T193" s="11" t="str">
        <x:v>Cần điền phiên bản thực</x:v>
      </x:c>
      <x:c r="U193" s="11" t="str"/>
      <x:c r="V193" s="12" t="str"/>
      <x:c r="W193" s="11" t="str"/>
      <x:c r="X193" s="11" t="str"/>
      <x:c r="Y193" s="3" t="str">
        <x:v>Nguồn: frontend/src/app; admin/src/app/styles.css. Đánh giá khả dụng theo yêu cầu người dùng; ngưỡng WCAG chính thức vẫn cần phê duyệt.</x:v>
      </x:c>
    </x:row>
    <x:row r="194" ht="49" customHeight="1">
      <x:c r="A194" s="3" t="n">
        <x:v>193</x:v>
      </x:c>
      <x:c r="B194" s="3" t="str">
        <x:v>TC_UI_154</x:v>
      </x:c>
      <x:c r="C194" s="3" t="str">
        <x:v>UI</x:v>
      </x:c>
      <x:c r="D194" s="3" t="str">
        <x:v>Responsive Danh sách tư vấn</x:v>
      </x:c>
      <x:c r="E194" s="3" t="str">
        <x:v>Responsive Danh sách tư vấn</x:v>
      </x:c>
      <x:c r="F194" s="3" t="str">
        <x:v>Responsive — Danh sách tư vấn tại 375px</x:v>
      </x:c>
      <x:c r="G194" s="3" t="str">
        <x:v>Danh sách tư vấn tại 375px</x:v>
      </x:c>
      <x:c r="H194" s="3" t="str">
        <x:v>NFR-003</x:v>
      </x:c>
      <x:c r="I194" s="3" t="str">
        <x:v>QTV có quyền tương ứng</x:v>
      </x:c>
      <x:c r="J194" s="3" t="str">
        <x:v>Responsive</x:v>
      </x:c>
      <x:c r="K194" s="3" t="str">
        <x:v>Medium</x:v>
      </x:c>
      <x:c r="L194" s="3" t="str">
        <x:v>Medium</x:v>
      </x:c>
      <x:c r="M194" s="3" t="str">
        <x:v>Môi trường QA cô lập, DB/MinIO sẵn sàng; dữ liệu fixture đã tạo. Đăng nhập tài khoản ACTIVE, mustChangePassword=false.</x:v>
      </x:c>
      <x:c r="N194" s="3" t="str">
        <x:v>Viewport 375×900 CSS px; fixture có tên/tiêu đề dài và tiếng Việt.</x:v>
      </x:c>
      <x:c r="O194" s="3" t="str">
        <x:v>1. Mở /admin/consultations; viewport 375×900 CSS px, zoom100%
2. Cuộn hết trang và mở tương tác chính
3. Đo scrollWidth so clientWidth và chụp màn hình</x:v>
      </x:c>
      <x:c r="P194" s="3" t="str">
        <x:v>Không tràn ngang toàn trang; chữ/nút không chồng hoặc bị cắt; nội dung/ảnh không mất; bảng rộng cuộn trong vùng bảng. Menu và CTA chính thao tác được.</x:v>
      </x:c>
      <x:c r="Q194" s="11" t="str"/>
      <x:c r="R194" s="8" t="str">
        <x:v>NOT RUN</x:v>
      </x:c>
      <x:c r="S194" s="11" t="str">
        <x:v>QA/UAT — cần điền URL/build</x:v>
      </x:c>
      <x:c r="T194" s="11" t="str">
        <x:v>Cần điền phiên bản thực</x:v>
      </x:c>
      <x:c r="U194" s="11" t="str"/>
      <x:c r="V194" s="12" t="str"/>
      <x:c r="W194" s="11" t="str"/>
      <x:c r="X194" s="11" t="str"/>
      <x:c r="Y194" s="3" t="str">
        <x:v>Nguồn: frontend/src/app; admin/src/app/styles.css. Đánh giá khả dụng theo yêu cầu người dùng; ngưỡng WCAG chính thức vẫn cần phê duyệt.</x:v>
      </x:c>
    </x:row>
    <x:row r="195" ht="49" customHeight="1">
      <x:c r="A195" s="3" t="n">
        <x:v>194</x:v>
      </x:c>
      <x:c r="B195" s="3" t="str">
        <x:v>TC_UI_155</x:v>
      </x:c>
      <x:c r="C195" s="3" t="str">
        <x:v>UI</x:v>
      </x:c>
      <x:c r="D195" s="3" t="str">
        <x:v>Responsive Danh sách tư vấn</x:v>
      </x:c>
      <x:c r="E195" s="3" t="str">
        <x:v>Responsive Danh sách tư vấn</x:v>
      </x:c>
      <x:c r="F195" s="3" t="str">
        <x:v>Responsive — Danh sách tư vấn tại 390px</x:v>
      </x:c>
      <x:c r="G195" s="3" t="str">
        <x:v>Danh sách tư vấn tại 390px</x:v>
      </x:c>
      <x:c r="H195" s="3" t="str">
        <x:v>NFR-003</x:v>
      </x:c>
      <x:c r="I195" s="3" t="str">
        <x:v>QTV có quyền tương ứng</x:v>
      </x:c>
      <x:c r="J195" s="3" t="str">
        <x:v>Responsive</x:v>
      </x:c>
      <x:c r="K195" s="3" t="str">
        <x:v>Medium</x:v>
      </x:c>
      <x:c r="L195" s="3" t="str">
        <x:v>Medium</x:v>
      </x:c>
      <x:c r="M195" s="3" t="str">
        <x:v>Môi trường QA cô lập, DB/MinIO sẵn sàng; dữ liệu fixture đã tạo. Đăng nhập tài khoản ACTIVE, mustChangePassword=false.</x:v>
      </x:c>
      <x:c r="N195" s="3" t="str">
        <x:v>Viewport 390×900 CSS px; fixture có tên/tiêu đề dài và tiếng Việt.</x:v>
      </x:c>
      <x:c r="O195" s="3" t="str">
        <x:v>1. Mở /admin/consultations; viewport 390×900 CSS px, zoom100%
2. Cuộn hết trang và mở tương tác chính
3. Đo scrollWidth so clientWidth và chụp màn hình</x:v>
      </x:c>
      <x:c r="P195" s="3" t="str">
        <x:v>Không tràn ngang toàn trang; chữ/nút không chồng hoặc bị cắt; nội dung/ảnh không mất; bảng rộng cuộn trong vùng bảng. Menu và CTA chính thao tác được.</x:v>
      </x:c>
      <x:c r="Q195" s="11" t="str"/>
      <x:c r="R195" s="8" t="str">
        <x:v>NOT RUN</x:v>
      </x:c>
      <x:c r="S195" s="11" t="str">
        <x:v>QA/UAT — cần điền URL/build</x:v>
      </x:c>
      <x:c r="T195" s="11" t="str">
        <x:v>Cần điền phiên bản thực</x:v>
      </x:c>
      <x:c r="U195" s="11" t="str"/>
      <x:c r="V195" s="12" t="str"/>
      <x:c r="W195" s="11" t="str"/>
      <x:c r="X195" s="11" t="str"/>
      <x:c r="Y195" s="3" t="str">
        <x:v>Nguồn: frontend/src/app; admin/src/app/styles.css. Đánh giá khả dụng theo yêu cầu người dùng; ngưỡng WCAG chính thức vẫn cần phê duyệt.</x:v>
      </x:c>
    </x:row>
    <x:row r="196" ht="49" customHeight="1">
      <x:c r="A196" s="3" t="n">
        <x:v>195</x:v>
      </x:c>
      <x:c r="B196" s="3" t="str">
        <x:v>TC_UI_156</x:v>
      </x:c>
      <x:c r="C196" s="3" t="str">
        <x:v>UI</x:v>
      </x:c>
      <x:c r="D196" s="3" t="str">
        <x:v>Responsive Danh sách tư vấn</x:v>
      </x:c>
      <x:c r="E196" s="3" t="str">
        <x:v>Responsive Danh sách tư vấn</x:v>
      </x:c>
      <x:c r="F196" s="3" t="str">
        <x:v>Responsive — Danh sách tư vấn tại 768px</x:v>
      </x:c>
      <x:c r="G196" s="3" t="str">
        <x:v>Danh sách tư vấn tại 768px</x:v>
      </x:c>
      <x:c r="H196" s="3" t="str">
        <x:v>NFR-003</x:v>
      </x:c>
      <x:c r="I196" s="3" t="str">
        <x:v>QTV có quyền tương ứng</x:v>
      </x:c>
      <x:c r="J196" s="3" t="str">
        <x:v>Responsive</x:v>
      </x:c>
      <x:c r="K196" s="3" t="str">
        <x:v>Medium</x:v>
      </x:c>
      <x:c r="L196" s="3" t="str">
        <x:v>Medium</x:v>
      </x:c>
      <x:c r="M196" s="3" t="str">
        <x:v>Môi trường QA cô lập, DB/MinIO sẵn sàng; dữ liệu fixture đã tạo. Đăng nhập tài khoản ACTIVE, mustChangePassword=false.</x:v>
      </x:c>
      <x:c r="N196" s="3" t="str">
        <x:v>Viewport 768×900 CSS px; fixture có tên/tiêu đề dài và tiếng Việt.</x:v>
      </x:c>
      <x:c r="O196" s="3" t="str">
        <x:v>1. Mở /admin/consultations; viewport 768×900 CSS px, zoom100%
2. Cuộn hết trang và mở tương tác chính
3. Đo scrollWidth so clientWidth và chụp màn hình</x:v>
      </x:c>
      <x:c r="P196" s="3" t="str">
        <x:v>Không tràn ngang toàn trang; chữ/nút không chồng hoặc bị cắt; nội dung/ảnh không mất; bảng rộng cuộn trong vùng bảng. Menu và CTA chính thao tác được.</x:v>
      </x:c>
      <x:c r="Q196" s="11" t="str"/>
      <x:c r="R196" s="8" t="str">
        <x:v>NOT RUN</x:v>
      </x:c>
      <x:c r="S196" s="11" t="str">
        <x:v>QA/UAT — cần điền URL/build</x:v>
      </x:c>
      <x:c r="T196" s="11" t="str">
        <x:v>Cần điền phiên bản thực</x:v>
      </x:c>
      <x:c r="U196" s="11" t="str"/>
      <x:c r="V196" s="12" t="str"/>
      <x:c r="W196" s="11" t="str"/>
      <x:c r="X196" s="11" t="str"/>
      <x:c r="Y196" s="3" t="str">
        <x:v>Nguồn: frontend/src/app; admin/src/app/styles.css. Đánh giá khả dụng theo yêu cầu người dùng; ngưỡng WCAG chính thức vẫn cần phê duyệt.</x:v>
      </x:c>
    </x:row>
    <x:row r="197" ht="49" customHeight="1">
      <x:c r="A197" s="3" t="n">
        <x:v>196</x:v>
      </x:c>
      <x:c r="B197" s="3" t="str">
        <x:v>TC_UI_157</x:v>
      </x:c>
      <x:c r="C197" s="3" t="str">
        <x:v>UI</x:v>
      </x:c>
      <x:c r="D197" s="3" t="str">
        <x:v>Responsive Danh sách tư vấn</x:v>
      </x:c>
      <x:c r="E197" s="3" t="str">
        <x:v>Responsive Danh sách tư vấn</x:v>
      </x:c>
      <x:c r="F197" s="3" t="str">
        <x:v>Responsive — Danh sách tư vấn tại 1024px</x:v>
      </x:c>
      <x:c r="G197" s="3" t="str">
        <x:v>Danh sách tư vấn tại 1024px</x:v>
      </x:c>
      <x:c r="H197" s="3" t="str">
        <x:v>NFR-003</x:v>
      </x:c>
      <x:c r="I197" s="3" t="str">
        <x:v>QTV có quyền tương ứng</x:v>
      </x:c>
      <x:c r="J197" s="3" t="str">
        <x:v>Responsive</x:v>
      </x:c>
      <x:c r="K197" s="3" t="str">
        <x:v>Medium</x:v>
      </x:c>
      <x:c r="L197" s="3" t="str">
        <x:v>Medium</x:v>
      </x:c>
      <x:c r="M197" s="3" t="str">
        <x:v>Môi trường QA cô lập, DB/MinIO sẵn sàng; dữ liệu fixture đã tạo. Đăng nhập tài khoản ACTIVE, mustChangePassword=false.</x:v>
      </x:c>
      <x:c r="N197" s="3" t="str">
        <x:v>Viewport 1024×900 CSS px; fixture có tên/tiêu đề dài và tiếng Việt.</x:v>
      </x:c>
      <x:c r="O197" s="3" t="str">
        <x:v>1. Mở /admin/consultations; viewport 1024×900 CSS px, zoom100%
2. Cuộn hết trang và mở tương tác chính
3. Đo scrollWidth so clientWidth và chụp màn hình</x:v>
      </x:c>
      <x:c r="P197" s="3" t="str">
        <x:v>Không tràn ngang toàn trang; chữ/nút không chồng hoặc bị cắt; nội dung/ảnh không mất; bảng rộng cuộn trong vùng bảng. Menu và CTA chính thao tác được.</x:v>
      </x:c>
      <x:c r="Q197" s="11" t="str"/>
      <x:c r="R197" s="8" t="str">
        <x:v>NOT RUN</x:v>
      </x:c>
      <x:c r="S197" s="11" t="str">
        <x:v>QA/UAT — cần điền URL/build</x:v>
      </x:c>
      <x:c r="T197" s="11" t="str">
        <x:v>Cần điền phiên bản thực</x:v>
      </x:c>
      <x:c r="U197" s="11" t="str"/>
      <x:c r="V197" s="12" t="str"/>
      <x:c r="W197" s="11" t="str"/>
      <x:c r="X197" s="11" t="str"/>
      <x:c r="Y197" s="3" t="str">
        <x:v>Nguồn: frontend/src/app; admin/src/app/styles.css. Đánh giá khả dụng theo yêu cầu người dùng; ngưỡng WCAG chính thức vẫn cần phê duyệt.</x:v>
      </x:c>
    </x:row>
    <x:row r="198" ht="49" customHeight="1">
      <x:c r="A198" s="3" t="n">
        <x:v>197</x:v>
      </x:c>
      <x:c r="B198" s="3" t="str">
        <x:v>TC_UI_158</x:v>
      </x:c>
      <x:c r="C198" s="3" t="str">
        <x:v>UI</x:v>
      </x:c>
      <x:c r="D198" s="3" t="str">
        <x:v>Responsive Danh sách tư vấn</x:v>
      </x:c>
      <x:c r="E198" s="3" t="str">
        <x:v>Responsive Danh sách tư vấn</x:v>
      </x:c>
      <x:c r="F198" s="3" t="str">
        <x:v>Responsive — Danh sách tư vấn tại 1280px</x:v>
      </x:c>
      <x:c r="G198" s="3" t="str">
        <x:v>Danh sách tư vấn tại 1280px</x:v>
      </x:c>
      <x:c r="H198" s="3" t="str">
        <x:v>NFR-003</x:v>
      </x:c>
      <x:c r="I198" s="3" t="str">
        <x:v>QTV có quyền tương ứng</x:v>
      </x:c>
      <x:c r="J198" s="3" t="str">
        <x:v>Responsive</x:v>
      </x:c>
      <x:c r="K198" s="3" t="str">
        <x:v>Medium</x:v>
      </x:c>
      <x:c r="L198" s="3" t="str">
        <x:v>Medium</x:v>
      </x:c>
      <x:c r="M198" s="3" t="str">
        <x:v>Môi trường QA cô lập, DB/MinIO sẵn sàng; dữ liệu fixture đã tạo. Đăng nhập tài khoản ACTIVE, mustChangePassword=false.</x:v>
      </x:c>
      <x:c r="N198" s="3" t="str">
        <x:v>Viewport 1280×900 CSS px; fixture có tên/tiêu đề dài và tiếng Việt.</x:v>
      </x:c>
      <x:c r="O198" s="3" t="str">
        <x:v>1. Mở /admin/consultations; viewport 1280×900 CSS px, zoom100%
2. Cuộn hết trang và mở tương tác chính
3. Đo scrollWidth so clientWidth và chụp màn hình</x:v>
      </x:c>
      <x:c r="P198" s="3" t="str">
        <x:v>Không tràn ngang toàn trang; chữ/nút không chồng hoặc bị cắt; nội dung/ảnh không mất; bảng rộng cuộn trong vùng bảng. Menu và CTA chính thao tác được.</x:v>
      </x:c>
      <x:c r="Q198" s="11" t="str"/>
      <x:c r="R198" s="8" t="str">
        <x:v>NOT RUN</x:v>
      </x:c>
      <x:c r="S198" s="11" t="str">
        <x:v>QA/UAT — cần điền URL/build</x:v>
      </x:c>
      <x:c r="T198" s="11" t="str">
        <x:v>Cần điền phiên bản thực</x:v>
      </x:c>
      <x:c r="U198" s="11" t="str"/>
      <x:c r="V198" s="12" t="str"/>
      <x:c r="W198" s="11" t="str"/>
      <x:c r="X198" s="11" t="str"/>
      <x:c r="Y198" s="3" t="str">
        <x:v>Nguồn: frontend/src/app; admin/src/app/styles.css. Đánh giá khả dụng theo yêu cầu người dùng; ngưỡng WCAG chính thức vẫn cần phê duyệt.</x:v>
      </x:c>
    </x:row>
    <x:row r="199" ht="49" customHeight="1">
      <x:c r="A199" s="3" t="n">
        <x:v>198</x:v>
      </x:c>
      <x:c r="B199" s="3" t="str">
        <x:v>TC_UI_159</x:v>
      </x:c>
      <x:c r="C199" s="3" t="str">
        <x:v>UI</x:v>
      </x:c>
      <x:c r="D199" s="3" t="str">
        <x:v>Responsive Danh sách tư vấn</x:v>
      </x:c>
      <x:c r="E199" s="3" t="str">
        <x:v>Responsive Danh sách tư vấn</x:v>
      </x:c>
      <x:c r="F199" s="3" t="str">
        <x:v>Responsive — Danh sách tư vấn tại 1440px</x:v>
      </x:c>
      <x:c r="G199" s="3" t="str">
        <x:v>Danh sách tư vấn tại 1440px</x:v>
      </x:c>
      <x:c r="H199" s="3" t="str">
        <x:v>NFR-003</x:v>
      </x:c>
      <x:c r="I199" s="3" t="str">
        <x:v>QTV có quyền tương ứng</x:v>
      </x:c>
      <x:c r="J199" s="3" t="str">
        <x:v>Responsive</x:v>
      </x:c>
      <x:c r="K199" s="3" t="str">
        <x:v>Medium</x:v>
      </x:c>
      <x:c r="L199" s="3" t="str">
        <x:v>Medium</x:v>
      </x:c>
      <x:c r="M199" s="3" t="str">
        <x:v>Môi trường QA cô lập, DB/MinIO sẵn sàng; dữ liệu fixture đã tạo. Đăng nhập tài khoản ACTIVE, mustChangePassword=false.</x:v>
      </x:c>
      <x:c r="N199" s="3" t="str">
        <x:v>Viewport 1440×900 CSS px; fixture có tên/tiêu đề dài và tiếng Việt.</x:v>
      </x:c>
      <x:c r="O199" s="3" t="str">
        <x:v>1. Mở /admin/consultations; viewport 1440×900 CSS px, zoom100%
2. Cuộn hết trang và mở tương tác chính
3. Đo scrollWidth so clientWidth và chụp màn hình</x:v>
      </x:c>
      <x:c r="P199" s="3" t="str">
        <x:v>Không tràn ngang toàn trang; chữ/nút không chồng hoặc bị cắt; nội dung/ảnh không mất; bảng rộng cuộn trong vùng bảng. Menu và CTA chính thao tác được.</x:v>
      </x:c>
      <x:c r="Q199" s="11" t="str"/>
      <x:c r="R199" s="8" t="str">
        <x:v>NOT RUN</x:v>
      </x:c>
      <x:c r="S199" s="11" t="str">
        <x:v>QA/UAT — cần điền URL/build</x:v>
      </x:c>
      <x:c r="T199" s="11" t="str">
        <x:v>Cần điền phiên bản thực</x:v>
      </x:c>
      <x:c r="U199" s="11" t="str"/>
      <x:c r="V199" s="12" t="str"/>
      <x:c r="W199" s="11" t="str"/>
      <x:c r="X199" s="11" t="str"/>
      <x:c r="Y199" s="3" t="str">
        <x:v>Nguồn: frontend/src/app; admin/src/app/styles.css. Đánh giá khả dụng theo yêu cầu người dùng; ngưỡng WCAG chính thức vẫn cần phê duyệt.</x:v>
      </x:c>
    </x:row>
    <x:row r="200" ht="49" customHeight="1">
      <x:c r="A200" s="3" t="n">
        <x:v>199</x:v>
      </x:c>
      <x:c r="B200" s="3" t="str">
        <x:v>TC_UI_160</x:v>
      </x:c>
      <x:c r="C200" s="3" t="str">
        <x:v>UI</x:v>
      </x:c>
      <x:c r="D200" s="3" t="str">
        <x:v>Responsive Danh sách tư vấn</x:v>
      </x:c>
      <x:c r="E200" s="3" t="str">
        <x:v>Responsive Danh sách tư vấn</x:v>
      </x:c>
      <x:c r="F200" s="3" t="str">
        <x:v>Responsive — Danh sách tư vấn tại 1920px</x:v>
      </x:c>
      <x:c r="G200" s="3" t="str">
        <x:v>Danh sách tư vấn tại 1920px</x:v>
      </x:c>
      <x:c r="H200" s="3" t="str">
        <x:v>NFR-003</x:v>
      </x:c>
      <x:c r="I200" s="3" t="str">
        <x:v>QTV có quyền tương ứng</x:v>
      </x:c>
      <x:c r="J200" s="3" t="str">
        <x:v>Responsive</x:v>
      </x:c>
      <x:c r="K200" s="3" t="str">
        <x:v>Medium</x:v>
      </x:c>
      <x:c r="L200" s="3" t="str">
        <x:v>Medium</x:v>
      </x:c>
      <x:c r="M200" s="3" t="str">
        <x:v>Môi trường QA cô lập, DB/MinIO sẵn sàng; dữ liệu fixture đã tạo. Đăng nhập tài khoản ACTIVE, mustChangePassword=false.</x:v>
      </x:c>
      <x:c r="N200" s="3" t="str">
        <x:v>Viewport 1920×900 CSS px; fixture có tên/tiêu đề dài và tiếng Việt.</x:v>
      </x:c>
      <x:c r="O200" s="3" t="str">
        <x:v>1. Mở /admin/consultations; viewport 1920×900 CSS px, zoom100%
2. Cuộn hết trang và mở tương tác chính
3. Đo scrollWidth so clientWidth và chụp màn hình</x:v>
      </x:c>
      <x:c r="P200" s="3" t="str">
        <x:v>Không tràn ngang toàn trang; chữ/nút không chồng hoặc bị cắt; nội dung/ảnh không mất; bảng rộng cuộn trong vùng bảng. Menu và CTA chính thao tác được.</x:v>
      </x:c>
      <x:c r="Q200" s="11" t="str"/>
      <x:c r="R200" s="8" t="str">
        <x:v>NOT RUN</x:v>
      </x:c>
      <x:c r="S200" s="11" t="str">
        <x:v>QA/UAT — cần điền URL/build</x:v>
      </x:c>
      <x:c r="T200" s="11" t="str">
        <x:v>Cần điền phiên bản thực</x:v>
      </x:c>
      <x:c r="U200" s="11" t="str"/>
      <x:c r="V200" s="12" t="str"/>
      <x:c r="W200" s="11" t="str"/>
      <x:c r="X200" s="11" t="str"/>
      <x:c r="Y200" s="3" t="str">
        <x:v>Nguồn: frontend/src/app; admin/src/app/styles.css. Đánh giá khả dụng theo yêu cầu người dùng; ngưỡng WCAG chính thức vẫn cần phê duyệt.</x:v>
      </x:c>
    </x:row>
    <x:row r="201" ht="49" customHeight="1">
      <x:c r="A201" s="3" t="n">
        <x:v>200</x:v>
      </x:c>
      <x:c r="B201" s="3" t="str">
        <x:v>TC_UI_161</x:v>
      </x:c>
      <x:c r="C201" s="3" t="str">
        <x:v>UI</x:v>
      </x:c>
      <x:c r="D201" s="3" t="str">
        <x:v>Responsive Nội dung web</x:v>
      </x:c>
      <x:c r="E201" s="3" t="str">
        <x:v>Responsive Nội dung web</x:v>
      </x:c>
      <x:c r="F201" s="3" t="str">
        <x:v>Responsive — Nội dung web tại 320px</x:v>
      </x:c>
      <x:c r="G201" s="3" t="str">
        <x:v>Nội dung web tại 320px</x:v>
      </x:c>
      <x:c r="H201" s="3" t="str">
        <x:v>NFR-003</x:v>
      </x:c>
      <x:c r="I201" s="3" t="str">
        <x:v>QTV có quyền tương ứng</x:v>
      </x:c>
      <x:c r="J201" s="3" t="str">
        <x:v>Responsive</x:v>
      </x:c>
      <x:c r="K201" s="3" t="str">
        <x:v>High</x:v>
      </x:c>
      <x:c r="L201" s="3" t="str">
        <x:v>High</x:v>
      </x:c>
      <x:c r="M201" s="3" t="str">
        <x:v>Môi trường QA cô lập, DB/MinIO sẵn sàng; dữ liệu fixture đã tạo. Đăng nhập tài khoản ACTIVE, mustChangePassword=false.</x:v>
      </x:c>
      <x:c r="N201" s="3" t="str">
        <x:v>Viewport 320×900 CSS px; fixture có tên/tiêu đề dài và tiếng Việt.</x:v>
      </x:c>
      <x:c r="O201" s="3" t="str">
        <x:v>1. Mở /admin/website; viewport 320×900 CSS px, zoom100%
2. Cuộn hết trang và mở tương tác chính
3. Đo scrollWidth so clientWidth và chụp màn hình</x:v>
      </x:c>
      <x:c r="P201" s="3" t="str">
        <x:v>Không tràn ngang toàn trang; chữ/nút không chồng hoặc bị cắt; nội dung/ảnh không mất; bảng rộng cuộn trong vùng bảng. Menu và CTA chính thao tác được.</x:v>
      </x:c>
      <x:c r="Q201" s="11" t="str"/>
      <x:c r="R201" s="8" t="str">
        <x:v>NOT RUN</x:v>
      </x:c>
      <x:c r="S201" s="11" t="str">
        <x:v>QA/UAT — cần điền URL/build</x:v>
      </x:c>
      <x:c r="T201" s="11" t="str">
        <x:v>Cần điền phiên bản thực</x:v>
      </x:c>
      <x:c r="U201" s="11" t="str"/>
      <x:c r="V201" s="12" t="str"/>
      <x:c r="W201" s="11" t="str"/>
      <x:c r="X201" s="11" t="str"/>
      <x:c r="Y201" s="3" t="str">
        <x:v>Nguồn: frontend/src/app; admin/src/app/styles.css. Đánh giá khả dụng theo yêu cầu người dùng; ngưỡng WCAG chính thức vẫn cần phê duyệt.</x:v>
      </x:c>
    </x:row>
    <x:row r="202" ht="49" customHeight="1">
      <x:c r="A202" s="3" t="n">
        <x:v>201</x:v>
      </x:c>
      <x:c r="B202" s="3" t="str">
        <x:v>TC_UI_162</x:v>
      </x:c>
      <x:c r="C202" s="3" t="str">
        <x:v>UI</x:v>
      </x:c>
      <x:c r="D202" s="3" t="str">
        <x:v>Responsive Nội dung web</x:v>
      </x:c>
      <x:c r="E202" s="3" t="str">
        <x:v>Responsive Nội dung web</x:v>
      </x:c>
      <x:c r="F202" s="3" t="str">
        <x:v>Responsive — Nội dung web tại 375px</x:v>
      </x:c>
      <x:c r="G202" s="3" t="str">
        <x:v>Nội dung web tại 375px</x:v>
      </x:c>
      <x:c r="H202" s="3" t="str">
        <x:v>NFR-003</x:v>
      </x:c>
      <x:c r="I202" s="3" t="str">
        <x:v>QTV có quyền tương ứng</x:v>
      </x:c>
      <x:c r="J202" s="3" t="str">
        <x:v>Responsive</x:v>
      </x:c>
      <x:c r="K202" s="3" t="str">
        <x:v>Medium</x:v>
      </x:c>
      <x:c r="L202" s="3" t="str">
        <x:v>Medium</x:v>
      </x:c>
      <x:c r="M202" s="3" t="str">
        <x:v>Môi trường QA cô lập, DB/MinIO sẵn sàng; dữ liệu fixture đã tạo. Đăng nhập tài khoản ACTIVE, mustChangePassword=false.</x:v>
      </x:c>
      <x:c r="N202" s="3" t="str">
        <x:v>Viewport 375×900 CSS px; fixture có tên/tiêu đề dài và tiếng Việt.</x:v>
      </x:c>
      <x:c r="O202" s="3" t="str">
        <x:v>1. Mở /admin/website; viewport 375×900 CSS px, zoom100%
2. Cuộn hết trang và mở tương tác chính
3. Đo scrollWidth so clientWidth và chụp màn hình</x:v>
      </x:c>
      <x:c r="P202" s="3" t="str">
        <x:v>Không tràn ngang toàn trang; chữ/nút không chồng hoặc bị cắt; nội dung/ảnh không mất; bảng rộng cuộn trong vùng bảng. Menu và CTA chính thao tác được.</x:v>
      </x:c>
      <x:c r="Q202" s="11" t="str"/>
      <x:c r="R202" s="8" t="str">
        <x:v>NOT RUN</x:v>
      </x:c>
      <x:c r="S202" s="11" t="str">
        <x:v>QA/UAT — cần điền URL/build</x:v>
      </x:c>
      <x:c r="T202" s="11" t="str">
        <x:v>Cần điền phiên bản thực</x:v>
      </x:c>
      <x:c r="U202" s="11" t="str"/>
      <x:c r="V202" s="12" t="str"/>
      <x:c r="W202" s="11" t="str"/>
      <x:c r="X202" s="11" t="str"/>
      <x:c r="Y202" s="3" t="str">
        <x:v>Nguồn: frontend/src/app; admin/src/app/styles.css. Đánh giá khả dụng theo yêu cầu người dùng; ngưỡng WCAG chính thức vẫn cần phê duyệt.</x:v>
      </x:c>
    </x:row>
    <x:row r="203" ht="49" customHeight="1">
      <x:c r="A203" s="3" t="n">
        <x:v>202</x:v>
      </x:c>
      <x:c r="B203" s="3" t="str">
        <x:v>TC_UI_163</x:v>
      </x:c>
      <x:c r="C203" s="3" t="str">
        <x:v>UI</x:v>
      </x:c>
      <x:c r="D203" s="3" t="str">
        <x:v>Responsive Nội dung web</x:v>
      </x:c>
      <x:c r="E203" s="3" t="str">
        <x:v>Responsive Nội dung web</x:v>
      </x:c>
      <x:c r="F203" s="3" t="str">
        <x:v>Responsive — Nội dung web tại 390px</x:v>
      </x:c>
      <x:c r="G203" s="3" t="str">
        <x:v>Nội dung web tại 390px</x:v>
      </x:c>
      <x:c r="H203" s="3" t="str">
        <x:v>NFR-003</x:v>
      </x:c>
      <x:c r="I203" s="3" t="str">
        <x:v>QTV có quyền tương ứng</x:v>
      </x:c>
      <x:c r="J203" s="3" t="str">
        <x:v>Responsive</x:v>
      </x:c>
      <x:c r="K203" s="3" t="str">
        <x:v>Medium</x:v>
      </x:c>
      <x:c r="L203" s="3" t="str">
        <x:v>Medium</x:v>
      </x:c>
      <x:c r="M203" s="3" t="str">
        <x:v>Môi trường QA cô lập, DB/MinIO sẵn sàng; dữ liệu fixture đã tạo. Đăng nhập tài khoản ACTIVE, mustChangePassword=false.</x:v>
      </x:c>
      <x:c r="N203" s="3" t="str">
        <x:v>Viewport 390×900 CSS px; fixture có tên/tiêu đề dài và tiếng Việt.</x:v>
      </x:c>
      <x:c r="O203" s="3" t="str">
        <x:v>1. Mở /admin/website; viewport 390×900 CSS px, zoom100%
2. Cuộn hết trang và mở tương tác chính
3. Đo scrollWidth so clientWidth và chụp màn hình</x:v>
      </x:c>
      <x:c r="P203" s="3" t="str">
        <x:v>Không tràn ngang toàn trang; chữ/nút không chồng hoặc bị cắt; nội dung/ảnh không mất; bảng rộng cuộn trong vùng bảng. Menu và CTA chính thao tác được.</x:v>
      </x:c>
      <x:c r="Q203" s="11" t="str"/>
      <x:c r="R203" s="8" t="str">
        <x:v>NOT RUN</x:v>
      </x:c>
      <x:c r="S203" s="11" t="str">
        <x:v>QA/UAT — cần điền URL/build</x:v>
      </x:c>
      <x:c r="T203" s="11" t="str">
        <x:v>Cần điền phiên bản thực</x:v>
      </x:c>
      <x:c r="U203" s="11" t="str"/>
      <x:c r="V203" s="12" t="str"/>
      <x:c r="W203" s="11" t="str"/>
      <x:c r="X203" s="11" t="str"/>
      <x:c r="Y203" s="3" t="str">
        <x:v>Nguồn: frontend/src/app; admin/src/app/styles.css. Đánh giá khả dụng theo yêu cầu người dùng; ngưỡng WCAG chính thức vẫn cần phê duyệt.</x:v>
      </x:c>
    </x:row>
    <x:row r="204" ht="49" customHeight="1">
      <x:c r="A204" s="3" t="n">
        <x:v>203</x:v>
      </x:c>
      <x:c r="B204" s="3" t="str">
        <x:v>TC_UI_164</x:v>
      </x:c>
      <x:c r="C204" s="3" t="str">
        <x:v>UI</x:v>
      </x:c>
      <x:c r="D204" s="3" t="str">
        <x:v>Responsive Nội dung web</x:v>
      </x:c>
      <x:c r="E204" s="3" t="str">
        <x:v>Responsive Nội dung web</x:v>
      </x:c>
      <x:c r="F204" s="3" t="str">
        <x:v>Responsive — Nội dung web tại 768px</x:v>
      </x:c>
      <x:c r="G204" s="3" t="str">
        <x:v>Nội dung web tại 768px</x:v>
      </x:c>
      <x:c r="H204" s="3" t="str">
        <x:v>NFR-003</x:v>
      </x:c>
      <x:c r="I204" s="3" t="str">
        <x:v>QTV có quyền tương ứng</x:v>
      </x:c>
      <x:c r="J204" s="3" t="str">
        <x:v>Responsive</x:v>
      </x:c>
      <x:c r="K204" s="3" t="str">
        <x:v>Medium</x:v>
      </x:c>
      <x:c r="L204" s="3" t="str">
        <x:v>Medium</x:v>
      </x:c>
      <x:c r="M204" s="3" t="str">
        <x:v>Môi trường QA cô lập, DB/MinIO sẵn sàng; dữ liệu fixture đã tạo. Đăng nhập tài khoản ACTIVE, mustChangePassword=false.</x:v>
      </x:c>
      <x:c r="N204" s="3" t="str">
        <x:v>Viewport 768×900 CSS px; fixture có tên/tiêu đề dài và tiếng Việt.</x:v>
      </x:c>
      <x:c r="O204" s="3" t="str">
        <x:v>1. Mở /admin/website; viewport 768×900 CSS px, zoom100%
2. Cuộn hết trang và mở tương tác chính
3. Đo scrollWidth so clientWidth và chụp màn hình</x:v>
      </x:c>
      <x:c r="P204" s="3" t="str">
        <x:v>Không tràn ngang toàn trang; chữ/nút không chồng hoặc bị cắt; nội dung/ảnh không mất; bảng rộng cuộn trong vùng bảng. Menu và CTA chính thao tác được.</x:v>
      </x:c>
      <x:c r="Q204" s="11" t="str"/>
      <x:c r="R204" s="8" t="str">
        <x:v>NOT RUN</x:v>
      </x:c>
      <x:c r="S204" s="11" t="str">
        <x:v>QA/UAT — cần điền URL/build</x:v>
      </x:c>
      <x:c r="T204" s="11" t="str">
        <x:v>Cần điền phiên bản thực</x:v>
      </x:c>
      <x:c r="U204" s="11" t="str"/>
      <x:c r="V204" s="12" t="str"/>
      <x:c r="W204" s="11" t="str"/>
      <x:c r="X204" s="11" t="str"/>
      <x:c r="Y204" s="3" t="str">
        <x:v>Nguồn: frontend/src/app; admin/src/app/styles.css. Đánh giá khả dụng theo yêu cầu người dùng; ngưỡng WCAG chính thức vẫn cần phê duyệt.</x:v>
      </x:c>
    </x:row>
    <x:row r="205" ht="49" customHeight="1">
      <x:c r="A205" s="3" t="n">
        <x:v>204</x:v>
      </x:c>
      <x:c r="B205" s="3" t="str">
        <x:v>TC_UI_165</x:v>
      </x:c>
      <x:c r="C205" s="3" t="str">
        <x:v>UI</x:v>
      </x:c>
      <x:c r="D205" s="3" t="str">
        <x:v>Responsive Nội dung web</x:v>
      </x:c>
      <x:c r="E205" s="3" t="str">
        <x:v>Responsive Nội dung web</x:v>
      </x:c>
      <x:c r="F205" s="3" t="str">
        <x:v>Responsive — Nội dung web tại 1024px</x:v>
      </x:c>
      <x:c r="G205" s="3" t="str">
        <x:v>Nội dung web tại 1024px</x:v>
      </x:c>
      <x:c r="H205" s="3" t="str">
        <x:v>NFR-003</x:v>
      </x:c>
      <x:c r="I205" s="3" t="str">
        <x:v>QTV có quyền tương ứng</x:v>
      </x:c>
      <x:c r="J205" s="3" t="str">
        <x:v>Responsive</x:v>
      </x:c>
      <x:c r="K205" s="3" t="str">
        <x:v>Medium</x:v>
      </x:c>
      <x:c r="L205" s="3" t="str">
        <x:v>Medium</x:v>
      </x:c>
      <x:c r="M205" s="3" t="str">
        <x:v>Môi trường QA cô lập, DB/MinIO sẵn sàng; dữ liệu fixture đã tạo. Đăng nhập tài khoản ACTIVE, mustChangePassword=false.</x:v>
      </x:c>
      <x:c r="N205" s="3" t="str">
        <x:v>Viewport 1024×900 CSS px; fixture có tên/tiêu đề dài và tiếng Việt.</x:v>
      </x:c>
      <x:c r="O205" s="3" t="str">
        <x:v>1. Mở /admin/website; viewport 1024×900 CSS px, zoom100%
2. Cuộn hết trang và mở tương tác chính
3. Đo scrollWidth so clientWidth và chụp màn hình</x:v>
      </x:c>
      <x:c r="P205" s="3" t="str">
        <x:v>Không tràn ngang toàn trang; chữ/nút không chồng hoặc bị cắt; nội dung/ảnh không mất; bảng rộng cuộn trong vùng bảng. Menu và CTA chính thao tác được.</x:v>
      </x:c>
      <x:c r="Q205" s="11" t="str"/>
      <x:c r="R205" s="8" t="str">
        <x:v>NOT RUN</x:v>
      </x:c>
      <x:c r="S205" s="11" t="str">
        <x:v>QA/UAT — cần điền URL/build</x:v>
      </x:c>
      <x:c r="T205" s="11" t="str">
        <x:v>Cần điền phiên bản thực</x:v>
      </x:c>
      <x:c r="U205" s="11" t="str"/>
      <x:c r="V205" s="12" t="str"/>
      <x:c r="W205" s="11" t="str"/>
      <x:c r="X205" s="11" t="str"/>
      <x:c r="Y205" s="3" t="str">
        <x:v>Nguồn: frontend/src/app; admin/src/app/styles.css. Đánh giá khả dụng theo yêu cầu người dùng; ngưỡng WCAG chính thức vẫn cần phê duyệt.</x:v>
      </x:c>
    </x:row>
    <x:row r="206" ht="49" customHeight="1">
      <x:c r="A206" s="3" t="n">
        <x:v>205</x:v>
      </x:c>
      <x:c r="B206" s="3" t="str">
        <x:v>TC_UI_166</x:v>
      </x:c>
      <x:c r="C206" s="3" t="str">
        <x:v>UI</x:v>
      </x:c>
      <x:c r="D206" s="3" t="str">
        <x:v>Responsive Nội dung web</x:v>
      </x:c>
      <x:c r="E206" s="3" t="str">
        <x:v>Responsive Nội dung web</x:v>
      </x:c>
      <x:c r="F206" s="3" t="str">
        <x:v>Responsive — Nội dung web tại 1280px</x:v>
      </x:c>
      <x:c r="G206" s="3" t="str">
        <x:v>Nội dung web tại 1280px</x:v>
      </x:c>
      <x:c r="H206" s="3" t="str">
        <x:v>NFR-003</x:v>
      </x:c>
      <x:c r="I206" s="3" t="str">
        <x:v>QTV có quyền tương ứng</x:v>
      </x:c>
      <x:c r="J206" s="3" t="str">
        <x:v>Responsive</x:v>
      </x:c>
      <x:c r="K206" s="3" t="str">
        <x:v>Medium</x:v>
      </x:c>
      <x:c r="L206" s="3" t="str">
        <x:v>Medium</x:v>
      </x:c>
      <x:c r="M206" s="3" t="str">
        <x:v>Môi trường QA cô lập, DB/MinIO sẵn sàng; dữ liệu fixture đã tạo. Đăng nhập tài khoản ACTIVE, mustChangePassword=false.</x:v>
      </x:c>
      <x:c r="N206" s="3" t="str">
        <x:v>Viewport 1280×900 CSS px; fixture có tên/tiêu đề dài và tiếng Việt.</x:v>
      </x:c>
      <x:c r="O206" s="3" t="str">
        <x:v>1. Mở /admin/website; viewport 1280×900 CSS px, zoom100%
2. Cuộn hết trang và mở tương tác chính
3. Đo scrollWidth so clientWidth và chụp màn hình</x:v>
      </x:c>
      <x:c r="P206" s="3" t="str">
        <x:v>Không tràn ngang toàn trang; chữ/nút không chồng hoặc bị cắt; nội dung/ảnh không mất; bảng rộng cuộn trong vùng bảng. Menu và CTA chính thao tác được.</x:v>
      </x:c>
      <x:c r="Q206" s="11" t="str"/>
      <x:c r="R206" s="8" t="str">
        <x:v>NOT RUN</x:v>
      </x:c>
      <x:c r="S206" s="11" t="str">
        <x:v>QA/UAT — cần điền URL/build</x:v>
      </x:c>
      <x:c r="T206" s="11" t="str">
        <x:v>Cần điền phiên bản thực</x:v>
      </x:c>
      <x:c r="U206" s="11" t="str"/>
      <x:c r="V206" s="12" t="str"/>
      <x:c r="W206" s="11" t="str"/>
      <x:c r="X206" s="11" t="str"/>
      <x:c r="Y206" s="3" t="str">
        <x:v>Nguồn: frontend/src/app; admin/src/app/styles.css. Đánh giá khả dụng theo yêu cầu người dùng; ngưỡng WCAG chính thức vẫn cần phê duyệt.</x:v>
      </x:c>
    </x:row>
    <x:row r="207" ht="49" customHeight="1">
      <x:c r="A207" s="3" t="n">
        <x:v>206</x:v>
      </x:c>
      <x:c r="B207" s="3" t="str">
        <x:v>TC_UI_167</x:v>
      </x:c>
      <x:c r="C207" s="3" t="str">
        <x:v>UI</x:v>
      </x:c>
      <x:c r="D207" s="3" t="str">
        <x:v>Responsive Nội dung web</x:v>
      </x:c>
      <x:c r="E207" s="3" t="str">
        <x:v>Responsive Nội dung web</x:v>
      </x:c>
      <x:c r="F207" s="3" t="str">
        <x:v>Responsive — Nội dung web tại 1440px</x:v>
      </x:c>
      <x:c r="G207" s="3" t="str">
        <x:v>Nội dung web tại 1440px</x:v>
      </x:c>
      <x:c r="H207" s="3" t="str">
        <x:v>NFR-003</x:v>
      </x:c>
      <x:c r="I207" s="3" t="str">
        <x:v>QTV có quyền tương ứng</x:v>
      </x:c>
      <x:c r="J207" s="3" t="str">
        <x:v>Responsive</x:v>
      </x:c>
      <x:c r="K207" s="3" t="str">
        <x:v>Medium</x:v>
      </x:c>
      <x:c r="L207" s="3" t="str">
        <x:v>Medium</x:v>
      </x:c>
      <x:c r="M207" s="3" t="str">
        <x:v>Môi trường QA cô lập, DB/MinIO sẵn sàng; dữ liệu fixture đã tạo. Đăng nhập tài khoản ACTIVE, mustChangePassword=false.</x:v>
      </x:c>
      <x:c r="N207" s="3" t="str">
        <x:v>Viewport 1440×900 CSS px; fixture có tên/tiêu đề dài và tiếng Việt.</x:v>
      </x:c>
      <x:c r="O207" s="3" t="str">
        <x:v>1. Mở /admin/website; viewport 1440×900 CSS px, zoom100%
2. Cuộn hết trang và mở tương tác chính
3. Đo scrollWidth so clientWidth và chụp màn hình</x:v>
      </x:c>
      <x:c r="P207" s="3" t="str">
        <x:v>Không tràn ngang toàn trang; chữ/nút không chồng hoặc bị cắt; nội dung/ảnh không mất; bảng rộng cuộn trong vùng bảng. Menu và CTA chính thao tác được.</x:v>
      </x:c>
      <x:c r="Q207" s="11" t="str"/>
      <x:c r="R207" s="8" t="str">
        <x:v>NOT RUN</x:v>
      </x:c>
      <x:c r="S207" s="11" t="str">
        <x:v>QA/UAT — cần điền URL/build</x:v>
      </x:c>
      <x:c r="T207" s="11" t="str">
        <x:v>Cần điền phiên bản thực</x:v>
      </x:c>
      <x:c r="U207" s="11" t="str"/>
      <x:c r="V207" s="12" t="str"/>
      <x:c r="W207" s="11" t="str"/>
      <x:c r="X207" s="11" t="str"/>
      <x:c r="Y207" s="3" t="str">
        <x:v>Nguồn: frontend/src/app; admin/src/app/styles.css. Đánh giá khả dụng theo yêu cầu người dùng; ngưỡng WCAG chính thức vẫn cần phê duyệt.</x:v>
      </x:c>
    </x:row>
    <x:row r="208" ht="49" customHeight="1">
      <x:c r="A208" s="3" t="n">
        <x:v>207</x:v>
      </x:c>
      <x:c r="B208" s="3" t="str">
        <x:v>TC_UI_168</x:v>
      </x:c>
      <x:c r="C208" s="3" t="str">
        <x:v>UI</x:v>
      </x:c>
      <x:c r="D208" s="3" t="str">
        <x:v>Responsive Nội dung web</x:v>
      </x:c>
      <x:c r="E208" s="3" t="str">
        <x:v>Responsive Nội dung web</x:v>
      </x:c>
      <x:c r="F208" s="3" t="str">
        <x:v>Responsive — Nội dung web tại 1920px</x:v>
      </x:c>
      <x:c r="G208" s="3" t="str">
        <x:v>Nội dung web tại 1920px</x:v>
      </x:c>
      <x:c r="H208" s="3" t="str">
        <x:v>NFR-003</x:v>
      </x:c>
      <x:c r="I208" s="3" t="str">
        <x:v>QTV có quyền tương ứng</x:v>
      </x:c>
      <x:c r="J208" s="3" t="str">
        <x:v>Responsive</x:v>
      </x:c>
      <x:c r="K208" s="3" t="str">
        <x:v>Medium</x:v>
      </x:c>
      <x:c r="L208" s="3" t="str">
        <x:v>Medium</x:v>
      </x:c>
      <x:c r="M208" s="3" t="str">
        <x:v>Môi trường QA cô lập, DB/MinIO sẵn sàng; dữ liệu fixture đã tạo. Đăng nhập tài khoản ACTIVE, mustChangePassword=false.</x:v>
      </x:c>
      <x:c r="N208" s="3" t="str">
        <x:v>Viewport 1920×900 CSS px; fixture có tên/tiêu đề dài và tiếng Việt.</x:v>
      </x:c>
      <x:c r="O208" s="3" t="str">
        <x:v>1. Mở /admin/website; viewport 1920×900 CSS px, zoom100%
2. Cuộn hết trang và mở tương tác chính
3. Đo scrollWidth so clientWidth và chụp màn hình</x:v>
      </x:c>
      <x:c r="P208" s="3" t="str">
        <x:v>Không tràn ngang toàn trang; chữ/nút không chồng hoặc bị cắt; nội dung/ảnh không mất; bảng rộng cuộn trong vùng bảng. Menu và CTA chính thao tác được.</x:v>
      </x:c>
      <x:c r="Q208" s="11" t="str"/>
      <x:c r="R208" s="8" t="str">
        <x:v>NOT RUN</x:v>
      </x:c>
      <x:c r="S208" s="11" t="str">
        <x:v>QA/UAT — cần điền URL/build</x:v>
      </x:c>
      <x:c r="T208" s="11" t="str">
        <x:v>Cần điền phiên bản thực</x:v>
      </x:c>
      <x:c r="U208" s="11" t="str"/>
      <x:c r="V208" s="12" t="str"/>
      <x:c r="W208" s="11" t="str"/>
      <x:c r="X208" s="11" t="str"/>
      <x:c r="Y208" s="3" t="str">
        <x:v>Nguồn: frontend/src/app; admin/src/app/styles.css. Đánh giá khả dụng theo yêu cầu người dùng; ngưỡng WCAG chính thức vẫn cần phê duyệt.</x:v>
      </x:c>
    </x:row>
    <x:row r="209" ht="49" customHeight="1">
      <x:c r="A209" s="3" t="n">
        <x:v>208</x:v>
      </x:c>
      <x:c r="B209" s="3" t="str">
        <x:v>TC_UI_169</x:v>
      </x:c>
      <x:c r="C209" s="3" t="str">
        <x:v>UI</x:v>
      </x:c>
      <x:c r="D209" s="3" t="str">
        <x:v>Responsive Ứng tuyển</x:v>
      </x:c>
      <x:c r="E209" s="3" t="str">
        <x:v>Responsive Ứng tuyển</x:v>
      </x:c>
      <x:c r="F209" s="3" t="str">
        <x:v>Responsive — Ứng tuyển tại 320px</x:v>
      </x:c>
      <x:c r="G209" s="3" t="str">
        <x:v>Ứng tuyển tại 320px</x:v>
      </x:c>
      <x:c r="H209" s="3" t="str">
        <x:v>NFR-003</x:v>
      </x:c>
      <x:c r="I209" s="3" t="str">
        <x:v>QTV có quyền tương ứng</x:v>
      </x:c>
      <x:c r="J209" s="3" t="str">
        <x:v>Responsive</x:v>
      </x:c>
      <x:c r="K209" s="3" t="str">
        <x:v>High</x:v>
      </x:c>
      <x:c r="L209" s="3" t="str">
        <x:v>High</x:v>
      </x:c>
      <x:c r="M209" s="3" t="str">
        <x:v>Môi trường QA cô lập, DB/MinIO sẵn sàng; dữ liệu fixture đã tạo. Đăng nhập tài khoản ACTIVE, mustChangePassword=false.</x:v>
      </x:c>
      <x:c r="N209" s="3" t="str">
        <x:v>Viewport 320×900 CSS px; fixture có tên/tiêu đề dài và tiếng Việt.</x:v>
      </x:c>
      <x:c r="O209" s="3" t="str">
        <x:v>1. Mở /admin/applications; viewport 320×900 CSS px, zoom100%
2. Cuộn hết trang và mở tương tác chính
3. Đo scrollWidth so clientWidth và chụp màn hình</x:v>
      </x:c>
      <x:c r="P209" s="3" t="str">
        <x:v>Không tràn ngang toàn trang; chữ/nút không chồng hoặc bị cắt; nội dung/ảnh không mất; bảng rộng cuộn trong vùng bảng. Menu và CTA chính thao tác được.</x:v>
      </x:c>
      <x:c r="Q209" s="11" t="str"/>
      <x:c r="R209" s="8" t="str">
        <x:v>NOT RUN</x:v>
      </x:c>
      <x:c r="S209" s="11" t="str">
        <x:v>QA/UAT — cần điền URL/build</x:v>
      </x:c>
      <x:c r="T209" s="11" t="str">
        <x:v>Cần điền phiên bản thực</x:v>
      </x:c>
      <x:c r="U209" s="11" t="str"/>
      <x:c r="V209" s="12" t="str"/>
      <x:c r="W209" s="11" t="str"/>
      <x:c r="X209" s="11" t="str"/>
      <x:c r="Y209" s="3" t="str">
        <x:v>Nguồn: frontend/src/app; admin/src/app/styles.css. Đánh giá khả dụng theo yêu cầu người dùng; ngưỡng WCAG chính thức vẫn cần phê duyệt.</x:v>
      </x:c>
    </x:row>
    <x:row r="210" ht="49" customHeight="1">
      <x:c r="A210" s="3" t="n">
        <x:v>209</x:v>
      </x:c>
      <x:c r="B210" s="3" t="str">
        <x:v>TC_UI_170</x:v>
      </x:c>
      <x:c r="C210" s="3" t="str">
        <x:v>UI</x:v>
      </x:c>
      <x:c r="D210" s="3" t="str">
        <x:v>Responsive Ứng tuyển</x:v>
      </x:c>
      <x:c r="E210" s="3" t="str">
        <x:v>Responsive Ứng tuyển</x:v>
      </x:c>
      <x:c r="F210" s="3" t="str">
        <x:v>Responsive — Ứng tuyển tại 375px</x:v>
      </x:c>
      <x:c r="G210" s="3" t="str">
        <x:v>Ứng tuyển tại 375px</x:v>
      </x:c>
      <x:c r="H210" s="3" t="str">
        <x:v>NFR-003</x:v>
      </x:c>
      <x:c r="I210" s="3" t="str">
        <x:v>QTV có quyền tương ứng</x:v>
      </x:c>
      <x:c r="J210" s="3" t="str">
        <x:v>Responsive</x:v>
      </x:c>
      <x:c r="K210" s="3" t="str">
        <x:v>Medium</x:v>
      </x:c>
      <x:c r="L210" s="3" t="str">
        <x:v>Medium</x:v>
      </x:c>
      <x:c r="M210" s="3" t="str">
        <x:v>Môi trường QA cô lập, DB/MinIO sẵn sàng; dữ liệu fixture đã tạo. Đăng nhập tài khoản ACTIVE, mustChangePassword=false.</x:v>
      </x:c>
      <x:c r="N210" s="3" t="str">
        <x:v>Viewport 375×900 CSS px; fixture có tên/tiêu đề dài và tiếng Việt.</x:v>
      </x:c>
      <x:c r="O210" s="3" t="str">
        <x:v>1. Mở /admin/applications; viewport 375×900 CSS px, zoom100%
2. Cuộn hết trang và mở tương tác chính
3. Đo scrollWidth so clientWidth và chụp màn hình</x:v>
      </x:c>
      <x:c r="P210" s="3" t="str">
        <x:v>Không tràn ngang toàn trang; chữ/nút không chồng hoặc bị cắt; nội dung/ảnh không mất; bảng rộng cuộn trong vùng bảng. Menu và CTA chính thao tác được.</x:v>
      </x:c>
      <x:c r="Q210" s="11" t="str"/>
      <x:c r="R210" s="8" t="str">
        <x:v>NOT RUN</x:v>
      </x:c>
      <x:c r="S210" s="11" t="str">
        <x:v>QA/UAT — cần điền URL/build</x:v>
      </x:c>
      <x:c r="T210" s="11" t="str">
        <x:v>Cần điền phiên bản thực</x:v>
      </x:c>
      <x:c r="U210" s="11" t="str"/>
      <x:c r="V210" s="12" t="str"/>
      <x:c r="W210" s="11" t="str"/>
      <x:c r="X210" s="11" t="str"/>
      <x:c r="Y210" s="3" t="str">
        <x:v>Nguồn: frontend/src/app; admin/src/app/styles.css. Đánh giá khả dụng theo yêu cầu người dùng; ngưỡng WCAG chính thức vẫn cần phê duyệt.</x:v>
      </x:c>
    </x:row>
    <x:row r="211" ht="49" customHeight="1">
      <x:c r="A211" s="3" t="n">
        <x:v>210</x:v>
      </x:c>
      <x:c r="B211" s="3" t="str">
        <x:v>TC_UI_171</x:v>
      </x:c>
      <x:c r="C211" s="3" t="str">
        <x:v>UI</x:v>
      </x:c>
      <x:c r="D211" s="3" t="str">
        <x:v>Responsive Ứng tuyển</x:v>
      </x:c>
      <x:c r="E211" s="3" t="str">
        <x:v>Responsive Ứng tuyển</x:v>
      </x:c>
      <x:c r="F211" s="3" t="str">
        <x:v>Responsive — Ứng tuyển tại 390px</x:v>
      </x:c>
      <x:c r="G211" s="3" t="str">
        <x:v>Ứng tuyển tại 390px</x:v>
      </x:c>
      <x:c r="H211" s="3" t="str">
        <x:v>NFR-003</x:v>
      </x:c>
      <x:c r="I211" s="3" t="str">
        <x:v>QTV có quyền tương ứng</x:v>
      </x:c>
      <x:c r="J211" s="3" t="str">
        <x:v>Responsive</x:v>
      </x:c>
      <x:c r="K211" s="3" t="str">
        <x:v>Medium</x:v>
      </x:c>
      <x:c r="L211" s="3" t="str">
        <x:v>Medium</x:v>
      </x:c>
      <x:c r="M211" s="3" t="str">
        <x:v>Môi trường QA cô lập, DB/MinIO sẵn sàng; dữ liệu fixture đã tạo. Đăng nhập tài khoản ACTIVE, mustChangePassword=false.</x:v>
      </x:c>
      <x:c r="N211" s="3" t="str">
        <x:v>Viewport 390×900 CSS px; fixture có tên/tiêu đề dài và tiếng Việt.</x:v>
      </x:c>
      <x:c r="O211" s="3" t="str">
        <x:v>1. Mở /admin/applications; viewport 390×900 CSS px, zoom100%
2. Cuộn hết trang và mở tương tác chính
3. Đo scrollWidth so clientWidth và chụp màn hình</x:v>
      </x:c>
      <x:c r="P211" s="3" t="str">
        <x:v>Không tràn ngang toàn trang; chữ/nút không chồng hoặc bị cắt; nội dung/ảnh không mất; bảng rộng cuộn trong vùng bảng. Menu và CTA chính thao tác được.</x:v>
      </x:c>
      <x:c r="Q211" s="11" t="str"/>
      <x:c r="R211" s="8" t="str">
        <x:v>NOT RUN</x:v>
      </x:c>
      <x:c r="S211" s="11" t="str">
        <x:v>QA/UAT — cần điền URL/build</x:v>
      </x:c>
      <x:c r="T211" s="11" t="str">
        <x:v>Cần điền phiên bản thực</x:v>
      </x:c>
      <x:c r="U211" s="11" t="str"/>
      <x:c r="V211" s="12" t="str"/>
      <x:c r="W211" s="11" t="str"/>
      <x:c r="X211" s="11" t="str"/>
      <x:c r="Y211" s="3" t="str">
        <x:v>Nguồn: frontend/src/app; admin/src/app/styles.css. Đánh giá khả dụng theo yêu cầu người dùng; ngưỡng WCAG chính thức vẫn cần phê duyệt.</x:v>
      </x:c>
    </x:row>
    <x:row r="212" ht="49" customHeight="1">
      <x:c r="A212" s="3" t="n">
        <x:v>211</x:v>
      </x:c>
      <x:c r="B212" s="3" t="str">
        <x:v>TC_UI_172</x:v>
      </x:c>
      <x:c r="C212" s="3" t="str">
        <x:v>UI</x:v>
      </x:c>
      <x:c r="D212" s="3" t="str">
        <x:v>Responsive Ứng tuyển</x:v>
      </x:c>
      <x:c r="E212" s="3" t="str">
        <x:v>Responsive Ứng tuyển</x:v>
      </x:c>
      <x:c r="F212" s="3" t="str">
        <x:v>Responsive — Ứng tuyển tại 768px</x:v>
      </x:c>
      <x:c r="G212" s="3" t="str">
        <x:v>Ứng tuyển tại 768px</x:v>
      </x:c>
      <x:c r="H212" s="3" t="str">
        <x:v>NFR-003</x:v>
      </x:c>
      <x:c r="I212" s="3" t="str">
        <x:v>QTV có quyền tương ứng</x:v>
      </x:c>
      <x:c r="J212" s="3" t="str">
        <x:v>Responsive</x:v>
      </x:c>
      <x:c r="K212" s="3" t="str">
        <x:v>Medium</x:v>
      </x:c>
      <x:c r="L212" s="3" t="str">
        <x:v>Medium</x:v>
      </x:c>
      <x:c r="M212" s="3" t="str">
        <x:v>Môi trường QA cô lập, DB/MinIO sẵn sàng; dữ liệu fixture đã tạo. Đăng nhập tài khoản ACTIVE, mustChangePassword=false.</x:v>
      </x:c>
      <x:c r="N212" s="3" t="str">
        <x:v>Viewport 768×900 CSS px; fixture có tên/tiêu đề dài và tiếng Việt.</x:v>
      </x:c>
      <x:c r="O212" s="3" t="str">
        <x:v>1. Mở /admin/applications; viewport 768×900 CSS px, zoom100%
2. Cuộn hết trang và mở tương tác chính
3. Đo scrollWidth so clientWidth và chụp màn hình</x:v>
      </x:c>
      <x:c r="P212" s="3" t="str">
        <x:v>Không tràn ngang toàn trang; chữ/nút không chồng hoặc bị cắt; nội dung/ảnh không mất; bảng rộng cuộn trong vùng bảng. Menu và CTA chính thao tác được.</x:v>
      </x:c>
      <x:c r="Q212" s="11" t="str"/>
      <x:c r="R212" s="8" t="str">
        <x:v>NOT RUN</x:v>
      </x:c>
      <x:c r="S212" s="11" t="str">
        <x:v>QA/UAT — cần điền URL/build</x:v>
      </x:c>
      <x:c r="T212" s="11" t="str">
        <x:v>Cần điền phiên bản thực</x:v>
      </x:c>
      <x:c r="U212" s="11" t="str"/>
      <x:c r="V212" s="12" t="str"/>
      <x:c r="W212" s="11" t="str"/>
      <x:c r="X212" s="11" t="str"/>
      <x:c r="Y212" s="3" t="str">
        <x:v>Nguồn: frontend/src/app; admin/src/app/styles.css. Đánh giá khả dụng theo yêu cầu người dùng; ngưỡng WCAG chính thức vẫn cần phê duyệt.</x:v>
      </x:c>
    </x:row>
    <x:row r="213" ht="49" customHeight="1">
      <x:c r="A213" s="3" t="n">
        <x:v>212</x:v>
      </x:c>
      <x:c r="B213" s="3" t="str">
        <x:v>TC_UI_173</x:v>
      </x:c>
      <x:c r="C213" s="3" t="str">
        <x:v>UI</x:v>
      </x:c>
      <x:c r="D213" s="3" t="str">
        <x:v>Responsive Ứng tuyển</x:v>
      </x:c>
      <x:c r="E213" s="3" t="str">
        <x:v>Responsive Ứng tuyển</x:v>
      </x:c>
      <x:c r="F213" s="3" t="str">
        <x:v>Responsive — Ứng tuyển tại 1024px</x:v>
      </x:c>
      <x:c r="G213" s="3" t="str">
        <x:v>Ứng tuyển tại 1024px</x:v>
      </x:c>
      <x:c r="H213" s="3" t="str">
        <x:v>NFR-003</x:v>
      </x:c>
      <x:c r="I213" s="3" t="str">
        <x:v>QTV có quyền tương ứng</x:v>
      </x:c>
      <x:c r="J213" s="3" t="str">
        <x:v>Responsive</x:v>
      </x:c>
      <x:c r="K213" s="3" t="str">
        <x:v>Medium</x:v>
      </x:c>
      <x:c r="L213" s="3" t="str">
        <x:v>Medium</x:v>
      </x:c>
      <x:c r="M213" s="3" t="str">
        <x:v>Môi trường QA cô lập, DB/MinIO sẵn sàng; dữ liệu fixture đã tạo. Đăng nhập tài khoản ACTIVE, mustChangePassword=false.</x:v>
      </x:c>
      <x:c r="N213" s="3" t="str">
        <x:v>Viewport 1024×900 CSS px; fixture có tên/tiêu đề dài và tiếng Việt.</x:v>
      </x:c>
      <x:c r="O213" s="3" t="str">
        <x:v>1. Mở /admin/applications; viewport 1024×900 CSS px, zoom100%
2. Cuộn hết trang và mở tương tác chính
3. Đo scrollWidth so clientWidth và chụp màn hình</x:v>
      </x:c>
      <x:c r="P213" s="3" t="str">
        <x:v>Không tràn ngang toàn trang; chữ/nút không chồng hoặc bị cắt; nội dung/ảnh không mất; bảng rộng cuộn trong vùng bảng. Menu và CTA chính thao tác được.</x:v>
      </x:c>
      <x:c r="Q213" s="11" t="str"/>
      <x:c r="R213" s="8" t="str">
        <x:v>NOT RUN</x:v>
      </x:c>
      <x:c r="S213" s="11" t="str">
        <x:v>QA/UAT — cần điền URL/build</x:v>
      </x:c>
      <x:c r="T213" s="11" t="str">
        <x:v>Cần điền phiên bản thực</x:v>
      </x:c>
      <x:c r="U213" s="11" t="str"/>
      <x:c r="V213" s="12" t="str"/>
      <x:c r="W213" s="11" t="str"/>
      <x:c r="X213" s="11" t="str"/>
      <x:c r="Y213" s="3" t="str">
        <x:v>Nguồn: frontend/src/app; admin/src/app/styles.css. Đánh giá khả dụng theo yêu cầu người dùng; ngưỡng WCAG chính thức vẫn cần phê duyệt.</x:v>
      </x:c>
    </x:row>
    <x:row r="214" ht="49" customHeight="1">
      <x:c r="A214" s="3" t="n">
        <x:v>213</x:v>
      </x:c>
      <x:c r="B214" s="3" t="str">
        <x:v>TC_UI_174</x:v>
      </x:c>
      <x:c r="C214" s="3" t="str">
        <x:v>UI</x:v>
      </x:c>
      <x:c r="D214" s="3" t="str">
        <x:v>Responsive Ứng tuyển</x:v>
      </x:c>
      <x:c r="E214" s="3" t="str">
        <x:v>Responsive Ứng tuyển</x:v>
      </x:c>
      <x:c r="F214" s="3" t="str">
        <x:v>Responsive — Ứng tuyển tại 1280px</x:v>
      </x:c>
      <x:c r="G214" s="3" t="str">
        <x:v>Ứng tuyển tại 1280px</x:v>
      </x:c>
      <x:c r="H214" s="3" t="str">
        <x:v>NFR-003</x:v>
      </x:c>
      <x:c r="I214" s="3" t="str">
        <x:v>QTV có quyền tương ứng</x:v>
      </x:c>
      <x:c r="J214" s="3" t="str">
        <x:v>Responsive</x:v>
      </x:c>
      <x:c r="K214" s="3" t="str">
        <x:v>Medium</x:v>
      </x:c>
      <x:c r="L214" s="3" t="str">
        <x:v>Medium</x:v>
      </x:c>
      <x:c r="M214" s="3" t="str">
        <x:v>Môi trường QA cô lập, DB/MinIO sẵn sàng; dữ liệu fixture đã tạo. Đăng nhập tài khoản ACTIVE, mustChangePassword=false.</x:v>
      </x:c>
      <x:c r="N214" s="3" t="str">
        <x:v>Viewport 1280×900 CSS px; fixture có tên/tiêu đề dài và tiếng Việt.</x:v>
      </x:c>
      <x:c r="O214" s="3" t="str">
        <x:v>1. Mở /admin/applications; viewport 1280×900 CSS px, zoom100%
2. Cuộn hết trang và mở tương tác chính
3. Đo scrollWidth so clientWidth và chụp màn hình</x:v>
      </x:c>
      <x:c r="P214" s="3" t="str">
        <x:v>Không tràn ngang toàn trang; chữ/nút không chồng hoặc bị cắt; nội dung/ảnh không mất; bảng rộng cuộn trong vùng bảng. Menu và CTA chính thao tác được.</x:v>
      </x:c>
      <x:c r="Q214" s="11" t="str"/>
      <x:c r="R214" s="8" t="str">
        <x:v>NOT RUN</x:v>
      </x:c>
      <x:c r="S214" s="11" t="str">
        <x:v>QA/UAT — cần điền URL/build</x:v>
      </x:c>
      <x:c r="T214" s="11" t="str">
        <x:v>Cần điền phiên bản thực</x:v>
      </x:c>
      <x:c r="U214" s="11" t="str"/>
      <x:c r="V214" s="12" t="str"/>
      <x:c r="W214" s="11" t="str"/>
      <x:c r="X214" s="11" t="str"/>
      <x:c r="Y214" s="3" t="str">
        <x:v>Nguồn: frontend/src/app; admin/src/app/styles.css. Đánh giá khả dụng theo yêu cầu người dùng; ngưỡng WCAG chính thức vẫn cần phê duyệt.</x:v>
      </x:c>
    </x:row>
    <x:row r="215" ht="49" customHeight="1">
      <x:c r="A215" s="3" t="n">
        <x:v>214</x:v>
      </x:c>
      <x:c r="B215" s="3" t="str">
        <x:v>TC_UI_175</x:v>
      </x:c>
      <x:c r="C215" s="3" t="str">
        <x:v>UI</x:v>
      </x:c>
      <x:c r="D215" s="3" t="str">
        <x:v>Responsive Ứng tuyển</x:v>
      </x:c>
      <x:c r="E215" s="3" t="str">
        <x:v>Responsive Ứng tuyển</x:v>
      </x:c>
      <x:c r="F215" s="3" t="str">
        <x:v>Responsive — Ứng tuyển tại 1440px</x:v>
      </x:c>
      <x:c r="G215" s="3" t="str">
        <x:v>Ứng tuyển tại 1440px</x:v>
      </x:c>
      <x:c r="H215" s="3" t="str">
        <x:v>NFR-003</x:v>
      </x:c>
      <x:c r="I215" s="3" t="str">
        <x:v>QTV có quyền tương ứng</x:v>
      </x:c>
      <x:c r="J215" s="3" t="str">
        <x:v>Responsive</x:v>
      </x:c>
      <x:c r="K215" s="3" t="str">
        <x:v>Medium</x:v>
      </x:c>
      <x:c r="L215" s="3" t="str">
        <x:v>Medium</x:v>
      </x:c>
      <x:c r="M215" s="3" t="str">
        <x:v>Môi trường QA cô lập, DB/MinIO sẵn sàng; dữ liệu fixture đã tạo. Đăng nhập tài khoản ACTIVE, mustChangePassword=false.</x:v>
      </x:c>
      <x:c r="N215" s="3" t="str">
        <x:v>Viewport 1440×900 CSS px; fixture có tên/tiêu đề dài và tiếng Việt.</x:v>
      </x:c>
      <x:c r="O215" s="3" t="str">
        <x:v>1. Mở /admin/applications; viewport 1440×900 CSS px, zoom100%
2. Cuộn hết trang và mở tương tác chính
3. Đo scrollWidth so clientWidth và chụp màn hình</x:v>
      </x:c>
      <x:c r="P215" s="3" t="str">
        <x:v>Không tràn ngang toàn trang; chữ/nút không chồng hoặc bị cắt; nội dung/ảnh không mất; bảng rộng cuộn trong vùng bảng. Menu và CTA chính thao tác được.</x:v>
      </x:c>
      <x:c r="Q215" s="11" t="str"/>
      <x:c r="R215" s="8" t="str">
        <x:v>NOT RUN</x:v>
      </x:c>
      <x:c r="S215" s="11" t="str">
        <x:v>QA/UAT — cần điền URL/build</x:v>
      </x:c>
      <x:c r="T215" s="11" t="str">
        <x:v>Cần điền phiên bản thực</x:v>
      </x:c>
      <x:c r="U215" s="11" t="str"/>
      <x:c r="V215" s="12" t="str"/>
      <x:c r="W215" s="11" t="str"/>
      <x:c r="X215" s="11" t="str"/>
      <x:c r="Y215" s="3" t="str">
        <x:v>Nguồn: frontend/src/app; admin/src/app/styles.css. Đánh giá khả dụng theo yêu cầu người dùng; ngưỡng WCAG chính thức vẫn cần phê duyệt.</x:v>
      </x:c>
    </x:row>
    <x:row r="216" ht="49" customHeight="1">
      <x:c r="A216" s="3" t="n">
        <x:v>215</x:v>
      </x:c>
      <x:c r="B216" s="3" t="str">
        <x:v>TC_UI_176</x:v>
      </x:c>
      <x:c r="C216" s="3" t="str">
        <x:v>UI</x:v>
      </x:c>
      <x:c r="D216" s="3" t="str">
        <x:v>Responsive Ứng tuyển</x:v>
      </x:c>
      <x:c r="E216" s="3" t="str">
        <x:v>Responsive Ứng tuyển</x:v>
      </x:c>
      <x:c r="F216" s="3" t="str">
        <x:v>Responsive — Ứng tuyển tại 1920px</x:v>
      </x:c>
      <x:c r="G216" s="3" t="str">
        <x:v>Ứng tuyển tại 1920px</x:v>
      </x:c>
      <x:c r="H216" s="3" t="str">
        <x:v>NFR-003</x:v>
      </x:c>
      <x:c r="I216" s="3" t="str">
        <x:v>QTV có quyền tương ứng</x:v>
      </x:c>
      <x:c r="J216" s="3" t="str">
        <x:v>Responsive</x:v>
      </x:c>
      <x:c r="K216" s="3" t="str">
        <x:v>Medium</x:v>
      </x:c>
      <x:c r="L216" s="3" t="str">
        <x:v>Medium</x:v>
      </x:c>
      <x:c r="M216" s="3" t="str">
        <x:v>Môi trường QA cô lập, DB/MinIO sẵn sàng; dữ liệu fixture đã tạo. Đăng nhập tài khoản ACTIVE, mustChangePassword=false.</x:v>
      </x:c>
      <x:c r="N216" s="3" t="str">
        <x:v>Viewport 1920×900 CSS px; fixture có tên/tiêu đề dài và tiếng Việt.</x:v>
      </x:c>
      <x:c r="O216" s="3" t="str">
        <x:v>1. Mở /admin/applications; viewport 1920×900 CSS px, zoom100%
2. Cuộn hết trang và mở tương tác chính
3. Đo scrollWidth so clientWidth và chụp màn hình</x:v>
      </x:c>
      <x:c r="P216" s="3" t="str">
        <x:v>Không tràn ngang toàn trang; chữ/nút không chồng hoặc bị cắt; nội dung/ảnh không mất; bảng rộng cuộn trong vùng bảng. Menu và CTA chính thao tác được.</x:v>
      </x:c>
      <x:c r="Q216" s="11" t="str"/>
      <x:c r="R216" s="8" t="str">
        <x:v>NOT RUN</x:v>
      </x:c>
      <x:c r="S216" s="11" t="str">
        <x:v>QA/UAT — cần điền URL/build</x:v>
      </x:c>
      <x:c r="T216" s="11" t="str">
        <x:v>Cần điền phiên bản thực</x:v>
      </x:c>
      <x:c r="U216" s="11" t="str"/>
      <x:c r="V216" s="12" t="str"/>
      <x:c r="W216" s="11" t="str"/>
      <x:c r="X216" s="11" t="str"/>
      <x:c r="Y216" s="3" t="str">
        <x:v>Nguồn: frontend/src/app; admin/src/app/styles.css. Đánh giá khả dụng theo yêu cầu người dùng; ngưỡng WCAG chính thức vẫn cần phê duyệt.</x:v>
      </x:c>
    </x:row>
    <x:row r="217" ht="49" customHeight="1">
      <x:c r="A217" s="3" t="n">
        <x:v>216</x:v>
      </x:c>
      <x:c r="B217" s="3" t="str">
        <x:v>TC_UI_177</x:v>
      </x:c>
      <x:c r="C217" s="3" t="str">
        <x:v>UI</x:v>
      </x:c>
      <x:c r="D217" s="3" t="str">
        <x:v>Landscape</x:v>
      </x:c>
      <x:c r="E217" s="3" t="str">
        <x:v>Landscape</x:v>
      </x:c>
      <x:c r="F217" s="3" t="str">
        <x:v>Responsive — Menu/hero 667×375</x:v>
      </x:c>
      <x:c r="G217" s="3" t="str">
        <x:v>Menu/hero 667×375</x:v>
      </x:c>
      <x:c r="H217" s="3" t="str">
        <x:v>NFR-003</x:v>
      </x:c>
      <x:c r="I217" s="3" t="str">
        <x:v>Khách truy cập</x:v>
      </x:c>
      <x:c r="J217" s="3" t="str">
        <x:v>Responsive</x:v>
      </x:c>
      <x:c r="K217" s="3" t="str">
        <x:v>Medium</x:v>
      </x:c>
      <x:c r="L217" s="3" t="str">
        <x:v>Medium</x:v>
      </x:c>
      <x:c r="M217" s="3" t="str">
        <x:v>QA/UAT public sẵn sàng; không cần đăng nhập; demo=false cho case tích hợp CMS/public. Ghi viewport, OS và browser thực.</x:v>
      </x:c>
      <x:c r="N217" s="3" t="str">
        <x:v>Dữ liệu QA tổng hợp; xem fixture trong README.</x:v>
      </x:c>
      <x:c r="O217" s="3" t="str">
        <x:v>1. Mở /vi portrait
2. Xoay landscape 667×375
3. Mở menu/modal và cuộn</x:v>
      </x:c>
      <x:c r="P217" s="3" t="str">
        <x:v>Viewport thích ứng không reload mất dữ liệu; nút đóng/lưu nằm trong vùng cuộn tiếp cận được; không khóa body sau khi đóng.</x:v>
      </x:c>
      <x:c r="Q217" s="11" t="str"/>
      <x:c r="R217" s="8" t="str">
        <x:v>NOT RUN</x:v>
      </x:c>
      <x:c r="S217" s="11" t="str">
        <x:v>QA/UAT — cần điền URL/build</x:v>
      </x:c>
      <x:c r="T217" s="11" t="str">
        <x:v>Cần điền phiên bản thực</x:v>
      </x:c>
      <x:c r="U217" s="11" t="str"/>
      <x:c r="V217" s="12" t="str"/>
      <x:c r="W217" s="11" t="str"/>
      <x:c r="X217" s="11" t="str"/>
      <x:c r="Y217" s="3" t="str">
        <x:v>Nguồn: frontend/src/features/resources/components/ResourcesExplorer.tsx; admin/src/app/styles.css. </x:v>
      </x:c>
    </x:row>
    <x:row r="218" ht="49" customHeight="1">
      <x:c r="A218" s="3" t="n">
        <x:v>217</x:v>
      </x:c>
      <x:c r="B218" s="3" t="str">
        <x:v>TC_UI_178</x:v>
      </x:c>
      <x:c r="C218" s="3" t="str">
        <x:v>UI</x:v>
      </x:c>
      <x:c r="D218" s="3" t="str">
        <x:v>Landscape</x:v>
      </x:c>
      <x:c r="E218" s="3" t="str">
        <x:v>Landscape</x:v>
      </x:c>
      <x:c r="F218" s="3" t="str">
        <x:v>Responsive — Preview tài liệu 667×375</x:v>
      </x:c>
      <x:c r="G218" s="3" t="str">
        <x:v>Preview tài liệu 667×375</x:v>
      </x:c>
      <x:c r="H218" s="3" t="str">
        <x:v>NFR-003</x:v>
      </x:c>
      <x:c r="I218" s="3" t="str">
        <x:v>Khách truy cập</x:v>
      </x:c>
      <x:c r="J218" s="3" t="str">
        <x:v>Responsive</x:v>
      </x:c>
      <x:c r="K218" s="3" t="str">
        <x:v>Medium</x:v>
      </x:c>
      <x:c r="L218" s="3" t="str">
        <x:v>Medium</x:v>
      </x:c>
      <x:c r="M218" s="3" t="str">
        <x:v>QA/UAT public sẵn sàng; không cần đăng nhập; demo=false cho case tích hợp CMS/public. Ghi viewport, OS và browser thực.</x:v>
      </x:c>
      <x:c r="N218" s="3" t="str">
        <x:v>Dữ liệu QA tổng hợp; xem fixture trong README.</x:v>
      </x:c>
      <x:c r="O218" s="3" t="str">
        <x:v>1. Mở /vi/resources portrait
2. Xoay landscape 667×375
3. Mở menu/modal và cuộn</x:v>
      </x:c>
      <x:c r="P218" s="3" t="str">
        <x:v>Viewport thích ứng không reload mất dữ liệu; nút đóng/lưu nằm trong vùng cuộn tiếp cận được; không khóa body sau khi đóng.</x:v>
      </x:c>
      <x:c r="Q218" s="11" t="str"/>
      <x:c r="R218" s="8" t="str">
        <x:v>NOT RUN</x:v>
      </x:c>
      <x:c r="S218" s="11" t="str">
        <x:v>QA/UAT — cần điền URL/build</x:v>
      </x:c>
      <x:c r="T218" s="11" t="str">
        <x:v>Cần điền phiên bản thực</x:v>
      </x:c>
      <x:c r="U218" s="11" t="str"/>
      <x:c r="V218" s="12" t="str"/>
      <x:c r="W218" s="11" t="str"/>
      <x:c r="X218" s="11" t="str"/>
      <x:c r="Y218" s="3" t="str">
        <x:v>Nguồn: frontend/src/features/resources/components/ResourcesExplorer.tsx; admin/src/app/styles.css. </x:v>
      </x:c>
    </x:row>
    <x:row r="219" ht="49" customHeight="1">
      <x:c r="A219" s="3" t="n">
        <x:v>218</x:v>
      </x:c>
      <x:c r="B219" s="3" t="str">
        <x:v>TC_UI_179</x:v>
      </x:c>
      <x:c r="C219" s="3" t="str">
        <x:v>UI</x:v>
      </x:c>
      <x:c r="D219" s="3" t="str">
        <x:v>Landscape</x:v>
      </x:c>
      <x:c r="E219" s="3" t="str">
        <x:v>Landscape</x:v>
      </x:c>
      <x:c r="F219" s="3" t="str">
        <x:v>Responsive — Drawer upload 667×375</x:v>
      </x:c>
      <x:c r="G219" s="3" t="str">
        <x:v>Drawer upload 667×375</x:v>
      </x:c>
      <x:c r="H219" s="3" t="str">
        <x:v>NFR-003</x:v>
      </x:c>
      <x:c r="I219" s="3" t="str">
        <x:v>QTV có quyền tương ứng</x:v>
      </x:c>
      <x:c r="J219" s="3" t="str">
        <x:v>Responsive</x:v>
      </x:c>
      <x:c r="K219" s="3" t="str">
        <x:v>Medium</x:v>
      </x:c>
      <x:c r="L219" s="3" t="str">
        <x:v>Medium</x:v>
      </x:c>
      <x:c r="M219" s="3" t="str">
        <x:v>Môi trường QA cô lập, DB/MinIO sẵn sàng; dữ liệu fixture đã tạo. Đăng nhập tài khoản ACTIVE, mustChangePassword=false.</x:v>
      </x:c>
      <x:c r="N219" s="3" t="str">
        <x:v>Dữ liệu QA tổng hợp; xem fixture trong README.</x:v>
      </x:c>
      <x:c r="O219" s="3" t="str">
        <x:v>1. Mở /admin/resources portrait
2. Xoay landscape 667×375
3. Mở menu/modal và cuộn</x:v>
      </x:c>
      <x:c r="P219" s="3" t="str">
        <x:v>Viewport thích ứng không reload mất dữ liệu; nút đóng/lưu nằm trong vùng cuộn tiếp cận được; không khóa body sau khi đóng.</x:v>
      </x:c>
      <x:c r="Q219" s="11" t="str"/>
      <x:c r="R219" s="8" t="str">
        <x:v>NOT RUN</x:v>
      </x:c>
      <x:c r="S219" s="11" t="str">
        <x:v>QA/UAT — cần điền URL/build</x:v>
      </x:c>
      <x:c r="T219" s="11" t="str">
        <x:v>Cần điền phiên bản thực</x:v>
      </x:c>
      <x:c r="U219" s="11" t="str"/>
      <x:c r="V219" s="12" t="str"/>
      <x:c r="W219" s="11" t="str"/>
      <x:c r="X219" s="11" t="str"/>
      <x:c r="Y219" s="3" t="str">
        <x:v>Nguồn: frontend/src/features/resources/components/ResourcesExplorer.tsx; admin/src/app/styles.css. </x:v>
      </x:c>
    </x:row>
    <x:row r="220" ht="49" customHeight="1">
      <x:c r="A220" s="3" t="n">
        <x:v>219</x:v>
      </x:c>
      <x:c r="B220" s="3" t="str">
        <x:v>TC_UI_180</x:v>
      </x:c>
      <x:c r="C220" s="3" t="str">
        <x:v>UI</x:v>
      </x:c>
      <x:c r="D220" s="3" t="str">
        <x:v>Landscape</x:v>
      </x:c>
      <x:c r="E220" s="3" t="str">
        <x:v>Landscape</x:v>
      </x:c>
      <x:c r="F220" s="3" t="str">
        <x:v>Responsive — Hồ sơ 667×375</x:v>
      </x:c>
      <x:c r="G220" s="3" t="str">
        <x:v>Hồ sơ 667×375</x:v>
      </x:c>
      <x:c r="H220" s="3" t="str">
        <x:v>NFR-003</x:v>
      </x:c>
      <x:c r="I220" s="3" t="str">
        <x:v>QTV có quyền tương ứng</x:v>
      </x:c>
      <x:c r="J220" s="3" t="str">
        <x:v>Responsive</x:v>
      </x:c>
      <x:c r="K220" s="3" t="str">
        <x:v>Medium</x:v>
      </x:c>
      <x:c r="L220" s="3" t="str">
        <x:v>Medium</x:v>
      </x:c>
      <x:c r="M220" s="3" t="str">
        <x:v>Môi trường QA cô lập, DB/MinIO sẵn sàng; dữ liệu fixture đã tạo. Đăng nhập tài khoản ACTIVE, mustChangePassword=false.</x:v>
      </x:c>
      <x:c r="N220" s="3" t="str">
        <x:v>Dữ liệu QA tổng hợp; xem fixture trong README.</x:v>
      </x:c>
      <x:c r="O220" s="3" t="str">
        <x:v>1. Mở /admin/profile portrait
2. Xoay landscape 667×375
3. Mở menu/modal và cuộn</x:v>
      </x:c>
      <x:c r="P220" s="3" t="str">
        <x:v>Viewport thích ứng không reload mất dữ liệu; nút đóng/lưu nằm trong vùng cuộn tiếp cận được; không khóa body sau khi đóng.</x:v>
      </x:c>
      <x:c r="Q220" s="11" t="str"/>
      <x:c r="R220" s="8" t="str">
        <x:v>NOT RUN</x:v>
      </x:c>
      <x:c r="S220" s="11" t="str">
        <x:v>QA/UAT — cần điền URL/build</x:v>
      </x:c>
      <x:c r="T220" s="11" t="str">
        <x:v>Cần điền phiên bản thực</x:v>
      </x:c>
      <x:c r="U220" s="11" t="str"/>
      <x:c r="V220" s="12" t="str"/>
      <x:c r="W220" s="11" t="str"/>
      <x:c r="X220" s="11" t="str"/>
      <x:c r="Y220" s="3" t="str">
        <x:v>Nguồn: frontend/src/features/resources/components/ResourcesExplorer.tsx; admin/src/app/styles.css. </x:v>
      </x:c>
    </x:row>
    <x:row r="221" ht="49" customHeight="1">
      <x:c r="A221" s="3" t="n">
        <x:v>220</x:v>
      </x:c>
      <x:c r="B221" s="3" t="str">
        <x:v>TC_UI_181</x:v>
      </x:c>
      <x:c r="C221" s="3" t="str">
        <x:v>UI</x:v>
      </x:c>
      <x:c r="D221" s="3" t="str">
        <x:v>Landscape</x:v>
      </x:c>
      <x:c r="E221" s="3" t="str">
        <x:v>Landscape</x:v>
      </x:c>
      <x:c r="F221" s="3" t="str">
        <x:v>Responsive — Menu/hero 844×390</x:v>
      </x:c>
      <x:c r="G221" s="3" t="str">
        <x:v>Menu/hero 844×390</x:v>
      </x:c>
      <x:c r="H221" s="3" t="str">
        <x:v>NFR-003</x:v>
      </x:c>
      <x:c r="I221" s="3" t="str">
        <x:v>Khách truy cập</x:v>
      </x:c>
      <x:c r="J221" s="3" t="str">
        <x:v>Responsive</x:v>
      </x:c>
      <x:c r="K221" s="3" t="str">
        <x:v>Medium</x:v>
      </x:c>
      <x:c r="L221" s="3" t="str">
        <x:v>Medium</x:v>
      </x:c>
      <x:c r="M221" s="3" t="str">
        <x:v>QA/UAT public sẵn sàng; không cần đăng nhập; demo=false cho case tích hợp CMS/public. Ghi viewport, OS và browser thực.</x:v>
      </x:c>
      <x:c r="N221" s="3" t="str">
        <x:v>Dữ liệu QA tổng hợp; xem fixture trong README.</x:v>
      </x:c>
      <x:c r="O221" s="3" t="str">
        <x:v>1. Mở /vi portrait
2. Xoay landscape 844×390
3. Mở menu/modal và cuộn</x:v>
      </x:c>
      <x:c r="P221" s="3" t="str">
        <x:v>Viewport thích ứng không reload mất dữ liệu; nút đóng/lưu nằm trong vùng cuộn tiếp cận được; không khóa body sau khi đóng.</x:v>
      </x:c>
      <x:c r="Q221" s="11" t="str"/>
      <x:c r="R221" s="8" t="str">
        <x:v>NOT RUN</x:v>
      </x:c>
      <x:c r="S221" s="11" t="str">
        <x:v>QA/UAT — cần điền URL/build</x:v>
      </x:c>
      <x:c r="T221" s="11" t="str">
        <x:v>Cần điền phiên bản thực</x:v>
      </x:c>
      <x:c r="U221" s="11" t="str"/>
      <x:c r="V221" s="12" t="str"/>
      <x:c r="W221" s="11" t="str"/>
      <x:c r="X221" s="11" t="str"/>
      <x:c r="Y221" s="3" t="str">
        <x:v>Nguồn: frontend/src/features/resources/components/ResourcesExplorer.tsx; admin/src/app/styles.css. </x:v>
      </x:c>
    </x:row>
    <x:row r="222" ht="49" customHeight="1">
      <x:c r="A222" s="3" t="n">
        <x:v>221</x:v>
      </x:c>
      <x:c r="B222" s="3" t="str">
        <x:v>TC_UI_182</x:v>
      </x:c>
      <x:c r="C222" s="3" t="str">
        <x:v>UI</x:v>
      </x:c>
      <x:c r="D222" s="3" t="str">
        <x:v>Landscape</x:v>
      </x:c>
      <x:c r="E222" s="3" t="str">
        <x:v>Landscape</x:v>
      </x:c>
      <x:c r="F222" s="3" t="str">
        <x:v>Responsive — Preview tài liệu 844×390</x:v>
      </x:c>
      <x:c r="G222" s="3" t="str">
        <x:v>Preview tài liệu 844×390</x:v>
      </x:c>
      <x:c r="H222" s="3" t="str">
        <x:v>NFR-003</x:v>
      </x:c>
      <x:c r="I222" s="3" t="str">
        <x:v>Khách truy cập</x:v>
      </x:c>
      <x:c r="J222" s="3" t="str">
        <x:v>Responsive</x:v>
      </x:c>
      <x:c r="K222" s="3" t="str">
        <x:v>Medium</x:v>
      </x:c>
      <x:c r="L222" s="3" t="str">
        <x:v>Medium</x:v>
      </x:c>
      <x:c r="M222" s="3" t="str">
        <x:v>QA/UAT public sẵn sàng; không cần đăng nhập; demo=false cho case tích hợp CMS/public. Ghi viewport, OS và browser thực.</x:v>
      </x:c>
      <x:c r="N222" s="3" t="str">
        <x:v>Dữ liệu QA tổng hợp; xem fixture trong README.</x:v>
      </x:c>
      <x:c r="O222" s="3" t="str">
        <x:v>1. Mở /vi/resources portrait
2. Xoay landscape 844×390
3. Mở menu/modal và cuộn</x:v>
      </x:c>
      <x:c r="P222" s="3" t="str">
        <x:v>Viewport thích ứng không reload mất dữ liệu; nút đóng/lưu nằm trong vùng cuộn tiếp cận được; không khóa body sau khi đóng.</x:v>
      </x:c>
      <x:c r="Q222" s="11" t="str"/>
      <x:c r="R222" s="8" t="str">
        <x:v>NOT RUN</x:v>
      </x:c>
      <x:c r="S222" s="11" t="str">
        <x:v>QA/UAT — cần điền URL/build</x:v>
      </x:c>
      <x:c r="T222" s="11" t="str">
        <x:v>Cần điền phiên bản thực</x:v>
      </x:c>
      <x:c r="U222" s="11" t="str"/>
      <x:c r="V222" s="12" t="str"/>
      <x:c r="W222" s="11" t="str"/>
      <x:c r="X222" s="11" t="str"/>
      <x:c r="Y222" s="3" t="str">
        <x:v>Nguồn: frontend/src/features/resources/components/ResourcesExplorer.tsx; admin/src/app/styles.css. </x:v>
      </x:c>
    </x:row>
    <x:row r="223" ht="49" customHeight="1">
      <x:c r="A223" s="3" t="n">
        <x:v>222</x:v>
      </x:c>
      <x:c r="B223" s="3" t="str">
        <x:v>TC_UI_183</x:v>
      </x:c>
      <x:c r="C223" s="3" t="str">
        <x:v>UI</x:v>
      </x:c>
      <x:c r="D223" s="3" t="str">
        <x:v>Landscape</x:v>
      </x:c>
      <x:c r="E223" s="3" t="str">
        <x:v>Landscape</x:v>
      </x:c>
      <x:c r="F223" s="3" t="str">
        <x:v>Responsive — Drawer upload 844×390</x:v>
      </x:c>
      <x:c r="G223" s="3" t="str">
        <x:v>Drawer upload 844×390</x:v>
      </x:c>
      <x:c r="H223" s="3" t="str">
        <x:v>NFR-003</x:v>
      </x:c>
      <x:c r="I223" s="3" t="str">
        <x:v>QTV có quyền tương ứng</x:v>
      </x:c>
      <x:c r="J223" s="3" t="str">
        <x:v>Responsive</x:v>
      </x:c>
      <x:c r="K223" s="3" t="str">
        <x:v>Medium</x:v>
      </x:c>
      <x:c r="L223" s="3" t="str">
        <x:v>Medium</x:v>
      </x:c>
      <x:c r="M223" s="3" t="str">
        <x:v>Môi trường QA cô lập, DB/MinIO sẵn sàng; dữ liệu fixture đã tạo. Đăng nhập tài khoản ACTIVE, mustChangePassword=false.</x:v>
      </x:c>
      <x:c r="N223" s="3" t="str">
        <x:v>Dữ liệu QA tổng hợp; xem fixture trong README.</x:v>
      </x:c>
      <x:c r="O223" s="3" t="str">
        <x:v>1. Mở /admin/resources portrait
2. Xoay landscape 844×390
3. Mở menu/modal và cuộn</x:v>
      </x:c>
      <x:c r="P223" s="3" t="str">
        <x:v>Viewport thích ứng không reload mất dữ liệu; nút đóng/lưu nằm trong vùng cuộn tiếp cận được; không khóa body sau khi đóng.</x:v>
      </x:c>
      <x:c r="Q223" s="11" t="str"/>
      <x:c r="R223" s="8" t="str">
        <x:v>NOT RUN</x:v>
      </x:c>
      <x:c r="S223" s="11" t="str">
        <x:v>QA/UAT — cần điền URL/build</x:v>
      </x:c>
      <x:c r="T223" s="11" t="str">
        <x:v>Cần điền phiên bản thực</x:v>
      </x:c>
      <x:c r="U223" s="11" t="str"/>
      <x:c r="V223" s="12" t="str"/>
      <x:c r="W223" s="11" t="str"/>
      <x:c r="X223" s="11" t="str"/>
      <x:c r="Y223" s="3" t="str">
        <x:v>Nguồn: frontend/src/features/resources/components/ResourcesExplorer.tsx; admin/src/app/styles.css. </x:v>
      </x:c>
    </x:row>
    <x:row r="224" ht="49" customHeight="1">
      <x:c r="A224" s="3" t="n">
        <x:v>223</x:v>
      </x:c>
      <x:c r="B224" s="3" t="str">
        <x:v>TC_UI_184</x:v>
      </x:c>
      <x:c r="C224" s="3" t="str">
        <x:v>UI</x:v>
      </x:c>
      <x:c r="D224" s="3" t="str">
        <x:v>Landscape</x:v>
      </x:c>
      <x:c r="E224" s="3" t="str">
        <x:v>Landscape</x:v>
      </x:c>
      <x:c r="F224" s="3" t="str">
        <x:v>Responsive — Hồ sơ 844×390</x:v>
      </x:c>
      <x:c r="G224" s="3" t="str">
        <x:v>Hồ sơ 844×390</x:v>
      </x:c>
      <x:c r="H224" s="3" t="str">
        <x:v>NFR-003</x:v>
      </x:c>
      <x:c r="I224" s="3" t="str">
        <x:v>QTV có quyền tương ứng</x:v>
      </x:c>
      <x:c r="J224" s="3" t="str">
        <x:v>Responsive</x:v>
      </x:c>
      <x:c r="K224" s="3" t="str">
        <x:v>Medium</x:v>
      </x:c>
      <x:c r="L224" s="3" t="str">
        <x:v>Medium</x:v>
      </x:c>
      <x:c r="M224" s="3" t="str">
        <x:v>Môi trường QA cô lập, DB/MinIO sẵn sàng; dữ liệu fixture đã tạo. Đăng nhập tài khoản ACTIVE, mustChangePassword=false.</x:v>
      </x:c>
      <x:c r="N224" s="3" t="str">
        <x:v>Dữ liệu QA tổng hợp; xem fixture trong README.</x:v>
      </x:c>
      <x:c r="O224" s="3" t="str">
        <x:v>1. Mở /admin/profile portrait
2. Xoay landscape 844×390
3. Mở menu/modal và cuộn</x:v>
      </x:c>
      <x:c r="P224" s="3" t="str">
        <x:v>Viewport thích ứng không reload mất dữ liệu; nút đóng/lưu nằm trong vùng cuộn tiếp cận được; không khóa body sau khi đóng.</x:v>
      </x:c>
      <x:c r="Q224" s="11" t="str"/>
      <x:c r="R224" s="8" t="str">
        <x:v>NOT RUN</x:v>
      </x:c>
      <x:c r="S224" s="11" t="str">
        <x:v>QA/UAT — cần điền URL/build</x:v>
      </x:c>
      <x:c r="T224" s="11" t="str">
        <x:v>Cần điền phiên bản thực</x:v>
      </x:c>
      <x:c r="U224" s="11" t="str"/>
      <x:c r="V224" s="12" t="str"/>
      <x:c r="W224" s="11" t="str"/>
      <x:c r="X224" s="11" t="str"/>
      <x:c r="Y224" s="3" t="str">
        <x:v>Nguồn: frontend/src/features/resources/components/ResourcesExplorer.tsx; admin/src/app/styles.css. </x:v>
      </x:c>
    </x:row>
    <x:row r="225" ht="49" customHeight="1">
      <x:c r="A225" s="3" t="n">
        <x:v>224</x:v>
      </x:c>
      <x:c r="B225" s="3" t="str">
        <x:v>TC_UI_185</x:v>
      </x:c>
      <x:c r="C225" s="3" t="str">
        <x:v>UI</x:v>
      </x:c>
      <x:c r="D225" s="3" t="str">
        <x:v>Landscape</x:v>
      </x:c>
      <x:c r="E225" s="3" t="str">
        <x:v>Landscape</x:v>
      </x:c>
      <x:c r="F225" s="3" t="str">
        <x:v>Responsive — Menu/hero 1024×768</x:v>
      </x:c>
      <x:c r="G225" s="3" t="str">
        <x:v>Menu/hero 1024×768</x:v>
      </x:c>
      <x:c r="H225" s="3" t="str">
        <x:v>NFR-003</x:v>
      </x:c>
      <x:c r="I225" s="3" t="str">
        <x:v>Khách truy cập</x:v>
      </x:c>
      <x:c r="J225" s="3" t="str">
        <x:v>Responsive</x:v>
      </x:c>
      <x:c r="K225" s="3" t="str">
        <x:v>Medium</x:v>
      </x:c>
      <x:c r="L225" s="3" t="str">
        <x:v>Medium</x:v>
      </x:c>
      <x:c r="M225" s="3" t="str">
        <x:v>QA/UAT public sẵn sàng; không cần đăng nhập; demo=false cho case tích hợp CMS/public. Ghi viewport, OS và browser thực.</x:v>
      </x:c>
      <x:c r="N225" s="3" t="str">
        <x:v>Dữ liệu QA tổng hợp; xem fixture trong README.</x:v>
      </x:c>
      <x:c r="O225" s="3" t="str">
        <x:v>1. Mở /vi portrait
2. Xoay landscape 1024×768
3. Mở menu/modal và cuộn</x:v>
      </x:c>
      <x:c r="P225" s="3" t="str">
        <x:v>Viewport thích ứng không reload mất dữ liệu; nút đóng/lưu nằm trong vùng cuộn tiếp cận được; không khóa body sau khi đóng.</x:v>
      </x:c>
      <x:c r="Q225" s="11" t="str"/>
      <x:c r="R225" s="8" t="str">
        <x:v>NOT RUN</x:v>
      </x:c>
      <x:c r="S225" s="11" t="str">
        <x:v>QA/UAT — cần điền URL/build</x:v>
      </x:c>
      <x:c r="T225" s="11" t="str">
        <x:v>Cần điền phiên bản thực</x:v>
      </x:c>
      <x:c r="U225" s="11" t="str"/>
      <x:c r="V225" s="12" t="str"/>
      <x:c r="W225" s="11" t="str"/>
      <x:c r="X225" s="11" t="str"/>
      <x:c r="Y225" s="3" t="str">
        <x:v>Nguồn: frontend/src/features/resources/components/ResourcesExplorer.tsx; admin/src/app/styles.css. </x:v>
      </x:c>
    </x:row>
    <x:row r="226" ht="49" customHeight="1">
      <x:c r="A226" s="3" t="n">
        <x:v>225</x:v>
      </x:c>
      <x:c r="B226" s="3" t="str">
        <x:v>TC_UI_186</x:v>
      </x:c>
      <x:c r="C226" s="3" t="str">
        <x:v>UI</x:v>
      </x:c>
      <x:c r="D226" s="3" t="str">
        <x:v>Landscape</x:v>
      </x:c>
      <x:c r="E226" s="3" t="str">
        <x:v>Landscape</x:v>
      </x:c>
      <x:c r="F226" s="3" t="str">
        <x:v>Responsive — Preview tài liệu 1024×768</x:v>
      </x:c>
      <x:c r="G226" s="3" t="str">
        <x:v>Preview tài liệu 1024×768</x:v>
      </x:c>
      <x:c r="H226" s="3" t="str">
        <x:v>NFR-003</x:v>
      </x:c>
      <x:c r="I226" s="3" t="str">
        <x:v>Khách truy cập</x:v>
      </x:c>
      <x:c r="J226" s="3" t="str">
        <x:v>Responsive</x:v>
      </x:c>
      <x:c r="K226" s="3" t="str">
        <x:v>Medium</x:v>
      </x:c>
      <x:c r="L226" s="3" t="str">
        <x:v>Medium</x:v>
      </x:c>
      <x:c r="M226" s="3" t="str">
        <x:v>QA/UAT public sẵn sàng; không cần đăng nhập; demo=false cho case tích hợp CMS/public. Ghi viewport, OS và browser thực.</x:v>
      </x:c>
      <x:c r="N226" s="3" t="str">
        <x:v>Dữ liệu QA tổng hợp; xem fixture trong README.</x:v>
      </x:c>
      <x:c r="O226" s="3" t="str">
        <x:v>1. Mở /vi/resources portrait
2. Xoay landscape 1024×768
3. Mở menu/modal và cuộn</x:v>
      </x:c>
      <x:c r="P226" s="3" t="str">
        <x:v>Viewport thích ứng không reload mất dữ liệu; nút đóng/lưu nằm trong vùng cuộn tiếp cận được; không khóa body sau khi đóng.</x:v>
      </x:c>
      <x:c r="Q226" s="11" t="str"/>
      <x:c r="R226" s="8" t="str">
        <x:v>NOT RUN</x:v>
      </x:c>
      <x:c r="S226" s="11" t="str">
        <x:v>QA/UAT — cần điền URL/build</x:v>
      </x:c>
      <x:c r="T226" s="11" t="str">
        <x:v>Cần điền phiên bản thực</x:v>
      </x:c>
      <x:c r="U226" s="11" t="str"/>
      <x:c r="V226" s="12" t="str"/>
      <x:c r="W226" s="11" t="str"/>
      <x:c r="X226" s="11" t="str"/>
      <x:c r="Y226" s="3" t="str">
        <x:v>Nguồn: frontend/src/features/resources/components/ResourcesExplorer.tsx; admin/src/app/styles.css. </x:v>
      </x:c>
    </x:row>
    <x:row r="227" ht="49" customHeight="1">
      <x:c r="A227" s="3" t="n">
        <x:v>226</x:v>
      </x:c>
      <x:c r="B227" s="3" t="str">
        <x:v>TC_UI_187</x:v>
      </x:c>
      <x:c r="C227" s="3" t="str">
        <x:v>UI</x:v>
      </x:c>
      <x:c r="D227" s="3" t="str">
        <x:v>Landscape</x:v>
      </x:c>
      <x:c r="E227" s="3" t="str">
        <x:v>Landscape</x:v>
      </x:c>
      <x:c r="F227" s="3" t="str">
        <x:v>Responsive — Drawer upload 1024×768</x:v>
      </x:c>
      <x:c r="G227" s="3" t="str">
        <x:v>Drawer upload 1024×768</x:v>
      </x:c>
      <x:c r="H227" s="3" t="str">
        <x:v>NFR-003</x:v>
      </x:c>
      <x:c r="I227" s="3" t="str">
        <x:v>QTV có quyền tương ứng</x:v>
      </x:c>
      <x:c r="J227" s="3" t="str">
        <x:v>Responsive</x:v>
      </x:c>
      <x:c r="K227" s="3" t="str">
        <x:v>Medium</x:v>
      </x:c>
      <x:c r="L227" s="3" t="str">
        <x:v>Medium</x:v>
      </x:c>
      <x:c r="M227" s="3" t="str">
        <x:v>Môi trường QA cô lập, DB/MinIO sẵn sàng; dữ liệu fixture đã tạo. Đăng nhập tài khoản ACTIVE, mustChangePassword=false.</x:v>
      </x:c>
      <x:c r="N227" s="3" t="str">
        <x:v>Dữ liệu QA tổng hợp; xem fixture trong README.</x:v>
      </x:c>
      <x:c r="O227" s="3" t="str">
        <x:v>1. Mở /admin/resources portrait
2. Xoay landscape 1024×768
3. Mở menu/modal và cuộn</x:v>
      </x:c>
      <x:c r="P227" s="3" t="str">
        <x:v>Viewport thích ứng không reload mất dữ liệu; nút đóng/lưu nằm trong vùng cuộn tiếp cận được; không khóa body sau khi đóng.</x:v>
      </x:c>
      <x:c r="Q227" s="11" t="str"/>
      <x:c r="R227" s="8" t="str">
        <x:v>NOT RUN</x:v>
      </x:c>
      <x:c r="S227" s="11" t="str">
        <x:v>QA/UAT — cần điền URL/build</x:v>
      </x:c>
      <x:c r="T227" s="11" t="str">
        <x:v>Cần điền phiên bản thực</x:v>
      </x:c>
      <x:c r="U227" s="11" t="str"/>
      <x:c r="V227" s="12" t="str"/>
      <x:c r="W227" s="11" t="str"/>
      <x:c r="X227" s="11" t="str"/>
      <x:c r="Y227" s="3" t="str">
        <x:v>Nguồn: frontend/src/features/resources/components/ResourcesExplorer.tsx; admin/src/app/styles.css. </x:v>
      </x:c>
    </x:row>
    <x:row r="228" ht="49" customHeight="1">
      <x:c r="A228" s="3" t="n">
        <x:v>227</x:v>
      </x:c>
      <x:c r="B228" s="3" t="str">
        <x:v>TC_UI_188</x:v>
      </x:c>
      <x:c r="C228" s="3" t="str">
        <x:v>UI</x:v>
      </x:c>
      <x:c r="D228" s="3" t="str">
        <x:v>Landscape</x:v>
      </x:c>
      <x:c r="E228" s="3" t="str">
        <x:v>Landscape</x:v>
      </x:c>
      <x:c r="F228" s="3" t="str">
        <x:v>Responsive — Hồ sơ 1024×768</x:v>
      </x:c>
      <x:c r="G228" s="3" t="str">
        <x:v>Hồ sơ 1024×768</x:v>
      </x:c>
      <x:c r="H228" s="3" t="str">
        <x:v>NFR-003</x:v>
      </x:c>
      <x:c r="I228" s="3" t="str">
        <x:v>QTV có quyền tương ứng</x:v>
      </x:c>
      <x:c r="J228" s="3" t="str">
        <x:v>Responsive</x:v>
      </x:c>
      <x:c r="K228" s="3" t="str">
        <x:v>Medium</x:v>
      </x:c>
      <x:c r="L228" s="3" t="str">
        <x:v>Medium</x:v>
      </x:c>
      <x:c r="M228" s="3" t="str">
        <x:v>Môi trường QA cô lập, DB/MinIO sẵn sàng; dữ liệu fixture đã tạo. Đăng nhập tài khoản ACTIVE, mustChangePassword=false.</x:v>
      </x:c>
      <x:c r="N228" s="3" t="str">
        <x:v>Dữ liệu QA tổng hợp; xem fixture trong README.</x:v>
      </x:c>
      <x:c r="O228" s="3" t="str">
        <x:v>1. Mở /admin/profile portrait
2. Xoay landscape 1024×768
3. Mở menu/modal và cuộn</x:v>
      </x:c>
      <x:c r="P228" s="3" t="str">
        <x:v>Viewport thích ứng không reload mất dữ liệu; nút đóng/lưu nằm trong vùng cuộn tiếp cận được; không khóa body sau khi đóng.</x:v>
      </x:c>
      <x:c r="Q228" s="11" t="str"/>
      <x:c r="R228" s="8" t="str">
        <x:v>NOT RUN</x:v>
      </x:c>
      <x:c r="S228" s="11" t="str">
        <x:v>QA/UAT — cần điền URL/build</x:v>
      </x:c>
      <x:c r="T228" s="11" t="str">
        <x:v>Cần điền phiên bản thực</x:v>
      </x:c>
      <x:c r="U228" s="11" t="str"/>
      <x:c r="V228" s="12" t="str"/>
      <x:c r="W228" s="11" t="str"/>
      <x:c r="X228" s="11" t="str"/>
      <x:c r="Y228" s="3" t="str">
        <x:v>Nguồn: frontend/src/features/resources/components/ResourcesExplorer.tsx; admin/src/app/styles.css. </x:v>
      </x:c>
    </x:row>
    <x:row r="229" ht="49" customHeight="1">
      <x:c r="A229" s="3" t="n">
        <x:v>228</x:v>
      </x:c>
      <x:c r="B229" s="3" t="str">
        <x:v>TC_UI_189</x:v>
      </x:c>
      <x:c r="C229" s="3" t="str">
        <x:v>UI</x:v>
      </x:c>
      <x:c r="D229" s="3" t="str">
        <x:v>Menu</x:v>
      </x:c>
      <x:c r="E229" s="3" t="str">
        <x:v>Menu</x:v>
      </x:c>
      <x:c r="F229" s="3" t="str">
        <x:v>Accessibility — Menu: Keyboard</x:v>
      </x:c>
      <x:c r="G229" s="3" t="str">
        <x:v>Menu: Keyboard</x:v>
      </x:c>
      <x:c r="H229" s="3" t="str">
        <x:v>NFR-003</x:v>
      </x:c>
      <x:c r="I229" s="3" t="str">
        <x:v>Khách truy cập</x:v>
      </x:c>
      <x:c r="J229" s="3" t="str">
        <x:v>Accessibility</x:v>
      </x:c>
      <x:c r="K229" s="3" t="str">
        <x:v>Medium</x:v>
      </x:c>
      <x:c r="L229" s="3" t="str">
        <x:v>Medium</x:v>
      </x:c>
      <x:c r="M229" s="3" t="str">
        <x:v>QA/UAT public sẵn sàng; không cần đăng nhập; demo=false cho case tích hợp CMS/public. Ghi viewport, OS và browser thực.</x:v>
      </x:c>
      <x:c r="N229" s="3" t="str">
        <x:v>Dữ liệu QA tổng hợp; xem fixture trong README.</x:v>
      </x:c>
      <x:c r="O229" s="3" t="str">
        <x:v>1. Mở /vi
2. Chỉ dùng Tab/Shift+Tab, Enter, Space, Escape</x:v>
      </x:c>
      <x:c r="P229" s="3" t="str">
        <x:v>Thứ tự focus theo nội dung; focus nhìn thấy; thao tác chính không cần chuột; không mắc kẹt focus.</x:v>
      </x:c>
      <x:c r="Q229" s="11" t="str"/>
      <x:c r="R229" s="8" t="str">
        <x:v>NOT RUN</x:v>
      </x:c>
      <x:c r="S229" s="11" t="str">
        <x:v>QA/UAT — cần điền URL/build</x:v>
      </x:c>
      <x:c r="T229" s="11" t="str">
        <x:v>Cần điền phiên bản thực</x:v>
      </x:c>
      <x:c r="U229" s="11" t="str"/>
      <x:c r="V229" s="12" t="str"/>
      <x:c r="W229" s="11" t="str"/>
      <x:c r="X229" s="11" t="str"/>
      <x:c r="Y229" s="3" t="str">
        <x:v>Nguồn: frontend/src/shared/components; admin/src/components. </x:v>
      </x:c>
    </x:row>
    <x:row r="230" ht="49" customHeight="1">
      <x:c r="A230" s="3" t="n">
        <x:v>229</x:v>
      </x:c>
      <x:c r="B230" s="3" t="str">
        <x:v>TC_UI_190</x:v>
      </x:c>
      <x:c r="C230" s="3" t="str">
        <x:v>UI</x:v>
      </x:c>
      <x:c r="D230" s="3" t="str">
        <x:v>Menu</x:v>
      </x:c>
      <x:c r="E230" s="3" t="str">
        <x:v>Menu</x:v>
      </x:c>
      <x:c r="F230" s="3" t="str">
        <x:v>Accessibility — Menu: Nhãn và lỗi</x:v>
      </x:c>
      <x:c r="G230" s="3" t="str">
        <x:v>Menu: Nhãn và lỗi</x:v>
      </x:c>
      <x:c r="H230" s="3" t="str">
        <x:v>NFR-003</x:v>
      </x:c>
      <x:c r="I230" s="3" t="str">
        <x:v>Khách truy cập</x:v>
      </x:c>
      <x:c r="J230" s="3" t="str">
        <x:v>Accessibility</x:v>
      </x:c>
      <x:c r="K230" s="3" t="str">
        <x:v>Medium</x:v>
      </x:c>
      <x:c r="L230" s="3" t="str">
        <x:v>Medium</x:v>
      </x:c>
      <x:c r="M230" s="3" t="str">
        <x:v>QA/UAT public sẵn sàng; không cần đăng nhập; demo=false cho case tích hợp CMS/public. Ghi viewport, OS và browser thực.</x:v>
      </x:c>
      <x:c r="N230" s="3" t="str">
        <x:v>Dữ liệu QA tổng hợp; xem fixture trong README.</x:v>
      </x:c>
      <x:c r="O230" s="3" t="str">
        <x:v>1. Mở /vi
2. Dùng label để focus input
3. Gửi dữ liệu sai</x:v>
      </x:c>
      <x:c r="P230" s="3" t="str">
        <x:v>Input có nhãn phân biệt; thông báo lỗi gắn ngữ cảnh và đọc được bằng trợ năng.</x:v>
      </x:c>
      <x:c r="Q230" s="11" t="str"/>
      <x:c r="R230" s="8" t="str">
        <x:v>NOT RUN</x:v>
      </x:c>
      <x:c r="S230" s="11" t="str">
        <x:v>QA/UAT — cần điền URL/build</x:v>
      </x:c>
      <x:c r="T230" s="11" t="str">
        <x:v>Cần điền phiên bản thực</x:v>
      </x:c>
      <x:c r="U230" s="11" t="str"/>
      <x:c r="V230" s="12" t="str"/>
      <x:c r="W230" s="11" t="str"/>
      <x:c r="X230" s="11" t="str"/>
      <x:c r="Y230" s="3" t="str">
        <x:v>Nguồn: frontend/src/shared/components; admin/src/components. </x:v>
      </x:c>
    </x:row>
    <x:row r="231" ht="49" customHeight="1">
      <x:c r="A231" s="3" t="n">
        <x:v>230</x:v>
      </x:c>
      <x:c r="B231" s="3" t="str">
        <x:v>TC_UI_191</x:v>
      </x:c>
      <x:c r="C231" s="3" t="str">
        <x:v>UI</x:v>
      </x:c>
      <x:c r="D231" s="3" t="str">
        <x:v>Menu</x:v>
      </x:c>
      <x:c r="E231" s="3" t="str">
        <x:v>Menu</x:v>
      </x:c>
      <x:c r="F231" s="3" t="str">
        <x:v>Accessibility — Menu: Zoom 200%</x:v>
      </x:c>
      <x:c r="G231" s="3" t="str">
        <x:v>Menu: Zoom 200%</x:v>
      </x:c>
      <x:c r="H231" s="3" t="str">
        <x:v>NFR-003</x:v>
      </x:c>
      <x:c r="I231" s="3" t="str">
        <x:v>Khách truy cập</x:v>
      </x:c>
      <x:c r="J231" s="3" t="str">
        <x:v>Accessibility</x:v>
      </x:c>
      <x:c r="K231" s="3" t="str">
        <x:v>Medium</x:v>
      </x:c>
      <x:c r="L231" s="3" t="str">
        <x:v>Medium</x:v>
      </x:c>
      <x:c r="M231" s="3" t="str">
        <x:v>QA/UAT public sẵn sàng; không cần đăng nhập; demo=false cho case tích hợp CMS/public. Ghi viewport, OS và browser thực.</x:v>
      </x:c>
      <x:c r="N231" s="3" t="str">
        <x:v>Dữ liệu QA tổng hợp; xem fixture trong README.</x:v>
      </x:c>
      <x:c r="O231" s="3" t="str">
        <x:v>1. Mở /vi
2. Đặt browser zoom200%
3. Thực hiện thao tác chính</x:v>
      </x:c>
      <x:c r="P231" s="3" t="str">
        <x:v>Chữ không cắt; có thể cuộn tới nút; không mất nội dung chức năng.</x:v>
      </x:c>
      <x:c r="Q231" s="11" t="str"/>
      <x:c r="R231" s="8" t="str">
        <x:v>NOT RUN</x:v>
      </x:c>
      <x:c r="S231" s="11" t="str">
        <x:v>QA/UAT — cần điền URL/build</x:v>
      </x:c>
      <x:c r="T231" s="11" t="str">
        <x:v>Cần điền phiên bản thực</x:v>
      </x:c>
      <x:c r="U231" s="11" t="str"/>
      <x:c r="V231" s="12" t="str"/>
      <x:c r="W231" s="11" t="str"/>
      <x:c r="X231" s="11" t="str"/>
      <x:c r="Y231" s="3" t="str">
        <x:v>Nguồn: frontend/src/shared/components; admin/src/components. </x:v>
      </x:c>
    </x:row>
    <x:row r="232" ht="49" customHeight="1">
      <x:c r="A232" s="3" t="n">
        <x:v>231</x:v>
      </x:c>
      <x:c r="B232" s="3" t="str">
        <x:v>TC_UI_192</x:v>
      </x:c>
      <x:c r="C232" s="3" t="str">
        <x:v>UI</x:v>
      </x:c>
      <x:c r="D232" s="3" t="str">
        <x:v>Menu</x:v>
      </x:c>
      <x:c r="E232" s="3" t="str">
        <x:v>Menu</x:v>
      </x:c>
      <x:c r="F232" s="3" t="str">
        <x:v>UI — Menu: Trạng thái nút</x:v>
      </x:c>
      <x:c r="G232" s="3" t="str">
        <x:v>Menu: Trạng thái nút</x:v>
      </x:c>
      <x:c r="H232" s="3" t="str">
        <x:v>NFR-003</x:v>
      </x:c>
      <x:c r="I232" s="3" t="str">
        <x:v>Khách truy cập</x:v>
      </x:c>
      <x:c r="J232" s="3" t="str">
        <x:v>UI</x:v>
      </x:c>
      <x:c r="K232" s="3" t="str">
        <x:v>Medium</x:v>
      </x:c>
      <x:c r="L232" s="3" t="str">
        <x:v>Medium</x:v>
      </x:c>
      <x:c r="M232" s="3" t="str">
        <x:v>QA/UAT public sẵn sàng; không cần đăng nhập; demo=false cho case tích hợp CMS/public. Ghi viewport, OS và browser thực.</x:v>
      </x:c>
      <x:c r="N232" s="3" t="str">
        <x:v>Dữ liệu QA tổng hợp; xem fixture trong README.</x:v>
      </x:c>
      <x:c r="O232" s="3" t="str">
        <x:v>1. Mở /vi
2. Hover/focus nút
3. Gửi thao tác trên mạng chậm</x:v>
      </x:c>
      <x:c r="P232" s="3" t="str">
        <x:v>Nút có focus rõ; disabled khi pending; phục hồi sau lỗi; không gửi lặp.</x:v>
      </x:c>
      <x:c r="Q232" s="11" t="str"/>
      <x:c r="R232" s="8" t="str">
        <x:v>NOT RUN</x:v>
      </x:c>
      <x:c r="S232" s="11" t="str">
        <x:v>QA/UAT — cần điền URL/build</x:v>
      </x:c>
      <x:c r="T232" s="11" t="str">
        <x:v>Cần điền phiên bản thực</x:v>
      </x:c>
      <x:c r="U232" s="11" t="str"/>
      <x:c r="V232" s="12" t="str"/>
      <x:c r="W232" s="11" t="str"/>
      <x:c r="X232" s="11" t="str"/>
      <x:c r="Y232" s="3" t="str">
        <x:v>Nguồn: frontend/src/shared/components; admin/src/components. </x:v>
      </x:c>
    </x:row>
    <x:row r="233" ht="49" customHeight="1">
      <x:c r="A233" s="3" t="n">
        <x:v>232</x:v>
      </x:c>
      <x:c r="B233" s="3" t="str">
        <x:v>TC_UI_193</x:v>
      </x:c>
      <x:c r="C233" s="3" t="str">
        <x:v>UI</x:v>
      </x:c>
      <x:c r="D233" s="3" t="str">
        <x:v>Form tư vấn</x:v>
      </x:c>
      <x:c r="E233" s="3" t="str">
        <x:v>Form tư vấn</x:v>
      </x:c>
      <x:c r="F233" s="3" t="str">
        <x:v>Accessibility — Form tư vấn: Keyboard</x:v>
      </x:c>
      <x:c r="G233" s="3" t="str">
        <x:v>Form tư vấn: Keyboard</x:v>
      </x:c>
      <x:c r="H233" s="3" t="str">
        <x:v>NFR-003</x:v>
      </x:c>
      <x:c r="I233" s="3" t="str">
        <x:v>Khách truy cập</x:v>
      </x:c>
      <x:c r="J233" s="3" t="str">
        <x:v>Accessibility</x:v>
      </x:c>
      <x:c r="K233" s="3" t="str">
        <x:v>Medium</x:v>
      </x:c>
      <x:c r="L233" s="3" t="str">
        <x:v>Medium</x:v>
      </x:c>
      <x:c r="M233" s="3" t="str">
        <x:v>QA/UAT public sẵn sàng; không cần đăng nhập; demo=false cho case tích hợp CMS/public. Ghi viewport, OS và browser thực.</x:v>
      </x:c>
      <x:c r="N233" s="3" t="str">
        <x:v>Dữ liệu QA tổng hợp; xem fixture trong README.</x:v>
      </x:c>
      <x:c r="O233" s="3" t="str">
        <x:v>1. Mở /vi/admissions
2. Chỉ dùng Tab/Shift+Tab, Enter, Space, Escape</x:v>
      </x:c>
      <x:c r="P233" s="3" t="str">
        <x:v>Thứ tự focus theo nội dung; focus nhìn thấy; thao tác chính không cần chuột; không mắc kẹt focus.</x:v>
      </x:c>
      <x:c r="Q233" s="11" t="str"/>
      <x:c r="R233" s="8" t="str">
        <x:v>NOT RUN</x:v>
      </x:c>
      <x:c r="S233" s="11" t="str">
        <x:v>QA/UAT — cần điền URL/build</x:v>
      </x:c>
      <x:c r="T233" s="11" t="str">
        <x:v>Cần điền phiên bản thực</x:v>
      </x:c>
      <x:c r="U233" s="11" t="str"/>
      <x:c r="V233" s="12" t="str"/>
      <x:c r="W233" s="11" t="str"/>
      <x:c r="X233" s="11" t="str"/>
      <x:c r="Y233" s="3" t="str">
        <x:v>Nguồn: frontend/src/shared/components; admin/src/components. </x:v>
      </x:c>
    </x:row>
    <x:row r="234" ht="49" customHeight="1">
      <x:c r="A234" s="3" t="n">
        <x:v>233</x:v>
      </x:c>
      <x:c r="B234" s="3" t="str">
        <x:v>TC_UI_194</x:v>
      </x:c>
      <x:c r="C234" s="3" t="str">
        <x:v>UI</x:v>
      </x:c>
      <x:c r="D234" s="3" t="str">
        <x:v>Form tư vấn</x:v>
      </x:c>
      <x:c r="E234" s="3" t="str">
        <x:v>Form tư vấn</x:v>
      </x:c>
      <x:c r="F234" s="3" t="str">
        <x:v>Accessibility — Form tư vấn: Nhãn và lỗi</x:v>
      </x:c>
      <x:c r="G234" s="3" t="str">
        <x:v>Form tư vấn: Nhãn và lỗi</x:v>
      </x:c>
      <x:c r="H234" s="3" t="str">
        <x:v>NFR-003</x:v>
      </x:c>
      <x:c r="I234" s="3" t="str">
        <x:v>Khách truy cập</x:v>
      </x:c>
      <x:c r="J234" s="3" t="str">
        <x:v>Accessibility</x:v>
      </x:c>
      <x:c r="K234" s="3" t="str">
        <x:v>Medium</x:v>
      </x:c>
      <x:c r="L234" s="3" t="str">
        <x:v>Medium</x:v>
      </x:c>
      <x:c r="M234" s="3" t="str">
        <x:v>QA/UAT public sẵn sàng; không cần đăng nhập; demo=false cho case tích hợp CMS/public. Ghi viewport, OS và browser thực.</x:v>
      </x:c>
      <x:c r="N234" s="3" t="str">
        <x:v>Dữ liệu QA tổng hợp; xem fixture trong README.</x:v>
      </x:c>
      <x:c r="O234" s="3" t="str">
        <x:v>1. Mở /vi/admissions
2. Dùng label để focus input
3. Gửi dữ liệu sai</x:v>
      </x:c>
      <x:c r="P234" s="3" t="str">
        <x:v>Input có nhãn phân biệt; thông báo lỗi gắn ngữ cảnh và đọc được bằng trợ năng.</x:v>
      </x:c>
      <x:c r="Q234" s="11" t="str"/>
      <x:c r="R234" s="8" t="str">
        <x:v>NOT RUN</x:v>
      </x:c>
      <x:c r="S234" s="11" t="str">
        <x:v>QA/UAT — cần điền URL/build</x:v>
      </x:c>
      <x:c r="T234" s="11" t="str">
        <x:v>Cần điền phiên bản thực</x:v>
      </x:c>
      <x:c r="U234" s="11" t="str"/>
      <x:c r="V234" s="12" t="str"/>
      <x:c r="W234" s="11" t="str"/>
      <x:c r="X234" s="11" t="str"/>
      <x:c r="Y234" s="3" t="str">
        <x:v>Nguồn: frontend/src/shared/components; admin/src/components. </x:v>
      </x:c>
    </x:row>
    <x:row r="235" ht="49" customHeight="1">
      <x:c r="A235" s="3" t="n">
        <x:v>234</x:v>
      </x:c>
      <x:c r="B235" s="3" t="str">
        <x:v>TC_UI_195</x:v>
      </x:c>
      <x:c r="C235" s="3" t="str">
        <x:v>UI</x:v>
      </x:c>
      <x:c r="D235" s="3" t="str">
        <x:v>Form tư vấn</x:v>
      </x:c>
      <x:c r="E235" s="3" t="str">
        <x:v>Form tư vấn</x:v>
      </x:c>
      <x:c r="F235" s="3" t="str">
        <x:v>Accessibility — Form tư vấn: Zoom 200%</x:v>
      </x:c>
      <x:c r="G235" s="3" t="str">
        <x:v>Form tư vấn: Zoom 200%</x:v>
      </x:c>
      <x:c r="H235" s="3" t="str">
        <x:v>NFR-003</x:v>
      </x:c>
      <x:c r="I235" s="3" t="str">
        <x:v>Khách truy cập</x:v>
      </x:c>
      <x:c r="J235" s="3" t="str">
        <x:v>Accessibility</x:v>
      </x:c>
      <x:c r="K235" s="3" t="str">
        <x:v>Medium</x:v>
      </x:c>
      <x:c r="L235" s="3" t="str">
        <x:v>Medium</x:v>
      </x:c>
      <x:c r="M235" s="3" t="str">
        <x:v>QA/UAT public sẵn sàng; không cần đăng nhập; demo=false cho case tích hợp CMS/public. Ghi viewport, OS và browser thực.</x:v>
      </x:c>
      <x:c r="N235" s="3" t="str">
        <x:v>Dữ liệu QA tổng hợp; xem fixture trong README.</x:v>
      </x:c>
      <x:c r="O235" s="3" t="str">
        <x:v>1. Mở /vi/admissions
2. Đặt browser zoom200%
3. Thực hiện thao tác chính</x:v>
      </x:c>
      <x:c r="P235" s="3" t="str">
        <x:v>Chữ không cắt; có thể cuộn tới nút; không mất nội dung chức năng.</x:v>
      </x:c>
      <x:c r="Q235" s="11" t="str"/>
      <x:c r="R235" s="8" t="str">
        <x:v>NOT RUN</x:v>
      </x:c>
      <x:c r="S235" s="11" t="str">
        <x:v>QA/UAT — cần điền URL/build</x:v>
      </x:c>
      <x:c r="T235" s="11" t="str">
        <x:v>Cần điền phiên bản thực</x:v>
      </x:c>
      <x:c r="U235" s="11" t="str"/>
      <x:c r="V235" s="12" t="str"/>
      <x:c r="W235" s="11" t="str"/>
      <x:c r="X235" s="11" t="str"/>
      <x:c r="Y235" s="3" t="str">
        <x:v>Nguồn: frontend/src/shared/components; admin/src/components. </x:v>
      </x:c>
    </x:row>
    <x:row r="236" ht="49" customHeight="1">
      <x:c r="A236" s="3" t="n">
        <x:v>235</x:v>
      </x:c>
      <x:c r="B236" s="3" t="str">
        <x:v>TC_UI_196</x:v>
      </x:c>
      <x:c r="C236" s="3" t="str">
        <x:v>UI</x:v>
      </x:c>
      <x:c r="D236" s="3" t="str">
        <x:v>Form tư vấn</x:v>
      </x:c>
      <x:c r="E236" s="3" t="str">
        <x:v>Form tư vấn</x:v>
      </x:c>
      <x:c r="F236" s="3" t="str">
        <x:v>UI — Form tư vấn: Trạng thái nút</x:v>
      </x:c>
      <x:c r="G236" s="3" t="str">
        <x:v>Form tư vấn: Trạng thái nút</x:v>
      </x:c>
      <x:c r="H236" s="3" t="str">
        <x:v>NFR-003</x:v>
      </x:c>
      <x:c r="I236" s="3" t="str">
        <x:v>Khách truy cập</x:v>
      </x:c>
      <x:c r="J236" s="3" t="str">
        <x:v>UI</x:v>
      </x:c>
      <x:c r="K236" s="3" t="str">
        <x:v>Medium</x:v>
      </x:c>
      <x:c r="L236" s="3" t="str">
        <x:v>Medium</x:v>
      </x:c>
      <x:c r="M236" s="3" t="str">
        <x:v>QA/UAT public sẵn sàng; không cần đăng nhập; demo=false cho case tích hợp CMS/public. Ghi viewport, OS và browser thực.</x:v>
      </x:c>
      <x:c r="N236" s="3" t="str">
        <x:v>Dữ liệu QA tổng hợp; xem fixture trong README.</x:v>
      </x:c>
      <x:c r="O236" s="3" t="str">
        <x:v>1. Mở /vi/admissions
2. Hover/focus nút
3. Gửi thao tác trên mạng chậm</x:v>
      </x:c>
      <x:c r="P236" s="3" t="str">
        <x:v>Nút có focus rõ; disabled khi pending; phục hồi sau lỗi; không gửi lặp.</x:v>
      </x:c>
      <x:c r="Q236" s="11" t="str"/>
      <x:c r="R236" s="8" t="str">
        <x:v>NOT RUN</x:v>
      </x:c>
      <x:c r="S236" s="11" t="str">
        <x:v>QA/UAT — cần điền URL/build</x:v>
      </x:c>
      <x:c r="T236" s="11" t="str">
        <x:v>Cần điền phiên bản thực</x:v>
      </x:c>
      <x:c r="U236" s="11" t="str"/>
      <x:c r="V236" s="12" t="str"/>
      <x:c r="W236" s="11" t="str"/>
      <x:c r="X236" s="11" t="str"/>
      <x:c r="Y236" s="3" t="str">
        <x:v>Nguồn: frontend/src/shared/components; admin/src/components. </x:v>
      </x:c>
    </x:row>
    <x:row r="237" ht="49" customHeight="1">
      <x:c r="A237" s="3" t="n">
        <x:v>236</x:v>
      </x:c>
      <x:c r="B237" s="3" t="str">
        <x:v>TC_UI_197</x:v>
      </x:c>
      <x:c r="C237" s="3" t="str">
        <x:v>UI</x:v>
      </x:c>
      <x:c r="D237" s="3" t="str">
        <x:v>Editor</x:v>
      </x:c>
      <x:c r="E237" s="3" t="str">
        <x:v>Editor</x:v>
      </x:c>
      <x:c r="F237" s="3" t="str">
        <x:v>Accessibility — Editor: Keyboard</x:v>
      </x:c>
      <x:c r="G237" s="3" t="str">
        <x:v>Editor: Keyboard</x:v>
      </x:c>
      <x:c r="H237" s="3" t="str">
        <x:v>NFR-003</x:v>
      </x:c>
      <x:c r="I237" s="3" t="str">
        <x:v>QTV có quyền tương ứng</x:v>
      </x:c>
      <x:c r="J237" s="3" t="str">
        <x:v>Accessibility</x:v>
      </x:c>
      <x:c r="K237" s="3" t="str">
        <x:v>Medium</x:v>
      </x:c>
      <x:c r="L237" s="3" t="str">
        <x:v>Medium</x:v>
      </x:c>
      <x:c r="M237" s="3" t="str">
        <x:v>Môi trường QA cô lập, DB/MinIO sẵn sàng; dữ liệu fixture đã tạo. Đăng nhập tài khoản ACTIVE, mustChangePassword=false.</x:v>
      </x:c>
      <x:c r="N237" s="3" t="str">
        <x:v>Dữ liệu QA tổng hợp; xem fixture trong README.</x:v>
      </x:c>
      <x:c r="O237" s="3" t="str">
        <x:v>1. Mở /admin/news
2. Chỉ dùng Tab/Shift+Tab, Enter, Space, Escape</x:v>
      </x:c>
      <x:c r="P237" s="3" t="str">
        <x:v>Thứ tự focus theo nội dung; focus nhìn thấy; thao tác chính không cần chuột; không mắc kẹt focus.</x:v>
      </x:c>
      <x:c r="Q237" s="11" t="str"/>
      <x:c r="R237" s="8" t="str">
        <x:v>NOT RUN</x:v>
      </x:c>
      <x:c r="S237" s="11" t="str">
        <x:v>QA/UAT — cần điền URL/build</x:v>
      </x:c>
      <x:c r="T237" s="11" t="str">
        <x:v>Cần điền phiên bản thực</x:v>
      </x:c>
      <x:c r="U237" s="11" t="str"/>
      <x:c r="V237" s="12" t="str"/>
      <x:c r="W237" s="11" t="str"/>
      <x:c r="X237" s="11" t="str"/>
      <x:c r="Y237" s="3" t="str">
        <x:v>Nguồn: frontend/src/shared/components; admin/src/components. </x:v>
      </x:c>
    </x:row>
    <x:row r="238" ht="49" customHeight="1">
      <x:c r="A238" s="3" t="n">
        <x:v>237</x:v>
      </x:c>
      <x:c r="B238" s="3" t="str">
        <x:v>TC_UI_198</x:v>
      </x:c>
      <x:c r="C238" s="3" t="str">
        <x:v>UI</x:v>
      </x:c>
      <x:c r="D238" s="3" t="str">
        <x:v>Editor</x:v>
      </x:c>
      <x:c r="E238" s="3" t="str">
        <x:v>Editor</x:v>
      </x:c>
      <x:c r="F238" s="3" t="str">
        <x:v>Accessibility — Editor: Nhãn và lỗi</x:v>
      </x:c>
      <x:c r="G238" s="3" t="str">
        <x:v>Editor: Nhãn và lỗi</x:v>
      </x:c>
      <x:c r="H238" s="3" t="str">
        <x:v>NFR-003</x:v>
      </x:c>
      <x:c r="I238" s="3" t="str">
        <x:v>QTV có quyền tương ứng</x:v>
      </x:c>
      <x:c r="J238" s="3" t="str">
        <x:v>Accessibility</x:v>
      </x:c>
      <x:c r="K238" s="3" t="str">
        <x:v>Medium</x:v>
      </x:c>
      <x:c r="L238" s="3" t="str">
        <x:v>Medium</x:v>
      </x:c>
      <x:c r="M238" s="3" t="str">
        <x:v>Môi trường QA cô lập, DB/MinIO sẵn sàng; dữ liệu fixture đã tạo. Đăng nhập tài khoản ACTIVE, mustChangePassword=false.</x:v>
      </x:c>
      <x:c r="N238" s="3" t="str">
        <x:v>Dữ liệu QA tổng hợp; xem fixture trong README.</x:v>
      </x:c>
      <x:c r="O238" s="3" t="str">
        <x:v>1. Mở /admin/news
2. Dùng label để focus input
3. Gửi dữ liệu sai</x:v>
      </x:c>
      <x:c r="P238" s="3" t="str">
        <x:v>Input có nhãn phân biệt; thông báo lỗi gắn ngữ cảnh và đọc được bằng trợ năng.</x:v>
      </x:c>
      <x:c r="Q238" s="11" t="str"/>
      <x:c r="R238" s="8" t="str">
        <x:v>NOT RUN</x:v>
      </x:c>
      <x:c r="S238" s="11" t="str">
        <x:v>QA/UAT — cần điền URL/build</x:v>
      </x:c>
      <x:c r="T238" s="11" t="str">
        <x:v>Cần điền phiên bản thực</x:v>
      </x:c>
      <x:c r="U238" s="11" t="str"/>
      <x:c r="V238" s="12" t="str"/>
      <x:c r="W238" s="11" t="str"/>
      <x:c r="X238" s="11" t="str"/>
      <x:c r="Y238" s="3" t="str">
        <x:v>Nguồn: frontend/src/shared/components; admin/src/components. </x:v>
      </x:c>
    </x:row>
    <x:row r="239" ht="49" customHeight="1">
      <x:c r="A239" s="3" t="n">
        <x:v>238</x:v>
      </x:c>
      <x:c r="B239" s="3" t="str">
        <x:v>TC_UI_199</x:v>
      </x:c>
      <x:c r="C239" s="3" t="str">
        <x:v>UI</x:v>
      </x:c>
      <x:c r="D239" s="3" t="str">
        <x:v>Editor</x:v>
      </x:c>
      <x:c r="E239" s="3" t="str">
        <x:v>Editor</x:v>
      </x:c>
      <x:c r="F239" s="3" t="str">
        <x:v>Accessibility — Editor: Zoom 200%</x:v>
      </x:c>
      <x:c r="G239" s="3" t="str">
        <x:v>Editor: Zoom 200%</x:v>
      </x:c>
      <x:c r="H239" s="3" t="str">
        <x:v>NFR-003</x:v>
      </x:c>
      <x:c r="I239" s="3" t="str">
        <x:v>QTV có quyền tương ứng</x:v>
      </x:c>
      <x:c r="J239" s="3" t="str">
        <x:v>Accessibility</x:v>
      </x:c>
      <x:c r="K239" s="3" t="str">
        <x:v>Medium</x:v>
      </x:c>
      <x:c r="L239" s="3" t="str">
        <x:v>Medium</x:v>
      </x:c>
      <x:c r="M239" s="3" t="str">
        <x:v>Môi trường QA cô lập, DB/MinIO sẵn sàng; dữ liệu fixture đã tạo. Đăng nhập tài khoản ACTIVE, mustChangePassword=false.</x:v>
      </x:c>
      <x:c r="N239" s="3" t="str">
        <x:v>Dữ liệu QA tổng hợp; xem fixture trong README.</x:v>
      </x:c>
      <x:c r="O239" s="3" t="str">
        <x:v>1. Mở /admin/news
2. Đặt browser zoom200%
3. Thực hiện thao tác chính</x:v>
      </x:c>
      <x:c r="P239" s="3" t="str">
        <x:v>Chữ không cắt; có thể cuộn tới nút; không mất nội dung chức năng.</x:v>
      </x:c>
      <x:c r="Q239" s="11" t="str"/>
      <x:c r="R239" s="8" t="str">
        <x:v>NOT RUN</x:v>
      </x:c>
      <x:c r="S239" s="11" t="str">
        <x:v>QA/UAT — cần điền URL/build</x:v>
      </x:c>
      <x:c r="T239" s="11" t="str">
        <x:v>Cần điền phiên bản thực</x:v>
      </x:c>
      <x:c r="U239" s="11" t="str"/>
      <x:c r="V239" s="12" t="str"/>
      <x:c r="W239" s="11" t="str"/>
      <x:c r="X239" s="11" t="str"/>
      <x:c r="Y239" s="3" t="str">
        <x:v>Nguồn: frontend/src/shared/components; admin/src/components. </x:v>
      </x:c>
    </x:row>
    <x:row r="240" ht="49" customHeight="1">
      <x:c r="A240" s="3" t="n">
        <x:v>239</x:v>
      </x:c>
      <x:c r="B240" s="3" t="str">
        <x:v>TC_UI_200</x:v>
      </x:c>
      <x:c r="C240" s="3" t="str">
        <x:v>UI</x:v>
      </x:c>
      <x:c r="D240" s="3" t="str">
        <x:v>Editor</x:v>
      </x:c>
      <x:c r="E240" s="3" t="str">
        <x:v>Editor</x:v>
      </x:c>
      <x:c r="F240" s="3" t="str">
        <x:v>UI — Editor: Trạng thái nút</x:v>
      </x:c>
      <x:c r="G240" s="3" t="str">
        <x:v>Editor: Trạng thái nút</x:v>
      </x:c>
      <x:c r="H240" s="3" t="str">
        <x:v>NFR-003</x:v>
      </x:c>
      <x:c r="I240" s="3" t="str">
        <x:v>QTV có quyền tương ứng</x:v>
      </x:c>
      <x:c r="J240" s="3" t="str">
        <x:v>UI</x:v>
      </x:c>
      <x:c r="K240" s="3" t="str">
        <x:v>Medium</x:v>
      </x:c>
      <x:c r="L240" s="3" t="str">
        <x:v>Medium</x:v>
      </x:c>
      <x:c r="M240" s="3" t="str">
        <x:v>Môi trường QA cô lập, DB/MinIO sẵn sàng; dữ liệu fixture đã tạo. Đăng nhập tài khoản ACTIVE, mustChangePassword=false.</x:v>
      </x:c>
      <x:c r="N240" s="3" t="str">
        <x:v>Dữ liệu QA tổng hợp; xem fixture trong README.</x:v>
      </x:c>
      <x:c r="O240" s="3" t="str">
        <x:v>1. Mở /admin/news
2. Hover/focus nút
3. Gửi thao tác trên mạng chậm</x:v>
      </x:c>
      <x:c r="P240" s="3" t="str">
        <x:v>Nút có focus rõ; disabled khi pending; phục hồi sau lỗi; không gửi lặp.</x:v>
      </x:c>
      <x:c r="Q240" s="11" t="str"/>
      <x:c r="R240" s="8" t="str">
        <x:v>NOT RUN</x:v>
      </x:c>
      <x:c r="S240" s="11" t="str">
        <x:v>QA/UAT — cần điền URL/build</x:v>
      </x:c>
      <x:c r="T240" s="11" t="str">
        <x:v>Cần điền phiên bản thực</x:v>
      </x:c>
      <x:c r="U240" s="11" t="str"/>
      <x:c r="V240" s="12" t="str"/>
      <x:c r="W240" s="11" t="str"/>
      <x:c r="X240" s="11" t="str"/>
      <x:c r="Y240" s="3" t="str">
        <x:v>Nguồn: frontend/src/shared/components; admin/src/components. </x:v>
      </x:c>
    </x:row>
    <x:row r="241" ht="49" customHeight="1">
      <x:c r="A241" s="3" t="n">
        <x:v>240</x:v>
      </x:c>
      <x:c r="B241" s="3" t="str">
        <x:v>TC_UI_201</x:v>
      </x:c>
      <x:c r="C241" s="3" t="str">
        <x:v>UI</x:v>
      </x:c>
      <x:c r="D241" s="3" t="str">
        <x:v>Drawer tài nguyên</x:v>
      </x:c>
      <x:c r="E241" s="3" t="str">
        <x:v>Drawer tài nguyên</x:v>
      </x:c>
      <x:c r="F241" s="3" t="str">
        <x:v>Accessibility — Drawer tài nguyên: Keyboard</x:v>
      </x:c>
      <x:c r="G241" s="3" t="str">
        <x:v>Drawer tài nguyên: Keyboard</x:v>
      </x:c>
      <x:c r="H241" s="3" t="str">
        <x:v>NFR-003</x:v>
      </x:c>
      <x:c r="I241" s="3" t="str">
        <x:v>QTV có quyền tương ứng</x:v>
      </x:c>
      <x:c r="J241" s="3" t="str">
        <x:v>Accessibility</x:v>
      </x:c>
      <x:c r="K241" s="3" t="str">
        <x:v>Medium</x:v>
      </x:c>
      <x:c r="L241" s="3" t="str">
        <x:v>Medium</x:v>
      </x:c>
      <x:c r="M241" s="3" t="str">
        <x:v>Môi trường QA cô lập, DB/MinIO sẵn sàng; dữ liệu fixture đã tạo. Đăng nhập tài khoản ACTIVE, mustChangePassword=false.</x:v>
      </x:c>
      <x:c r="N241" s="3" t="str">
        <x:v>Dữ liệu QA tổng hợp; xem fixture trong README.</x:v>
      </x:c>
      <x:c r="O241" s="3" t="str">
        <x:v>1. Mở /admin/resources
2. Chỉ dùng Tab/Shift+Tab, Enter, Space, Escape</x:v>
      </x:c>
      <x:c r="P241" s="3" t="str">
        <x:v>Thứ tự focus theo nội dung; focus nhìn thấy; thao tác chính không cần chuột; không mắc kẹt focus.</x:v>
      </x:c>
      <x:c r="Q241" s="11" t="str"/>
      <x:c r="R241" s="8" t="str">
        <x:v>NOT RUN</x:v>
      </x:c>
      <x:c r="S241" s="11" t="str">
        <x:v>QA/UAT — cần điền URL/build</x:v>
      </x:c>
      <x:c r="T241" s="11" t="str">
        <x:v>Cần điền phiên bản thực</x:v>
      </x:c>
      <x:c r="U241" s="11" t="str"/>
      <x:c r="V241" s="12" t="str"/>
      <x:c r="W241" s="11" t="str"/>
      <x:c r="X241" s="11" t="str"/>
      <x:c r="Y241" s="3" t="str">
        <x:v>Nguồn: frontend/src/shared/components; admin/src/components. </x:v>
      </x:c>
    </x:row>
    <x:row r="242" ht="49" customHeight="1">
      <x:c r="A242" s="3" t="n">
        <x:v>241</x:v>
      </x:c>
      <x:c r="B242" s="3" t="str">
        <x:v>TC_UI_202</x:v>
      </x:c>
      <x:c r="C242" s="3" t="str">
        <x:v>UI</x:v>
      </x:c>
      <x:c r="D242" s="3" t="str">
        <x:v>Drawer tài nguyên</x:v>
      </x:c>
      <x:c r="E242" s="3" t="str">
        <x:v>Drawer tài nguyên</x:v>
      </x:c>
      <x:c r="F242" s="3" t="str">
        <x:v>Accessibility — Drawer tài nguyên: Nhãn và lỗi</x:v>
      </x:c>
      <x:c r="G242" s="3" t="str">
        <x:v>Drawer tài nguyên: Nhãn và lỗi</x:v>
      </x:c>
      <x:c r="H242" s="3" t="str">
        <x:v>NFR-003</x:v>
      </x:c>
      <x:c r="I242" s="3" t="str">
        <x:v>QTV có quyền tương ứng</x:v>
      </x:c>
      <x:c r="J242" s="3" t="str">
        <x:v>Accessibility</x:v>
      </x:c>
      <x:c r="K242" s="3" t="str">
        <x:v>Medium</x:v>
      </x:c>
      <x:c r="L242" s="3" t="str">
        <x:v>Medium</x:v>
      </x:c>
      <x:c r="M242" s="3" t="str">
        <x:v>Môi trường QA cô lập, DB/MinIO sẵn sàng; dữ liệu fixture đã tạo. Đăng nhập tài khoản ACTIVE, mustChangePassword=false.</x:v>
      </x:c>
      <x:c r="N242" s="3" t="str">
        <x:v>Dữ liệu QA tổng hợp; xem fixture trong README.</x:v>
      </x:c>
      <x:c r="O242" s="3" t="str">
        <x:v>1. Mở /admin/resources
2. Dùng label để focus input
3. Gửi dữ liệu sai</x:v>
      </x:c>
      <x:c r="P242" s="3" t="str">
        <x:v>Input có nhãn phân biệt; thông báo lỗi gắn ngữ cảnh và đọc được bằng trợ năng.</x:v>
      </x:c>
      <x:c r="Q242" s="11" t="str"/>
      <x:c r="R242" s="8" t="str">
        <x:v>NOT RUN</x:v>
      </x:c>
      <x:c r="S242" s="11" t="str">
        <x:v>QA/UAT — cần điền URL/build</x:v>
      </x:c>
      <x:c r="T242" s="11" t="str">
        <x:v>Cần điền phiên bản thực</x:v>
      </x:c>
      <x:c r="U242" s="11" t="str"/>
      <x:c r="V242" s="12" t="str"/>
      <x:c r="W242" s="11" t="str"/>
      <x:c r="X242" s="11" t="str"/>
      <x:c r="Y242" s="3" t="str">
        <x:v>Nguồn: frontend/src/shared/components; admin/src/components. </x:v>
      </x:c>
    </x:row>
    <x:row r="243" ht="49" customHeight="1">
      <x:c r="A243" s="3" t="n">
        <x:v>242</x:v>
      </x:c>
      <x:c r="B243" s="3" t="str">
        <x:v>TC_UI_203</x:v>
      </x:c>
      <x:c r="C243" s="3" t="str">
        <x:v>UI</x:v>
      </x:c>
      <x:c r="D243" s="3" t="str">
        <x:v>Drawer tài nguyên</x:v>
      </x:c>
      <x:c r="E243" s="3" t="str">
        <x:v>Drawer tài nguyên</x:v>
      </x:c>
      <x:c r="F243" s="3" t="str">
        <x:v>Accessibility — Drawer tài nguyên: Zoom 200%</x:v>
      </x:c>
      <x:c r="G243" s="3" t="str">
        <x:v>Drawer tài nguyên: Zoom 200%</x:v>
      </x:c>
      <x:c r="H243" s="3" t="str">
        <x:v>NFR-003</x:v>
      </x:c>
      <x:c r="I243" s="3" t="str">
        <x:v>QTV có quyền tương ứng</x:v>
      </x:c>
      <x:c r="J243" s="3" t="str">
        <x:v>Accessibility</x:v>
      </x:c>
      <x:c r="K243" s="3" t="str">
        <x:v>Medium</x:v>
      </x:c>
      <x:c r="L243" s="3" t="str">
        <x:v>Medium</x:v>
      </x:c>
      <x:c r="M243" s="3" t="str">
        <x:v>Môi trường QA cô lập, DB/MinIO sẵn sàng; dữ liệu fixture đã tạo. Đăng nhập tài khoản ACTIVE, mustChangePassword=false.</x:v>
      </x:c>
      <x:c r="N243" s="3" t="str">
        <x:v>Dữ liệu QA tổng hợp; xem fixture trong README.</x:v>
      </x:c>
      <x:c r="O243" s="3" t="str">
        <x:v>1. Mở /admin/resources
2. Đặt browser zoom200%
3. Thực hiện thao tác chính</x:v>
      </x:c>
      <x:c r="P243" s="3" t="str">
        <x:v>Chữ không cắt; có thể cuộn tới nút; không mất nội dung chức năng.</x:v>
      </x:c>
      <x:c r="Q243" s="11" t="str"/>
      <x:c r="R243" s="8" t="str">
        <x:v>NOT RUN</x:v>
      </x:c>
      <x:c r="S243" s="11" t="str">
        <x:v>QA/UAT — cần điền URL/build</x:v>
      </x:c>
      <x:c r="T243" s="11" t="str">
        <x:v>Cần điền phiên bản thực</x:v>
      </x:c>
      <x:c r="U243" s="11" t="str"/>
      <x:c r="V243" s="12" t="str"/>
      <x:c r="W243" s="11" t="str"/>
      <x:c r="X243" s="11" t="str"/>
      <x:c r="Y243" s="3" t="str">
        <x:v>Nguồn: frontend/src/shared/components; admin/src/components. </x:v>
      </x:c>
    </x:row>
    <x:row r="244" ht="49" customHeight="1">
      <x:c r="A244" s="3" t="n">
        <x:v>243</x:v>
      </x:c>
      <x:c r="B244" s="3" t="str">
        <x:v>TC_UI_204</x:v>
      </x:c>
      <x:c r="C244" s="3" t="str">
        <x:v>UI</x:v>
      </x:c>
      <x:c r="D244" s="3" t="str">
        <x:v>Drawer tài nguyên</x:v>
      </x:c>
      <x:c r="E244" s="3" t="str">
        <x:v>Drawer tài nguyên</x:v>
      </x:c>
      <x:c r="F244" s="3" t="str">
        <x:v>UI — Drawer tài nguyên: Trạng thái nút</x:v>
      </x:c>
      <x:c r="G244" s="3" t="str">
        <x:v>Drawer tài nguyên: Trạng thái nút</x:v>
      </x:c>
      <x:c r="H244" s="3" t="str">
        <x:v>NFR-003</x:v>
      </x:c>
      <x:c r="I244" s="3" t="str">
        <x:v>QTV có quyền tương ứng</x:v>
      </x:c>
      <x:c r="J244" s="3" t="str">
        <x:v>UI</x:v>
      </x:c>
      <x:c r="K244" s="3" t="str">
        <x:v>Medium</x:v>
      </x:c>
      <x:c r="L244" s="3" t="str">
        <x:v>Medium</x:v>
      </x:c>
      <x:c r="M244" s="3" t="str">
        <x:v>Môi trường QA cô lập, DB/MinIO sẵn sàng; dữ liệu fixture đã tạo. Đăng nhập tài khoản ACTIVE, mustChangePassword=false.</x:v>
      </x:c>
      <x:c r="N244" s="3" t="str">
        <x:v>Dữ liệu QA tổng hợp; xem fixture trong README.</x:v>
      </x:c>
      <x:c r="O244" s="3" t="str">
        <x:v>1. Mở /admin/resources
2. Hover/focus nút
3. Gửi thao tác trên mạng chậm</x:v>
      </x:c>
      <x:c r="P244" s="3" t="str">
        <x:v>Nút có focus rõ; disabled khi pending; phục hồi sau lỗi; không gửi lặp.</x:v>
      </x:c>
      <x:c r="Q244" s="11" t="str"/>
      <x:c r="R244" s="8" t="str">
        <x:v>NOT RUN</x:v>
      </x:c>
      <x:c r="S244" s="11" t="str">
        <x:v>QA/UAT — cần điền URL/build</x:v>
      </x:c>
      <x:c r="T244" s="11" t="str">
        <x:v>Cần điền phiên bản thực</x:v>
      </x:c>
      <x:c r="U244" s="11" t="str"/>
      <x:c r="V244" s="12" t="str"/>
      <x:c r="W244" s="11" t="str"/>
      <x:c r="X244" s="11" t="str"/>
      <x:c r="Y244" s="3" t="str">
        <x:v>Nguồn: frontend/src/shared/components; admin/src/components. </x:v>
      </x:c>
    </x:row>
    <x:row r="245" ht="49" customHeight="1">
      <x:c r="A245" s="3" t="n">
        <x:v>244</x:v>
      </x:c>
      <x:c r="B245" s="3" t="str">
        <x:v>TC_UI_205</x:v>
      </x:c>
      <x:c r="C245" s="3" t="str">
        <x:v>UI</x:v>
      </x:c>
      <x:c r="D245" s="3" t="str">
        <x:v>Đăng nhập</x:v>
      </x:c>
      <x:c r="E245" s="3" t="str">
        <x:v>Đăng nhập</x:v>
      </x:c>
      <x:c r="F245" s="3" t="str">
        <x:v>Accessibility — Đăng nhập: Keyboard</x:v>
      </x:c>
      <x:c r="G245" s="3" t="str">
        <x:v>Đăng nhập: Keyboard</x:v>
      </x:c>
      <x:c r="H245" s="3" t="str">
        <x:v>NFR-003</x:v>
      </x:c>
      <x:c r="I245" s="3" t="str">
        <x:v>QTV có quyền tương ứng</x:v>
      </x:c>
      <x:c r="J245" s="3" t="str">
        <x:v>Accessibility</x:v>
      </x:c>
      <x:c r="K245" s="3" t="str">
        <x:v>Medium</x:v>
      </x:c>
      <x:c r="L245" s="3" t="str">
        <x:v>Medium</x:v>
      </x:c>
      <x:c r="M245" s="3" t="str">
        <x:v>Môi trường QA cô lập, DB/MinIO sẵn sàng; dữ liệu fixture đã tạo. Đăng nhập tài khoản ACTIVE, mustChangePassword=false.</x:v>
      </x:c>
      <x:c r="N245" s="3" t="str">
        <x:v>Dữ liệu QA tổng hợp; xem fixture trong README.</x:v>
      </x:c>
      <x:c r="O245" s="3" t="str">
        <x:v>1. Mở /admin/login
2. Chỉ dùng Tab/Shift+Tab, Enter, Space, Escape</x:v>
      </x:c>
      <x:c r="P245" s="3" t="str">
        <x:v>Thứ tự focus theo nội dung; focus nhìn thấy; thao tác chính không cần chuột; không mắc kẹt focus.</x:v>
      </x:c>
      <x:c r="Q245" s="11" t="str"/>
      <x:c r="R245" s="8" t="str">
        <x:v>NOT RUN</x:v>
      </x:c>
      <x:c r="S245" s="11" t="str">
        <x:v>QA/UAT — cần điền URL/build</x:v>
      </x:c>
      <x:c r="T245" s="11" t="str">
        <x:v>Cần điền phiên bản thực</x:v>
      </x:c>
      <x:c r="U245" s="11" t="str"/>
      <x:c r="V245" s="12" t="str"/>
      <x:c r="W245" s="11" t="str"/>
      <x:c r="X245" s="11" t="str"/>
      <x:c r="Y245" s="3" t="str">
        <x:v>Nguồn: frontend/src/shared/components; admin/src/components. </x:v>
      </x:c>
    </x:row>
    <x:row r="246" ht="49" customHeight="1">
      <x:c r="A246" s="3" t="n">
        <x:v>245</x:v>
      </x:c>
      <x:c r="B246" s="3" t="str">
        <x:v>TC_UI_206</x:v>
      </x:c>
      <x:c r="C246" s="3" t="str">
        <x:v>UI</x:v>
      </x:c>
      <x:c r="D246" s="3" t="str">
        <x:v>Đăng nhập</x:v>
      </x:c>
      <x:c r="E246" s="3" t="str">
        <x:v>Đăng nhập</x:v>
      </x:c>
      <x:c r="F246" s="3" t="str">
        <x:v>Accessibility — Đăng nhập: Nhãn và lỗi</x:v>
      </x:c>
      <x:c r="G246" s="3" t="str">
        <x:v>Đăng nhập: Nhãn và lỗi</x:v>
      </x:c>
      <x:c r="H246" s="3" t="str">
        <x:v>NFR-003</x:v>
      </x:c>
      <x:c r="I246" s="3" t="str">
        <x:v>QTV có quyền tương ứng</x:v>
      </x:c>
      <x:c r="J246" s="3" t="str">
        <x:v>Accessibility</x:v>
      </x:c>
      <x:c r="K246" s="3" t="str">
        <x:v>Medium</x:v>
      </x:c>
      <x:c r="L246" s="3" t="str">
        <x:v>Medium</x:v>
      </x:c>
      <x:c r="M246" s="3" t="str">
        <x:v>Môi trường QA cô lập, DB/MinIO sẵn sàng; dữ liệu fixture đã tạo. Đăng nhập tài khoản ACTIVE, mustChangePassword=false.</x:v>
      </x:c>
      <x:c r="N246" s="3" t="str">
        <x:v>Dữ liệu QA tổng hợp; xem fixture trong README.</x:v>
      </x:c>
      <x:c r="O246" s="3" t="str">
        <x:v>1. Mở /admin/login
2. Dùng label để focus input
3. Gửi dữ liệu sai</x:v>
      </x:c>
      <x:c r="P246" s="3" t="str">
        <x:v>Input có nhãn phân biệt; thông báo lỗi gắn ngữ cảnh và đọc được bằng trợ năng.</x:v>
      </x:c>
      <x:c r="Q246" s="11" t="str"/>
      <x:c r="R246" s="8" t="str">
        <x:v>NOT RUN</x:v>
      </x:c>
      <x:c r="S246" s="11" t="str">
        <x:v>QA/UAT — cần điền URL/build</x:v>
      </x:c>
      <x:c r="T246" s="11" t="str">
        <x:v>Cần điền phiên bản thực</x:v>
      </x:c>
      <x:c r="U246" s="11" t="str"/>
      <x:c r="V246" s="12" t="str"/>
      <x:c r="W246" s="11" t="str"/>
      <x:c r="X246" s="11" t="str"/>
      <x:c r="Y246" s="3" t="str">
        <x:v>Nguồn: frontend/src/shared/components; admin/src/components. </x:v>
      </x:c>
    </x:row>
    <x:row r="247" ht="49" customHeight="1">
      <x:c r="A247" s="3" t="n">
        <x:v>246</x:v>
      </x:c>
      <x:c r="B247" s="3" t="str">
        <x:v>TC_UI_207</x:v>
      </x:c>
      <x:c r="C247" s="3" t="str">
        <x:v>UI</x:v>
      </x:c>
      <x:c r="D247" s="3" t="str">
        <x:v>Đăng nhập</x:v>
      </x:c>
      <x:c r="E247" s="3" t="str">
        <x:v>Đăng nhập</x:v>
      </x:c>
      <x:c r="F247" s="3" t="str">
        <x:v>Accessibility — Đăng nhập: Zoom 200%</x:v>
      </x:c>
      <x:c r="G247" s="3" t="str">
        <x:v>Đăng nhập: Zoom 200%</x:v>
      </x:c>
      <x:c r="H247" s="3" t="str">
        <x:v>NFR-003</x:v>
      </x:c>
      <x:c r="I247" s="3" t="str">
        <x:v>QTV có quyền tương ứng</x:v>
      </x:c>
      <x:c r="J247" s="3" t="str">
        <x:v>Accessibility</x:v>
      </x:c>
      <x:c r="K247" s="3" t="str">
        <x:v>Medium</x:v>
      </x:c>
      <x:c r="L247" s="3" t="str">
        <x:v>Medium</x:v>
      </x:c>
      <x:c r="M247" s="3" t="str">
        <x:v>Môi trường QA cô lập, DB/MinIO sẵn sàng; dữ liệu fixture đã tạo. Đăng nhập tài khoản ACTIVE, mustChangePassword=false.</x:v>
      </x:c>
      <x:c r="N247" s="3" t="str">
        <x:v>Dữ liệu QA tổng hợp; xem fixture trong README.</x:v>
      </x:c>
      <x:c r="O247" s="3" t="str">
        <x:v>1. Mở /admin/login
2. Đặt browser zoom200%
3. Thực hiện thao tác chính</x:v>
      </x:c>
      <x:c r="P247" s="3" t="str">
        <x:v>Chữ không cắt; có thể cuộn tới nút; không mất nội dung chức năng.</x:v>
      </x:c>
      <x:c r="Q247" s="11" t="str"/>
      <x:c r="R247" s="8" t="str">
        <x:v>NOT RUN</x:v>
      </x:c>
      <x:c r="S247" s="11" t="str">
        <x:v>QA/UAT — cần điền URL/build</x:v>
      </x:c>
      <x:c r="T247" s="11" t="str">
        <x:v>Cần điền phiên bản thực</x:v>
      </x:c>
      <x:c r="U247" s="11" t="str"/>
      <x:c r="V247" s="12" t="str"/>
      <x:c r="W247" s="11" t="str"/>
      <x:c r="X247" s="11" t="str"/>
      <x:c r="Y247" s="3" t="str">
        <x:v>Nguồn: frontend/src/shared/components; admin/src/components. </x:v>
      </x:c>
    </x:row>
    <x:row r="248" ht="49" customHeight="1">
      <x:c r="A248" s="3" t="n">
        <x:v>247</x:v>
      </x:c>
      <x:c r="B248" s="3" t="str">
        <x:v>TC_UI_208</x:v>
      </x:c>
      <x:c r="C248" s="3" t="str">
        <x:v>UI</x:v>
      </x:c>
      <x:c r="D248" s="3" t="str">
        <x:v>Đăng nhập</x:v>
      </x:c>
      <x:c r="E248" s="3" t="str">
        <x:v>Đăng nhập</x:v>
      </x:c>
      <x:c r="F248" s="3" t="str">
        <x:v>UI — Đăng nhập: Trạng thái nút</x:v>
      </x:c>
      <x:c r="G248" s="3" t="str">
        <x:v>Đăng nhập: Trạng thái nút</x:v>
      </x:c>
      <x:c r="H248" s="3" t="str">
        <x:v>NFR-003</x:v>
      </x:c>
      <x:c r="I248" s="3" t="str">
        <x:v>QTV có quyền tương ứng</x:v>
      </x:c>
      <x:c r="J248" s="3" t="str">
        <x:v>UI</x:v>
      </x:c>
      <x:c r="K248" s="3" t="str">
        <x:v>Medium</x:v>
      </x:c>
      <x:c r="L248" s="3" t="str">
        <x:v>Medium</x:v>
      </x:c>
      <x:c r="M248" s="3" t="str">
        <x:v>Môi trường QA cô lập, DB/MinIO sẵn sàng; dữ liệu fixture đã tạo. Đăng nhập tài khoản ACTIVE, mustChangePassword=false.</x:v>
      </x:c>
      <x:c r="N248" s="3" t="str">
        <x:v>Dữ liệu QA tổng hợp; xem fixture trong README.</x:v>
      </x:c>
      <x:c r="O248" s="3" t="str">
        <x:v>1. Mở /admin/login
2. Hover/focus nút
3. Gửi thao tác trên mạng chậm</x:v>
      </x:c>
      <x:c r="P248" s="3" t="str">
        <x:v>Nút có focus rõ; disabled khi pending; phục hồi sau lỗi; không gửi lặp.</x:v>
      </x:c>
      <x:c r="Q248" s="11" t="str"/>
      <x:c r="R248" s="8" t="str">
        <x:v>NOT RUN</x:v>
      </x:c>
      <x:c r="S248" s="11" t="str">
        <x:v>QA/UAT — cần điền URL/build</x:v>
      </x:c>
      <x:c r="T248" s="11" t="str">
        <x:v>Cần điền phiên bản thực</x:v>
      </x:c>
      <x:c r="U248" s="11" t="str"/>
      <x:c r="V248" s="12" t="str"/>
      <x:c r="W248" s="11" t="str"/>
      <x:c r="X248" s="11" t="str"/>
      <x:c r="Y248" s="3" t="str">
        <x:v>Nguồn: frontend/src/shared/components; admin/src/components. </x:v>
      </x:c>
    </x:row>
    <x:row r="249" ht="49" customHeight="1">
      <x:c r="A249" s="3" t="n">
        <x:v>248</x:v>
      </x:c>
      <x:c r="B249" s="3" t="str">
        <x:v>TC_UI_209</x:v>
      </x:c>
      <x:c r="C249" s="3" t="str">
        <x:v>UI</x:v>
      </x:c>
      <x:c r="D249" s="3" t="str">
        <x:v>Hồ sơ</x:v>
      </x:c>
      <x:c r="E249" s="3" t="str">
        <x:v>Hồ sơ</x:v>
      </x:c>
      <x:c r="F249" s="3" t="str">
        <x:v>Accessibility — Hồ sơ: Keyboard</x:v>
      </x:c>
      <x:c r="G249" s="3" t="str">
        <x:v>Hồ sơ: Keyboard</x:v>
      </x:c>
      <x:c r="H249" s="3" t="str">
        <x:v>NFR-003</x:v>
      </x:c>
      <x:c r="I249" s="3" t="str">
        <x:v>QTV có quyền tương ứng</x:v>
      </x:c>
      <x:c r="J249" s="3" t="str">
        <x:v>Accessibility</x:v>
      </x:c>
      <x:c r="K249" s="3" t="str">
        <x:v>Medium</x:v>
      </x:c>
      <x:c r="L249" s="3" t="str">
        <x:v>Medium</x:v>
      </x:c>
      <x:c r="M249" s="3" t="str">
        <x:v>Môi trường QA cô lập, DB/MinIO sẵn sàng; dữ liệu fixture đã tạo. Đăng nhập tài khoản ACTIVE, mustChangePassword=false.</x:v>
      </x:c>
      <x:c r="N249" s="3" t="str">
        <x:v>Dữ liệu QA tổng hợp; xem fixture trong README.</x:v>
      </x:c>
      <x:c r="O249" s="3" t="str">
        <x:v>1. Mở /admin/profile
2. Chỉ dùng Tab/Shift+Tab, Enter, Space, Escape</x:v>
      </x:c>
      <x:c r="P249" s="3" t="str">
        <x:v>Thứ tự focus theo nội dung; focus nhìn thấy; thao tác chính không cần chuột; không mắc kẹt focus.</x:v>
      </x:c>
      <x:c r="Q249" s="11" t="str"/>
      <x:c r="R249" s="8" t="str">
        <x:v>NOT RUN</x:v>
      </x:c>
      <x:c r="S249" s="11" t="str">
        <x:v>QA/UAT — cần điền URL/build</x:v>
      </x:c>
      <x:c r="T249" s="11" t="str">
        <x:v>Cần điền phiên bản thực</x:v>
      </x:c>
      <x:c r="U249" s="11" t="str"/>
      <x:c r="V249" s="12" t="str"/>
      <x:c r="W249" s="11" t="str"/>
      <x:c r="X249" s="11" t="str"/>
      <x:c r="Y249" s="3" t="str">
        <x:v>Nguồn: frontend/src/shared/components; admin/src/components. </x:v>
      </x:c>
    </x:row>
    <x:row r="250" ht="49" customHeight="1">
      <x:c r="A250" s="3" t="n">
        <x:v>249</x:v>
      </x:c>
      <x:c r="B250" s="3" t="str">
        <x:v>TC_UI_210</x:v>
      </x:c>
      <x:c r="C250" s="3" t="str">
        <x:v>UI</x:v>
      </x:c>
      <x:c r="D250" s="3" t="str">
        <x:v>Hồ sơ</x:v>
      </x:c>
      <x:c r="E250" s="3" t="str">
        <x:v>Hồ sơ</x:v>
      </x:c>
      <x:c r="F250" s="3" t="str">
        <x:v>Accessibility — Hồ sơ: Nhãn và lỗi</x:v>
      </x:c>
      <x:c r="G250" s="3" t="str">
        <x:v>Hồ sơ: Nhãn và lỗi</x:v>
      </x:c>
      <x:c r="H250" s="3" t="str">
        <x:v>NFR-003</x:v>
      </x:c>
      <x:c r="I250" s="3" t="str">
        <x:v>QTV có quyền tương ứng</x:v>
      </x:c>
      <x:c r="J250" s="3" t="str">
        <x:v>Accessibility</x:v>
      </x:c>
      <x:c r="K250" s="3" t="str">
        <x:v>Medium</x:v>
      </x:c>
      <x:c r="L250" s="3" t="str">
        <x:v>Medium</x:v>
      </x:c>
      <x:c r="M250" s="3" t="str">
        <x:v>Môi trường QA cô lập, DB/MinIO sẵn sàng; dữ liệu fixture đã tạo. Đăng nhập tài khoản ACTIVE, mustChangePassword=false.</x:v>
      </x:c>
      <x:c r="N250" s="3" t="str">
        <x:v>Dữ liệu QA tổng hợp; xem fixture trong README.</x:v>
      </x:c>
      <x:c r="O250" s="3" t="str">
        <x:v>1. Mở /admin/profile
2. Dùng label để focus input
3. Gửi dữ liệu sai</x:v>
      </x:c>
      <x:c r="P250" s="3" t="str">
        <x:v>Input có nhãn phân biệt; thông báo lỗi gắn ngữ cảnh và đọc được bằng trợ năng.</x:v>
      </x:c>
      <x:c r="Q250" s="11" t="str"/>
      <x:c r="R250" s="8" t="str">
        <x:v>NOT RUN</x:v>
      </x:c>
      <x:c r="S250" s="11" t="str">
        <x:v>QA/UAT — cần điền URL/build</x:v>
      </x:c>
      <x:c r="T250" s="11" t="str">
        <x:v>Cần điền phiên bản thực</x:v>
      </x:c>
      <x:c r="U250" s="11" t="str"/>
      <x:c r="V250" s="12" t="str"/>
      <x:c r="W250" s="11" t="str"/>
      <x:c r="X250" s="11" t="str"/>
      <x:c r="Y250" s="3" t="str">
        <x:v>Nguồn: frontend/src/shared/components; admin/src/components. </x:v>
      </x:c>
    </x:row>
    <x:row r="251" ht="49" customHeight="1">
      <x:c r="A251" s="3" t="n">
        <x:v>250</x:v>
      </x:c>
      <x:c r="B251" s="3" t="str">
        <x:v>TC_UI_211</x:v>
      </x:c>
      <x:c r="C251" s="3" t="str">
        <x:v>UI</x:v>
      </x:c>
      <x:c r="D251" s="3" t="str">
        <x:v>Hồ sơ</x:v>
      </x:c>
      <x:c r="E251" s="3" t="str">
        <x:v>Hồ sơ</x:v>
      </x:c>
      <x:c r="F251" s="3" t="str">
        <x:v>Accessibility — Hồ sơ: Zoom 200%</x:v>
      </x:c>
      <x:c r="G251" s="3" t="str">
        <x:v>Hồ sơ: Zoom 200%</x:v>
      </x:c>
      <x:c r="H251" s="3" t="str">
        <x:v>NFR-003</x:v>
      </x:c>
      <x:c r="I251" s="3" t="str">
        <x:v>QTV có quyền tương ứng</x:v>
      </x:c>
      <x:c r="J251" s="3" t="str">
        <x:v>Accessibility</x:v>
      </x:c>
      <x:c r="K251" s="3" t="str">
        <x:v>Medium</x:v>
      </x:c>
      <x:c r="L251" s="3" t="str">
        <x:v>Medium</x:v>
      </x:c>
      <x:c r="M251" s="3" t="str">
        <x:v>Môi trường QA cô lập, DB/MinIO sẵn sàng; dữ liệu fixture đã tạo. Đăng nhập tài khoản ACTIVE, mustChangePassword=false.</x:v>
      </x:c>
      <x:c r="N251" s="3" t="str">
        <x:v>Dữ liệu QA tổng hợp; xem fixture trong README.</x:v>
      </x:c>
      <x:c r="O251" s="3" t="str">
        <x:v>1. Mở /admin/profile
2. Đặt browser zoom200%
3. Thực hiện thao tác chính</x:v>
      </x:c>
      <x:c r="P251" s="3" t="str">
        <x:v>Chữ không cắt; có thể cuộn tới nút; không mất nội dung chức năng.</x:v>
      </x:c>
      <x:c r="Q251" s="11" t="str"/>
      <x:c r="R251" s="8" t="str">
        <x:v>NOT RUN</x:v>
      </x:c>
      <x:c r="S251" s="11" t="str">
        <x:v>QA/UAT — cần điền URL/build</x:v>
      </x:c>
      <x:c r="T251" s="11" t="str">
        <x:v>Cần điền phiên bản thực</x:v>
      </x:c>
      <x:c r="U251" s="11" t="str"/>
      <x:c r="V251" s="12" t="str"/>
      <x:c r="W251" s="11" t="str"/>
      <x:c r="X251" s="11" t="str"/>
      <x:c r="Y251" s="3" t="str">
        <x:v>Nguồn: frontend/src/shared/components; admin/src/components. </x:v>
      </x:c>
    </x:row>
    <x:row r="252" ht="49" customHeight="1">
      <x:c r="A252" s="3" t="n">
        <x:v>251</x:v>
      </x:c>
      <x:c r="B252" s="3" t="str">
        <x:v>TC_UI_212</x:v>
      </x:c>
      <x:c r="C252" s="3" t="str">
        <x:v>UI</x:v>
      </x:c>
      <x:c r="D252" s="3" t="str">
        <x:v>Hồ sơ</x:v>
      </x:c>
      <x:c r="E252" s="3" t="str">
        <x:v>Hồ sơ</x:v>
      </x:c>
      <x:c r="F252" s="3" t="str">
        <x:v>UI — Hồ sơ: Trạng thái nút</x:v>
      </x:c>
      <x:c r="G252" s="3" t="str">
        <x:v>Hồ sơ: Trạng thái nút</x:v>
      </x:c>
      <x:c r="H252" s="3" t="str">
        <x:v>NFR-003</x:v>
      </x:c>
      <x:c r="I252" s="3" t="str">
        <x:v>QTV có quyền tương ứng</x:v>
      </x:c>
      <x:c r="J252" s="3" t="str">
        <x:v>UI</x:v>
      </x:c>
      <x:c r="K252" s="3" t="str">
        <x:v>Medium</x:v>
      </x:c>
      <x:c r="L252" s="3" t="str">
        <x:v>Medium</x:v>
      </x:c>
      <x:c r="M252" s="3" t="str">
        <x:v>Môi trường QA cô lập, DB/MinIO sẵn sàng; dữ liệu fixture đã tạo. Đăng nhập tài khoản ACTIVE, mustChangePassword=false.</x:v>
      </x:c>
      <x:c r="N252" s="3" t="str">
        <x:v>Dữ liệu QA tổng hợp; xem fixture trong README.</x:v>
      </x:c>
      <x:c r="O252" s="3" t="str">
        <x:v>1. Mở /admin/profile
2. Hover/focus nút
3. Gửi thao tác trên mạng chậm</x:v>
      </x:c>
      <x:c r="P252" s="3" t="str">
        <x:v>Nút có focus rõ; disabled khi pending; phục hồi sau lỗi; không gửi lặp.</x:v>
      </x:c>
      <x:c r="Q252" s="11" t="str"/>
      <x:c r="R252" s="8" t="str">
        <x:v>NOT RUN</x:v>
      </x:c>
      <x:c r="S252" s="11" t="str">
        <x:v>QA/UAT — cần điền URL/build</x:v>
      </x:c>
      <x:c r="T252" s="11" t="str">
        <x:v>Cần điền phiên bản thực</x:v>
      </x:c>
      <x:c r="U252" s="11" t="str"/>
      <x:c r="V252" s="12" t="str"/>
      <x:c r="W252" s="11" t="str"/>
      <x:c r="X252" s="11" t="str"/>
      <x:c r="Y252" s="3" t="str">
        <x:v>Nguồn: frontend/src/shared/components; admin/src/components. </x:v>
      </x:c>
    </x:row>
    <x:row r="253" ht="49" customHeight="1">
      <x:c r="A253" s="3" t="n">
        <x:v>252</x:v>
      </x:c>
      <x:c r="B253" s="3" t="str">
        <x:v>TC_I18N_041</x:v>
      </x:c>
      <x:c r="C253" s="3" t="str">
        <x:v>I18N</x:v>
      </x:c>
      <x:c r="D253" s="3" t="str">
        <x:v>Routing locale</x:v>
      </x:c>
      <x:c r="E253" s="3" t="str">
        <x:v>Routing locale</x:v>
      </x:c>
      <x:c r="F253" s="3" t="str">
        <x:v>Localization — Mất query khi đổi locale</x:v>
      </x:c>
      <x:c r="G253" s="3" t="str">
        <x:v>Mất query khi đổi locale</x:v>
      </x:c>
      <x:c r="H253" s="3" t="str">
        <x:v>PUB-001</x:v>
      </x:c>
      <x:c r="I253" s="3" t="str">
        <x:v>Khách truy cập</x:v>
      </x:c>
      <x:c r="J253" s="3" t="str">
        <x:v>Localization</x:v>
      </x:c>
      <x:c r="K253" s="3" t="str">
        <x:v>Medium</x:v>
      </x:c>
      <x:c r="L253" s="3" t="str">
        <x:v>Medium</x:v>
      </x:c>
      <x:c r="M253" s="3" t="str">
        <x:v>QA/UAT public sẵn sàng; không cần đăng nhập; demo=false cho case tích hợp CMS/public. Ghi viewport, OS và browser thực.</x:v>
      </x:c>
      <x:c r="N253" s="3" t="str">
        <x:v>Dữ liệu QA tổng hợp; xem fixture trong README.</x:v>
      </x:c>
      <x:c r="O253" s="3" t="str">
        <x:v>1. Mở /vi/news?q=qa&amp;page=2
2. Nhấn EN</x:v>
      </x:c>
      <x:c r="P253" s="3" t="str">
        <x:v>Giữ route hiện tại; query có thể mất do chỉ dùng pathname. Cần chốt có phải giữ bộ lọc khi đổi locale.</x:v>
      </x:c>
      <x:c r="Q253" s="11" t="str"/>
      <x:c r="R253" s="9" t="str">
        <x:v>NEED CONFIRMATION</x:v>
      </x:c>
      <x:c r="S253" s="11" t="str">
        <x:v>QA/UAT — cần điền URL/build</x:v>
      </x:c>
      <x:c r="T253" s="11" t="str">
        <x:v>Cần điền phiên bản thực</x:v>
      </x:c>
      <x:c r="U253" s="11" t="str"/>
      <x:c r="V253" s="12" t="str"/>
      <x:c r="W253" s="11" t="str"/>
      <x:c r="X253" s="11" t="str"/>
      <x:c r="Y253" s="3" t="str">
        <x:v>Nguồn: frontend/src/proxy.ts; frontend/src/shared/components/layout/LanguageToggle.tsx. Need Confirmation: Xác nhận phạm vi giữ query và dịch metadata.</x:v>
      </x:c>
    </x:row>
    <x:row r="254" ht="49" customHeight="1">
      <x:c r="A254" s="3" t="n">
        <x:v>253</x:v>
      </x:c>
      <x:c r="B254" s="3" t="str">
        <x:v>TC_I18N_042</x:v>
      </x:c>
      <x:c r="C254" s="3" t="str">
        <x:v>I18N</x:v>
      </x:c>
      <x:c r="D254" s="3" t="str">
        <x:v>Routing locale</x:v>
      </x:c>
      <x:c r="E254" s="3" t="str">
        <x:v>Routing locale</x:v>
      </x:c>
      <x:c r="F254" s="3" t="str">
        <x:v>Localization — Redirect giới thiệu mất locale</x:v>
      </x:c>
      <x:c r="G254" s="3" t="str">
        <x:v>Redirect giới thiệu mất locale</x:v>
      </x:c>
      <x:c r="H254" s="3" t="str">
        <x:v>PUB-001</x:v>
      </x:c>
      <x:c r="I254" s="3" t="str">
        <x:v>Khách truy cập</x:v>
      </x:c>
      <x:c r="J254" s="3" t="str">
        <x:v>Localization</x:v>
      </x:c>
      <x:c r="K254" s="3" t="str">
        <x:v>Medium</x:v>
      </x:c>
      <x:c r="L254" s="3" t="str">
        <x:v>Medium</x:v>
      </x:c>
      <x:c r="M254" s="3" t="str">
        <x:v>QA/UAT public sẵn sàng; không cần đăng nhập; demo=false cho case tích hợp CMS/public. Ghi viewport, OS và browser thực.</x:v>
      </x:c>
      <x:c r="N254" s="3" t="str">
        <x:v>Dữ liệu QA tổng hợp; xem fixture trong README.</x:v>
      </x:c>
      <x:c r="O254" s="3" t="str">
        <x:v>1. Mở /en/discover/gioi-thieu</x:v>
      </x:c>
      <x:c r="P254" s="3" t="str">
        <x:v>Kỳ vọng giữ /en/discover; nhánh redirect không locale có nguy cơ về /vi/discover.</x:v>
      </x:c>
      <x:c r="Q254" s="11" t="str"/>
      <x:c r="R254" s="8" t="str">
        <x:v>NOT RUN</x:v>
      </x:c>
      <x:c r="S254" s="11" t="str">
        <x:v>QA/UAT — cần điền URL/build</x:v>
      </x:c>
      <x:c r="T254" s="11" t="str">
        <x:v>Cần điền phiên bản thực</x:v>
      </x:c>
      <x:c r="U254" s="11" t="str"/>
      <x:c r="V254" s="12" t="str"/>
      <x:c r="W254" s="11" t="str"/>
      <x:c r="X254" s="11" t="str"/>
      <x:c r="Y254" s="3" t="str">
        <x:v>Nguồn: frontend/src/proxy.ts; frontend/src/shared/components/layout/LanguageToggle.tsx. </x:v>
      </x:c>
    </x:row>
    <x:row r="255" ht="49" customHeight="1">
      <x:c r="A255" s="3" t="n">
        <x:v>254</x:v>
      </x:c>
      <x:c r="B255" s="3" t="str">
        <x:v>TC_I18N_043</x:v>
      </x:c>
      <x:c r="C255" s="3" t="str">
        <x:v>I18N</x:v>
      </x:c>
      <x:c r="D255" s="3" t="str">
        <x:v>Routing locale</x:v>
      </x:c>
      <x:c r="E255" s="3" t="str">
        <x:v>Routing locale</x:v>
      </x:c>
      <x:c r="F255" s="3" t="str">
        <x:v>Localization — Locale không hỗ trợ</x:v>
      </x:c>
      <x:c r="G255" s="3" t="str">
        <x:v>Locale không hỗ trợ</x:v>
      </x:c>
      <x:c r="H255" s="3" t="str">
        <x:v>PUB-001</x:v>
      </x:c>
      <x:c r="I255" s="3" t="str">
        <x:v>Khách truy cập</x:v>
      </x:c>
      <x:c r="J255" s="3" t="str">
        <x:v>Localization</x:v>
      </x:c>
      <x:c r="K255" s="3" t="str">
        <x:v>Medium</x:v>
      </x:c>
      <x:c r="L255" s="3" t="str">
        <x:v>Medium</x:v>
      </x:c>
      <x:c r="M255" s="3" t="str">
        <x:v>QA/UAT public sẵn sàng; không cần đăng nhập; demo=false cho case tích hợp CMS/public. Ghi viewport, OS và browser thực.</x:v>
      </x:c>
      <x:c r="N255" s="3" t="str">
        <x:v>Dữ liệu QA tổng hợp; xem fixture trong README.</x:v>
      </x:c>
      <x:c r="O255" s="3" t="str">
        <x:v>1. Mở /fr/admissions</x:v>
      </x:c>
      <x:c r="P255" s="3" t="str">
        <x:v>Proxy redirect /vi/fr/admissions; route không tồn tại trả404, không vòng lặp.</x:v>
      </x:c>
      <x:c r="Q255" s="11" t="str"/>
      <x:c r="R255" s="8" t="str">
        <x:v>NOT RUN</x:v>
      </x:c>
      <x:c r="S255" s="11" t="str">
        <x:v>QA/UAT — cần điền URL/build</x:v>
      </x:c>
      <x:c r="T255" s="11" t="str">
        <x:v>Cần điền phiên bản thực</x:v>
      </x:c>
      <x:c r="U255" s="11" t="str"/>
      <x:c r="V255" s="12" t="str"/>
      <x:c r="W255" s="11" t="str"/>
      <x:c r="X255" s="11" t="str"/>
      <x:c r="Y255" s="3" t="str">
        <x:v>Nguồn: frontend/src/proxy.ts; frontend/src/shared/components/layout/LanguageToggle.tsx. </x:v>
      </x:c>
    </x:row>
    <x:row r="256" ht="49" customHeight="1">
      <x:c r="A256" s="3" t="n">
        <x:v>255</x:v>
      </x:c>
      <x:c r="B256" s="3" t="str">
        <x:v>TC_I18N_044</x:v>
      </x:c>
      <x:c r="C256" s="3" t="str">
        <x:v>I18N</x:v>
      </x:c>
      <x:c r="D256" s="3" t="str">
        <x:v>Routing locale</x:v>
      </x:c>
      <x:c r="E256" s="3" t="str">
        <x:v>Routing locale</x:v>
      </x:c>
      <x:c r="F256" s="3" t="str">
        <x:v>Localization — Locale mặc định</x:v>
      </x:c>
      <x:c r="G256" s="3" t="str">
        <x:v>Locale mặc định</x:v>
      </x:c>
      <x:c r="H256" s="3" t="str">
        <x:v>PUB-001</x:v>
      </x:c>
      <x:c r="I256" s="3" t="str">
        <x:v>Khách truy cập</x:v>
      </x:c>
      <x:c r="J256" s="3" t="str">
        <x:v>Localization</x:v>
      </x:c>
      <x:c r="K256" s="3" t="str">
        <x:v>Medium</x:v>
      </x:c>
      <x:c r="L256" s="3" t="str">
        <x:v>Medium</x:v>
      </x:c>
      <x:c r="M256" s="3" t="str">
        <x:v>QA/UAT public sẵn sàng; không cần đăng nhập; demo=false cho case tích hợp CMS/public. Ghi viewport, OS và browser thực.</x:v>
      </x:c>
      <x:c r="N256" s="3" t="str">
        <x:v>Dữ liệu QA tổng hợp; xem fixture trong README.</x:v>
      </x:c>
      <x:c r="O256" s="3" t="str">
        <x:v>1. Mở /admissions?qa=1</x:v>
      </x:c>
      <x:c r="P256" s="3" t="str">
        <x:v>HTTP307 về /vi/admissions?qa=1; query giữ nguyên.</x:v>
      </x:c>
      <x:c r="Q256" s="11" t="str"/>
      <x:c r="R256" s="8" t="str">
        <x:v>NOT RUN</x:v>
      </x:c>
      <x:c r="S256" s="11" t="str">
        <x:v>QA/UAT — cần điền URL/build</x:v>
      </x:c>
      <x:c r="T256" s="11" t="str">
        <x:v>Cần điền phiên bản thực</x:v>
      </x:c>
      <x:c r="U256" s="11" t="str"/>
      <x:c r="V256" s="12" t="str"/>
      <x:c r="W256" s="11" t="str"/>
      <x:c r="X256" s="11" t="str"/>
      <x:c r="Y256" s="3" t="str">
        <x:v>Nguồn: frontend/src/proxy.ts; frontend/src/shared/components/layout/LanguageToggle.tsx. </x:v>
      </x:c>
    </x:row>
    <x:row r="257" ht="49" customHeight="1">
      <x:c r="A257" s="3" t="n">
        <x:v>256</x:v>
      </x:c>
      <x:c r="B257" s="3" t="str">
        <x:v>TC_I18N_045</x:v>
      </x:c>
      <x:c r="C257" s="3" t="str">
        <x:v>I18N</x:v>
      </x:c>
      <x:c r="D257" s="3" t="str">
        <x:v>Routing locale</x:v>
      </x:c>
      <x:c r="E257" s="3" t="str">
        <x:v>Routing locale</x:v>
      </x:c>
      <x:c r="F257" s="3" t="str">
        <x:v>Localization — Metadata EN</x:v>
      </x:c>
      <x:c r="G257" s="3" t="str">
        <x:v>Metadata EN</x:v>
      </x:c>
      <x:c r="H257" s="3" t="str">
        <x:v>PUB-001</x:v>
      </x:c>
      <x:c r="I257" s="3" t="str">
        <x:v>Khách truy cập</x:v>
      </x:c>
      <x:c r="J257" s="3" t="str">
        <x:v>Localization</x:v>
      </x:c>
      <x:c r="K257" s="3" t="str">
        <x:v>Medium</x:v>
      </x:c>
      <x:c r="L257" s="3" t="str">
        <x:v>Medium</x:v>
      </x:c>
      <x:c r="M257" s="3" t="str">
        <x:v>QA/UAT public sẵn sàng; không cần đăng nhập; demo=false cho case tích hợp CMS/public. Ghi viewport, OS và browser thực.</x:v>
      </x:c>
      <x:c r="N257" s="3" t="str">
        <x:v>Dữ liệu QA tổng hợp; xem fixture trong README.</x:v>
      </x:c>
      <x:c r="O257" s="3" t="str">
        <x:v>1. Mở /en/discover/lanh-dao
2. Kiểm tra title/description và html lang</x:v>
      </x:c>
      <x:c r="P257" s="3" t="str">
        <x:v>Metadata phù hợp nội dung EN và html lang=en; không dùng nhãn VI khi phạm vi dịch được duyệt.</x:v>
      </x:c>
      <x:c r="Q257" s="11" t="str"/>
      <x:c r="R257" s="9" t="str">
        <x:v>NEED CONFIRMATION</x:v>
      </x:c>
      <x:c r="S257" s="11" t="str">
        <x:v>QA/UAT — cần điền URL/build</x:v>
      </x:c>
      <x:c r="T257" s="11" t="str">
        <x:v>Cần điền phiên bản thực</x:v>
      </x:c>
      <x:c r="U257" s="11" t="str"/>
      <x:c r="V257" s="12" t="str"/>
      <x:c r="W257" s="11" t="str"/>
      <x:c r="X257" s="11" t="str"/>
      <x:c r="Y257" s="3" t="str">
        <x:v>Nguồn: frontend/src/proxy.ts; frontend/src/shared/components/layout/LanguageToggle.tsx. Need Confirmation: Xác nhận phạm vi giữ query và dịch metadata.</x:v>
      </x:c>
    </x:row>
  </x:sheetData>
  <x:conditionalFormatting sqref="R2:R257">
    <x:cfRule type="cellIs" dxfId="5" priority="1" operator="equal">
      <x:formula>"PASS"</x:formula>
    </x:cfRule>
    <x:cfRule type="cellIs" dxfId="6" priority="2" operator="equal">
      <x:formula>"FAIL"</x:formula>
    </x:cfRule>
    <x:cfRule type="cellIs" dxfId="7" priority="3" operator="equal">
      <x:formula>"BLOCKED"</x:formula>
    </x:cfRule>
    <x:cfRule type="cellIs" dxfId="8" priority="4" operator="equal">
      <x:formula>"NOT RUN"</x:formula>
    </x:cfRule>
    <x:cfRule type="cellIs" dxfId="9" priority="5" operator="equal">
      <x:formula>"NEED CONFIRMATION"</x:formula>
    </x:cfRule>
  </x:conditionalFormatting>
  <x:dataValidations count="4">
    <x:dataValidation type="list" sqref="J2:J257">
      <x:formula1>"Accessibility,Alternative,Boundary,Compatibility,Concurrency,Integration,Localization,Negative,Performance,Positive,Responsive,Review,Security,UI"</x:formula1>
    </x:dataValidation>
    <x:dataValidation type="list" sqref="K2:K257">
      <x:formula1>"Critical,High,Medium,Low"</x:formula1>
    </x:dataValidation>
    <x:dataValidation type="list" sqref="L2:L257">
      <x:formula1>"Critical,High,Medium,Low"</x:formula1>
    </x:dataValidation>
    <x:dataValidation type="list" sqref="R2:R257">
      <x:formula1>"PASS,FAIL,BLOCKED,NOT RUN,NEED CONFIRMATION"</x:formula1>
    </x:dataValidation>
  </x:dataValidations>
  <x:pageMargins left="0.7" right="0.7" top="0.75" bottom="0.75" header="0.3" footer="0.3"/>
  <x:tableParts count="1">
    <x:tablePart xmlns:r="http://schemas.openxmlformats.org/officeDocument/2006/relationships" r:id="R6350d665e6204fdc"/>
  </x:tableParts>
</x:worksheet>
</file>

<file path=xl/worksheets/sheet5.xml><?xml version="1.0" encoding="utf-8"?>
<x:worksheet xmlns:x="http://schemas.openxmlformats.org/spreadsheetml/2006/main">
  <x:sheetPr>
    <x:tabColor rgb="FF547394"/>
  </x:sheetPr>
  <x:sheetViews>
    <x:sheetView showGridLines="0" workbookViewId="0">
      <x:pane xSplit="2" ySplit="1" topLeftCell="C2" activePane="bottomRight" state="frozen"/>
    </x:sheetView>
  </x:sheetViews>
  <x:sheetFormatPr defaultRowHeight="15"/>
  <x:cols>
    <x:col min="1" max="1" width="7" hidden="0" customWidth="1"/>
    <x:col min="2" max="2" width="23" hidden="0" customWidth="1"/>
    <x:col min="3" max="3" width="18" hidden="0" customWidth="1"/>
    <x:col min="4" max="4" width="27" hidden="0" customWidth="1"/>
    <x:col min="5" max="5" width="27" hidden="0" customWidth="1"/>
    <x:col min="6" max="6" width="38" hidden="0" customWidth="1"/>
    <x:col min="7" max="7" width="42" hidden="0" customWidth="1"/>
    <x:col min="8" max="8" width="24" hidden="0" customWidth="1"/>
    <x:col min="9" max="9" width="30" hidden="0" customWidth="1"/>
    <x:col min="10" max="10" width="20" hidden="0" customWidth="1"/>
    <x:col min="11" max="11" width="15" hidden="0" customWidth="1"/>
    <x:col min="12" max="12" width="15" hidden="0" customWidth="1"/>
    <x:col min="13" max="13" width="58" hidden="0" customWidth="1"/>
    <x:col min="14" max="14" width="62" hidden="0" customWidth="1"/>
    <x:col min="15" max="15" width="72" hidden="0" customWidth="1"/>
    <x:col min="16" max="16" width="74" hidden="0" customWidth="1"/>
    <x:col min="17" max="17" width="55" hidden="0" customWidth="1"/>
    <x:col min="18" max="18" width="24" hidden="0" customWidth="1"/>
    <x:col min="19" max="19" width="30" hidden="0" customWidth="1"/>
    <x:col min="20" max="20" width="27" hidden="0" customWidth="1"/>
    <x:col min="21" max="21" width="20" hidden="0" customWidth="1"/>
    <x:col min="22" max="22" width="16" hidden="0" customWidth="1"/>
    <x:col min="23" max="23" width="35" hidden="0" customWidth="1"/>
    <x:col min="24" max="24" width="20" hidden="0" customWidth="1"/>
    <x:col min="25" max="25" width="78" hidden="0" customWidth="1"/>
  </x:cols>
  <x:sheetData>
    <x:row r="1" ht="34" customHeight="1">
      <x:c r="A1" s="7" t="str">
        <x:v>STT</x:v>
      </x:c>
      <x:c r="B1" s="7" t="str">
        <x:v>Test Case ID</x:v>
      </x:c>
      <x:c r="C1" s="7" t="str">
        <x:v>Module</x:v>
      </x:c>
      <x:c r="D1" s="7" t="str">
        <x:v>Sub-module</x:v>
      </x:c>
      <x:c r="E1" s="7" t="str">
        <x:v>Feature</x:v>
      </x:c>
      <x:c r="F1" s="7" t="str">
        <x:v>Test Scenario</x:v>
      </x:c>
      <x:c r="G1" s="7" t="str">
        <x:v>Test Case Title</x:v>
      </x:c>
      <x:c r="H1" s="7" t="str">
        <x:v>Requirement/User Story ID</x:v>
      </x:c>
      <x:c r="I1" s="7" t="str">
        <x:v>User Role</x:v>
      </x:c>
      <x:c r="J1" s="7" t="str">
        <x:v>Test Type</x:v>
      </x:c>
      <x:c r="K1" s="7" t="str">
        <x:v>Priority</x:v>
      </x:c>
      <x:c r="L1" s="7" t="str">
        <x:v>Severity</x:v>
      </x:c>
      <x:c r="M1" s="7" t="str">
        <x:v>Preconditions</x:v>
      </x:c>
      <x:c r="N1" s="7" t="str">
        <x:v>Test Data</x:v>
      </x:c>
      <x:c r="O1" s="7" t="str">
        <x:v>Test Steps</x:v>
      </x:c>
      <x:c r="P1" s="7" t="str">
        <x:v>Expected Result</x:v>
      </x:c>
      <x:c r="Q1" s="7" t="str">
        <x:v>Actual Result</x:v>
      </x:c>
      <x:c r="R1" s="7" t="str">
        <x:v>Status</x:v>
      </x:c>
      <x:c r="S1" s="7" t="str">
        <x:v>Environment</x:v>
      </x:c>
      <x:c r="T1" s="7" t="str">
        <x:v>Browser/Device</x:v>
      </x:c>
      <x:c r="U1" s="7" t="str">
        <x:v>Tester</x:v>
      </x:c>
      <x:c r="V1" s="7" t="str">
        <x:v>Test Date</x:v>
      </x:c>
      <x:c r="W1" s="7" t="str">
        <x:v>Evidence/Attachment</x:v>
      </x:c>
      <x:c r="X1" s="7" t="str">
        <x:v>Bug ID</x:v>
      </x:c>
      <x:c r="Y1" s="7" t="str">
        <x:v>Notes</x:v>
      </x:c>
    </x:row>
    <x:row r="2" ht="49" customHeight="1">
      <x:c r="A2" s="3" t="n">
        <x:v>1</x:v>
      </x:c>
      <x:c r="B2" s="3" t="str">
        <x:v>TC_RESOURCE_024</x:v>
      </x:c>
      <x:c r="C2" s="3" t="str">
        <x:v>RESOURCE</x:v>
      </x:c>
      <x:c r="D2" s="3" t="str">
        <x:v>Metadata bắt buộc</x:v>
      </x:c>
      <x:c r="E2" s="3" t="str">
        <x:v>Metadata bắt buộc</x:v>
      </x:c>
      <x:c r="F2" s="3" t="str">
        <x:v>Negative — DIRECTIVE_DOCUMENT thiếu documentNumber</x:v>
      </x:c>
      <x:c r="G2" s="3" t="str">
        <x:v>DIRECTIVE_DOCUMENT thiếu documentNumber</x:v>
      </x:c>
      <x:c r="H2" s="3" t="str">
        <x:v>RES-001</x:v>
      </x:c>
      <x:c r="I2" s="3" t="str">
        <x:v>QTV có quyền tương ứng</x:v>
      </x:c>
      <x:c r="J2" s="3" t="str">
        <x:v>Negative</x:v>
      </x:c>
      <x:c r="K2" s="3" t="str">
        <x:v>High</x:v>
      </x:c>
      <x:c r="L2" s="3" t="str">
        <x:v>High</x:v>
      </x:c>
      <x:c r="M2" s="3" t="str">
        <x:v>Môi trường QA cô lập, DB/MinIO sẵn sàng; dữ liệu fixture đã tạo. Đăng nhập tài khoản ACTIVE, mustChangePassword=false.</x:v>
      </x:c>
      <x:c r="N2" s="3" t="str">
        <x:v>Dữ liệu QA tổng hợp; xem fixture trong README.</x:v>
      </x:c>
      <x:c r="O2" s="3" t="str">
        <x:v>1. Chuẩn bị RESOURCE loại DIRECTIVE_DOCUMENT
2. Xóa riêng trường documentNumber
3. POST /api/admin/resources</x:v>
      </x:c>
      <x:c r="P2" s="3" t="str">
        <x:v>Không tạo resource; lỗi validation xác định trường documentNumber. HTTP 400 là kỳ vọng hợp đồng; nếu 500 ghi bug Zod handler.</x:v>
      </x:c>
      <x:c r="Q2" s="11" t="str"/>
      <x:c r="R2" s="8" t="str">
        <x:v>NOT RUN</x:v>
      </x:c>
      <x:c r="S2" s="11" t="str">
        <x:v>QA/UAT — cần điền URL/build</x:v>
      </x:c>
      <x:c r="T2" s="11" t="str">
        <x:v>Cần điền phiên bản thực</x:v>
      </x:c>
      <x:c r="U2" s="11" t="str"/>
      <x:c r="V2" s="12" t="str"/>
      <x:c r="W2" s="11" t="str"/>
      <x:c r="X2" s="11" t="str"/>
      <x:c r="Y2" s="3" t="str">
        <x:v>Nguồn: backend/src/modules/cms/cms.routes.ts. </x:v>
      </x:c>
    </x:row>
    <x:row r="3" ht="49" customHeight="1">
      <x:c r="A3" s="3" t="n">
        <x:v>2</x:v>
      </x:c>
      <x:c r="B3" s="3" t="str">
        <x:v>TC_RESOURCE_025</x:v>
      </x:c>
      <x:c r="C3" s="3" t="str">
        <x:v>RESOURCE</x:v>
      </x:c>
      <x:c r="D3" s="3" t="str">
        <x:v>Metadata bắt buộc</x:v>
      </x:c>
      <x:c r="E3" s="3" t="str">
        <x:v>Metadata bắt buộc</x:v>
      </x:c>
      <x:c r="F3" s="3" t="str">
        <x:v>Negative — DIRECTIVE_DOCUMENT thiếu issueDate</x:v>
      </x:c>
      <x:c r="G3" s="3" t="str">
        <x:v>DIRECTIVE_DOCUMENT thiếu issueDate</x:v>
      </x:c>
      <x:c r="H3" s="3" t="str">
        <x:v>RES-001</x:v>
      </x:c>
      <x:c r="I3" s="3" t="str">
        <x:v>QTV có quyền tương ứng</x:v>
      </x:c>
      <x:c r="J3" s="3" t="str">
        <x:v>Negative</x:v>
      </x:c>
      <x:c r="K3" s="3" t="str">
        <x:v>High</x:v>
      </x:c>
      <x:c r="L3" s="3" t="str">
        <x:v>High</x:v>
      </x:c>
      <x:c r="M3" s="3" t="str">
        <x:v>Môi trường QA cô lập, DB/MinIO sẵn sàng; dữ liệu fixture đã tạo. Đăng nhập tài khoản ACTIVE, mustChangePassword=false.</x:v>
      </x:c>
      <x:c r="N3" s="3" t="str">
        <x:v>Dữ liệu QA tổng hợp; xem fixture trong README.</x:v>
      </x:c>
      <x:c r="O3" s="3" t="str">
        <x:v>1. Chuẩn bị RESOURCE loại DIRECTIVE_DOCUMENT
2. Xóa riêng trường issueDate
3. POST /api/admin/resources</x:v>
      </x:c>
      <x:c r="P3" s="3" t="str">
        <x:v>Không tạo resource; lỗi validation xác định trường issueDate. HTTP 400 là kỳ vọng hợp đồng; nếu 500 ghi bug Zod handler.</x:v>
      </x:c>
      <x:c r="Q3" s="11" t="str"/>
      <x:c r="R3" s="8" t="str">
        <x:v>NOT RUN</x:v>
      </x:c>
      <x:c r="S3" s="11" t="str">
        <x:v>QA/UAT — cần điền URL/build</x:v>
      </x:c>
      <x:c r="T3" s="11" t="str">
        <x:v>Cần điền phiên bản thực</x:v>
      </x:c>
      <x:c r="U3" s="11" t="str"/>
      <x:c r="V3" s="12" t="str"/>
      <x:c r="W3" s="11" t="str"/>
      <x:c r="X3" s="11" t="str"/>
      <x:c r="Y3" s="3" t="str">
        <x:v>Nguồn: backend/src/modules/cms/cms.routes.ts. </x:v>
      </x:c>
    </x:row>
    <x:row r="4" ht="49" customHeight="1">
      <x:c r="A4" s="3" t="n">
        <x:v>3</x:v>
      </x:c>
      <x:c r="B4" s="3" t="str">
        <x:v>TC_RESOURCE_026</x:v>
      </x:c>
      <x:c r="C4" s="3" t="str">
        <x:v>RESOURCE</x:v>
      </x:c>
      <x:c r="D4" s="3" t="str">
        <x:v>Metadata bắt buộc</x:v>
      </x:c>
      <x:c r="E4" s="3" t="str">
        <x:v>Metadata bắt buộc</x:v>
      </x:c>
      <x:c r="F4" s="3" t="str">
        <x:v>Negative — DIRECTIVE_DOCUMENT thiếu issuingOrganization</x:v>
      </x:c>
      <x:c r="G4" s="3" t="str">
        <x:v>DIRECTIVE_DOCUMENT thiếu issuingOrganization</x:v>
      </x:c>
      <x:c r="H4" s="3" t="str">
        <x:v>RES-001</x:v>
      </x:c>
      <x:c r="I4" s="3" t="str">
        <x:v>QTV có quyền tương ứng</x:v>
      </x:c>
      <x:c r="J4" s="3" t="str">
        <x:v>Negative</x:v>
      </x:c>
      <x:c r="K4" s="3" t="str">
        <x:v>High</x:v>
      </x:c>
      <x:c r="L4" s="3" t="str">
        <x:v>High</x:v>
      </x:c>
      <x:c r="M4" s="3" t="str">
        <x:v>Môi trường QA cô lập, DB/MinIO sẵn sàng; dữ liệu fixture đã tạo. Đăng nhập tài khoản ACTIVE, mustChangePassword=false.</x:v>
      </x:c>
      <x:c r="N4" s="3" t="str">
        <x:v>Dữ liệu QA tổng hợp; xem fixture trong README.</x:v>
      </x:c>
      <x:c r="O4" s="3" t="str">
        <x:v>1. Chuẩn bị RESOURCE loại DIRECTIVE_DOCUMENT
2. Xóa riêng trường issuingOrganization
3. POST /api/admin/resources</x:v>
      </x:c>
      <x:c r="P4" s="3" t="str">
        <x:v>Không tạo resource; lỗi validation xác định trường issuingOrganization. HTTP 400 là kỳ vọng hợp đồng; nếu 500 ghi bug Zod handler.</x:v>
      </x:c>
      <x:c r="Q4" s="11" t="str"/>
      <x:c r="R4" s="8" t="str">
        <x:v>NOT RUN</x:v>
      </x:c>
      <x:c r="S4" s="11" t="str">
        <x:v>QA/UAT — cần điền URL/build</x:v>
      </x:c>
      <x:c r="T4" s="11" t="str">
        <x:v>Cần điền phiên bản thực</x:v>
      </x:c>
      <x:c r="U4" s="11" t="str"/>
      <x:c r="V4" s="12" t="str"/>
      <x:c r="W4" s="11" t="str"/>
      <x:c r="X4" s="11" t="str"/>
      <x:c r="Y4" s="3" t="str">
        <x:v>Nguồn: backend/src/modules/cms/cms.routes.ts. </x:v>
      </x:c>
    </x:row>
    <x:row r="5" ht="49" customHeight="1">
      <x:c r="A5" s="3" t="n">
        <x:v>4</x:v>
      </x:c>
      <x:c r="B5" s="3" t="str">
        <x:v>TC_RESOURCE_027</x:v>
      </x:c>
      <x:c r="C5" s="3" t="str">
        <x:v>RESOURCE</x:v>
      </x:c>
      <x:c r="D5" s="3" t="str">
        <x:v>Metadata bắt buộc</x:v>
      </x:c>
      <x:c r="E5" s="3" t="str">
        <x:v>Metadata bắt buộc</x:v>
      </x:c>
      <x:c r="F5" s="3" t="str">
        <x:v>Negative — EXECUTION_DOCUMENT thiếu documentNumber</x:v>
      </x:c>
      <x:c r="G5" s="3" t="str">
        <x:v>EXECUTION_DOCUMENT thiếu documentNumber</x:v>
      </x:c>
      <x:c r="H5" s="3" t="str">
        <x:v>RES-001</x:v>
      </x:c>
      <x:c r="I5" s="3" t="str">
        <x:v>QTV có quyền tương ứng</x:v>
      </x:c>
      <x:c r="J5" s="3" t="str">
        <x:v>Negative</x:v>
      </x:c>
      <x:c r="K5" s="3" t="str">
        <x:v>High</x:v>
      </x:c>
      <x:c r="L5" s="3" t="str">
        <x:v>High</x:v>
      </x:c>
      <x:c r="M5" s="3" t="str">
        <x:v>Môi trường QA cô lập, DB/MinIO sẵn sàng; dữ liệu fixture đã tạo. Đăng nhập tài khoản ACTIVE, mustChangePassword=false.</x:v>
      </x:c>
      <x:c r="N5" s="3" t="str">
        <x:v>Dữ liệu QA tổng hợp; xem fixture trong README.</x:v>
      </x:c>
      <x:c r="O5" s="3" t="str">
        <x:v>1. Chuẩn bị RESOURCE loại EXECUTION_DOCUMENT
2. Xóa riêng trường documentNumber
3. POST /api/admin/resources</x:v>
      </x:c>
      <x:c r="P5" s="3" t="str">
        <x:v>Không tạo resource; lỗi validation xác định trường documentNumber. HTTP 400 là kỳ vọng hợp đồng; nếu 500 ghi bug Zod handler.</x:v>
      </x:c>
      <x:c r="Q5" s="11" t="str"/>
      <x:c r="R5" s="8" t="str">
        <x:v>NOT RUN</x:v>
      </x:c>
      <x:c r="S5" s="11" t="str">
        <x:v>QA/UAT — cần điền URL/build</x:v>
      </x:c>
      <x:c r="T5" s="11" t="str">
        <x:v>Cần điền phiên bản thực</x:v>
      </x:c>
      <x:c r="U5" s="11" t="str"/>
      <x:c r="V5" s="12" t="str"/>
      <x:c r="W5" s="11" t="str"/>
      <x:c r="X5" s="11" t="str"/>
      <x:c r="Y5" s="3" t="str">
        <x:v>Nguồn: backend/src/modules/cms/cms.routes.ts. </x:v>
      </x:c>
    </x:row>
    <x:row r="6" ht="49" customHeight="1">
      <x:c r="A6" s="3" t="n">
        <x:v>5</x:v>
      </x:c>
      <x:c r="B6" s="3" t="str">
        <x:v>TC_RESOURCE_028</x:v>
      </x:c>
      <x:c r="C6" s="3" t="str">
        <x:v>RESOURCE</x:v>
      </x:c>
      <x:c r="D6" s="3" t="str">
        <x:v>Metadata bắt buộc</x:v>
      </x:c>
      <x:c r="E6" s="3" t="str">
        <x:v>Metadata bắt buộc</x:v>
      </x:c>
      <x:c r="F6" s="3" t="str">
        <x:v>Negative — EXECUTION_DOCUMENT thiếu issueDate</x:v>
      </x:c>
      <x:c r="G6" s="3" t="str">
        <x:v>EXECUTION_DOCUMENT thiếu issueDate</x:v>
      </x:c>
      <x:c r="H6" s="3" t="str">
        <x:v>RES-001</x:v>
      </x:c>
      <x:c r="I6" s="3" t="str">
        <x:v>QTV có quyền tương ứng</x:v>
      </x:c>
      <x:c r="J6" s="3" t="str">
        <x:v>Negative</x:v>
      </x:c>
      <x:c r="K6" s="3" t="str">
        <x:v>High</x:v>
      </x:c>
      <x:c r="L6" s="3" t="str">
        <x:v>High</x:v>
      </x:c>
      <x:c r="M6" s="3" t="str">
        <x:v>Môi trường QA cô lập, DB/MinIO sẵn sàng; dữ liệu fixture đã tạo. Đăng nhập tài khoản ACTIVE, mustChangePassword=false.</x:v>
      </x:c>
      <x:c r="N6" s="3" t="str">
        <x:v>Dữ liệu QA tổng hợp; xem fixture trong README.</x:v>
      </x:c>
      <x:c r="O6" s="3" t="str">
        <x:v>1. Chuẩn bị RESOURCE loại EXECUTION_DOCUMENT
2. Xóa riêng trường issueDate
3. POST /api/admin/resources</x:v>
      </x:c>
      <x:c r="P6" s="3" t="str">
        <x:v>Không tạo resource; lỗi validation xác định trường issueDate. HTTP 400 là kỳ vọng hợp đồng; nếu 500 ghi bug Zod handler.</x:v>
      </x:c>
      <x:c r="Q6" s="11" t="str"/>
      <x:c r="R6" s="8" t="str">
        <x:v>NOT RUN</x:v>
      </x:c>
      <x:c r="S6" s="11" t="str">
        <x:v>QA/UAT — cần điền URL/build</x:v>
      </x:c>
      <x:c r="T6" s="11" t="str">
        <x:v>Cần điền phiên bản thực</x:v>
      </x:c>
      <x:c r="U6" s="11" t="str"/>
      <x:c r="V6" s="12" t="str"/>
      <x:c r="W6" s="11" t="str"/>
      <x:c r="X6" s="11" t="str"/>
      <x:c r="Y6" s="3" t="str">
        <x:v>Nguồn: backend/src/modules/cms/cms.routes.ts. </x:v>
      </x:c>
    </x:row>
    <x:row r="7" ht="49" customHeight="1">
      <x:c r="A7" s="3" t="n">
        <x:v>6</x:v>
      </x:c>
      <x:c r="B7" s="3" t="str">
        <x:v>TC_RESOURCE_029</x:v>
      </x:c>
      <x:c r="C7" s="3" t="str">
        <x:v>RESOURCE</x:v>
      </x:c>
      <x:c r="D7" s="3" t="str">
        <x:v>Metadata bắt buộc</x:v>
      </x:c>
      <x:c r="E7" s="3" t="str">
        <x:v>Metadata bắt buộc</x:v>
      </x:c>
      <x:c r="F7" s="3" t="str">
        <x:v>Negative — EXECUTION_DOCUMENT thiếu issuingOrganization</x:v>
      </x:c>
      <x:c r="G7" s="3" t="str">
        <x:v>EXECUTION_DOCUMENT thiếu issuingOrganization</x:v>
      </x:c>
      <x:c r="H7" s="3" t="str">
        <x:v>RES-001</x:v>
      </x:c>
      <x:c r="I7" s="3" t="str">
        <x:v>QTV có quyền tương ứng</x:v>
      </x:c>
      <x:c r="J7" s="3" t="str">
        <x:v>Negative</x:v>
      </x:c>
      <x:c r="K7" s="3" t="str">
        <x:v>High</x:v>
      </x:c>
      <x:c r="L7" s="3" t="str">
        <x:v>High</x:v>
      </x:c>
      <x:c r="M7" s="3" t="str">
        <x:v>Môi trường QA cô lập, DB/MinIO sẵn sàng; dữ liệu fixture đã tạo. Đăng nhập tài khoản ACTIVE, mustChangePassword=false.</x:v>
      </x:c>
      <x:c r="N7" s="3" t="str">
        <x:v>Dữ liệu QA tổng hợp; xem fixture trong README.</x:v>
      </x:c>
      <x:c r="O7" s="3" t="str">
        <x:v>1. Chuẩn bị RESOURCE loại EXECUTION_DOCUMENT
2. Xóa riêng trường issuingOrganization
3. POST /api/admin/resources</x:v>
      </x:c>
      <x:c r="P7" s="3" t="str">
        <x:v>Không tạo resource; lỗi validation xác định trường issuingOrganization. HTTP 400 là kỳ vọng hợp đồng; nếu 500 ghi bug Zod handler.</x:v>
      </x:c>
      <x:c r="Q7" s="11" t="str"/>
      <x:c r="R7" s="8" t="str">
        <x:v>NOT RUN</x:v>
      </x:c>
      <x:c r="S7" s="11" t="str">
        <x:v>QA/UAT — cần điền URL/build</x:v>
      </x:c>
      <x:c r="T7" s="11" t="str">
        <x:v>Cần điền phiên bản thực</x:v>
      </x:c>
      <x:c r="U7" s="11" t="str"/>
      <x:c r="V7" s="12" t="str"/>
      <x:c r="W7" s="11" t="str"/>
      <x:c r="X7" s="11" t="str"/>
      <x:c r="Y7" s="3" t="str">
        <x:v>Nguồn: backend/src/modules/cms/cms.routes.ts. </x:v>
      </x:c>
    </x:row>
    <x:row r="8" ht="49" customHeight="1">
      <x:c r="A8" s="3" t="n">
        <x:v>7</x:v>
      </x:c>
      <x:c r="B8" s="3" t="str">
        <x:v>TC_RESOURCE_030</x:v>
      </x:c>
      <x:c r="C8" s="3" t="str">
        <x:v>RESOURCE</x:v>
      </x:c>
      <x:c r="D8" s="3" t="str">
        <x:v>Metadata bắt buộc</x:v>
      </x:c>
      <x:c r="E8" s="3" t="str">
        <x:v>Metadata bắt buộc</x:v>
      </x:c>
      <x:c r="F8" s="3" t="str">
        <x:v>Negative — EXECUTION_DOCUMENT thiếu documentType</x:v>
      </x:c>
      <x:c r="G8" s="3" t="str">
        <x:v>EXECUTION_DOCUMENT thiếu documentType</x:v>
      </x:c>
      <x:c r="H8" s="3" t="str">
        <x:v>RES-001</x:v>
      </x:c>
      <x:c r="I8" s="3" t="str">
        <x:v>QTV có quyền tương ứng</x:v>
      </x:c>
      <x:c r="J8" s="3" t="str">
        <x:v>Negative</x:v>
      </x:c>
      <x:c r="K8" s="3" t="str">
        <x:v>High</x:v>
      </x:c>
      <x:c r="L8" s="3" t="str">
        <x:v>High</x:v>
      </x:c>
      <x:c r="M8" s="3" t="str">
        <x:v>Môi trường QA cô lập, DB/MinIO sẵn sàng; dữ liệu fixture đã tạo. Đăng nhập tài khoản ACTIVE, mustChangePassword=false.</x:v>
      </x:c>
      <x:c r="N8" s="3" t="str">
        <x:v>Dữ liệu QA tổng hợp; xem fixture trong README.</x:v>
      </x:c>
      <x:c r="O8" s="3" t="str">
        <x:v>1. Chuẩn bị RESOURCE loại EXECUTION_DOCUMENT
2. Xóa riêng trường documentType
3. POST /api/admin/resources</x:v>
      </x:c>
      <x:c r="P8" s="3" t="str">
        <x:v>Không tạo resource; lỗi validation xác định trường documentType. HTTP 400 là kỳ vọng hợp đồng; nếu 500 ghi bug Zod handler.</x:v>
      </x:c>
      <x:c r="Q8" s="11" t="str"/>
      <x:c r="R8" s="8" t="str">
        <x:v>NOT RUN</x:v>
      </x:c>
      <x:c r="S8" s="11" t="str">
        <x:v>QA/UAT — cần điền URL/build</x:v>
      </x:c>
      <x:c r="T8" s="11" t="str">
        <x:v>Cần điền phiên bản thực</x:v>
      </x:c>
      <x:c r="U8" s="11" t="str"/>
      <x:c r="V8" s="12" t="str"/>
      <x:c r="W8" s="11" t="str"/>
      <x:c r="X8" s="11" t="str"/>
      <x:c r="Y8" s="3" t="str">
        <x:v>Nguồn: backend/src/modules/cms/cms.routes.ts. </x:v>
      </x:c>
    </x:row>
    <x:row r="9" ht="49" customHeight="1">
      <x:c r="A9" s="3" t="n">
        <x:v>8</x:v>
      </x:c>
      <x:c r="B9" s="3" t="str">
        <x:v>TC_RESOURCE_031</x:v>
      </x:c>
      <x:c r="C9" s="3" t="str">
        <x:v>RESOURCE</x:v>
      </x:c>
      <x:c r="D9" s="3" t="str">
        <x:v>Ràng buộc PDF</x:v>
      </x:c>
      <x:c r="E9" s="3" t="str">
        <x:v>Ràng buộc PDF</x:v>
      </x:c>
      <x:c r="F9" s="3" t="str">
        <x:v>Negative — BROCHURE dùng DOCX</x:v>
      </x:c>
      <x:c r="G9" s="3" t="str">
        <x:v>BROCHURE dùng DOCX</x:v>
      </x:c>
      <x:c r="H9" s="3" t="str">
        <x:v>RES-001</x:v>
      </x:c>
      <x:c r="I9" s="3" t="str">
        <x:v>QTV có quyền tương ứng</x:v>
      </x:c>
      <x:c r="J9" s="3" t="str">
        <x:v>Negative</x:v>
      </x:c>
      <x:c r="K9" s="3" t="str">
        <x:v>Medium</x:v>
      </x:c>
      <x:c r="L9" s="3" t="str">
        <x:v>Medium</x:v>
      </x:c>
      <x:c r="M9" s="3" t="str">
        <x:v>Môi trường QA cô lập, DB/MinIO sẵn sàng; dữ liệu fixture đã tạo. Đăng nhập tài khoản ACTIVE, mustChangePassword=false.</x:v>
      </x:c>
      <x:c r="N9" s="3" t="str">
        <x:v>Dữ liệu QA tổng hợp; xem fixture trong README.</x:v>
      </x:c>
      <x:c r="O9" s="3" t="str">
        <x:v>1. Chuẩn bị RESOURCE có file DOCX hợp lệ
2. Chọn resourceType=BROCHURE
3. Gửi metadata</x:v>
      </x:c>
      <x:c r="P9" s="3" t="str">
        <x:v>Không lưu resource; báo chỉ chấp nhận PDF.</x:v>
      </x:c>
      <x:c r="Q9" s="11" t="str"/>
      <x:c r="R9" s="8" t="str">
        <x:v>NOT RUN</x:v>
      </x:c>
      <x:c r="S9" s="11" t="str">
        <x:v>QA/UAT — cần điền URL/build</x:v>
      </x:c>
      <x:c r="T9" s="11" t="str">
        <x:v>Cần điền phiên bản thực</x:v>
      </x:c>
      <x:c r="U9" s="11" t="str"/>
      <x:c r="V9" s="12" t="str"/>
      <x:c r="W9" s="11" t="str"/>
      <x:c r="X9" s="11" t="str"/>
      <x:c r="Y9" s="3" t="str">
        <x:v>Nguồn: backend/src/modules/cms/cms.routes.ts. </x:v>
      </x:c>
    </x:row>
    <x:row r="10" ht="49" customHeight="1">
      <x:c r="A10" s="3" t="n">
        <x:v>9</x:v>
      </x:c>
      <x:c r="B10" s="3" t="str">
        <x:v>TC_RESOURCE_032</x:v>
      </x:c>
      <x:c r="C10" s="3" t="str">
        <x:v>RESOURCE</x:v>
      </x:c>
      <x:c r="D10" s="3" t="str">
        <x:v>Ràng buộc PDF</x:v>
      </x:c>
      <x:c r="E10" s="3" t="str">
        <x:v>Ràng buộc PDF</x:v>
      </x:c>
      <x:c r="F10" s="3" t="str">
        <x:v>Negative — PDF_DOCUMENT dùng DOCX</x:v>
      </x:c>
      <x:c r="G10" s="3" t="str">
        <x:v>PDF_DOCUMENT dùng DOCX</x:v>
      </x:c>
      <x:c r="H10" s="3" t="str">
        <x:v>RES-001</x:v>
      </x:c>
      <x:c r="I10" s="3" t="str">
        <x:v>QTV có quyền tương ứng</x:v>
      </x:c>
      <x:c r="J10" s="3" t="str">
        <x:v>Negative</x:v>
      </x:c>
      <x:c r="K10" s="3" t="str">
        <x:v>Medium</x:v>
      </x:c>
      <x:c r="L10" s="3" t="str">
        <x:v>Medium</x:v>
      </x:c>
      <x:c r="M10" s="3" t="str">
        <x:v>Môi trường QA cô lập, DB/MinIO sẵn sàng; dữ liệu fixture đã tạo. Đăng nhập tài khoản ACTIVE, mustChangePassword=false.</x:v>
      </x:c>
      <x:c r="N10" s="3" t="str">
        <x:v>Dữ liệu QA tổng hợp; xem fixture trong README.</x:v>
      </x:c>
      <x:c r="O10" s="3" t="str">
        <x:v>1. Chuẩn bị RESOURCE có file DOCX hợp lệ
2. Chọn resourceType=PDF_DOCUMENT
3. Gửi metadata</x:v>
      </x:c>
      <x:c r="P10" s="3" t="str">
        <x:v>Không lưu resource; báo chỉ chấp nhận PDF.</x:v>
      </x:c>
      <x:c r="Q10" s="11" t="str"/>
      <x:c r="R10" s="8" t="str">
        <x:v>NOT RUN</x:v>
      </x:c>
      <x:c r="S10" s="11" t="str">
        <x:v>QA/UAT — cần điền URL/build</x:v>
      </x:c>
      <x:c r="T10" s="11" t="str">
        <x:v>Cần điền phiên bản thực</x:v>
      </x:c>
      <x:c r="U10" s="11" t="str"/>
      <x:c r="V10" s="12" t="str"/>
      <x:c r="W10" s="11" t="str"/>
      <x:c r="X10" s="11" t="str"/>
      <x:c r="Y10" s="3" t="str">
        <x:v>Nguồn: backend/src/modules/cms/cms.routes.ts. </x:v>
      </x:c>
    </x:row>
    <x:row r="11" ht="62" customHeight="1">
      <x:c r="A11" s="3" t="n">
        <x:v>10</x:v>
      </x:c>
      <x:c r="B11" s="3" t="str">
        <x:v>TC_AUTH_031</x:v>
      </x:c>
      <x:c r="C11" s="3" t="str">
        <x:v>AUTH</x:v>
      </x:c>
      <x:c r="D11" s="3" t="str">
        <x:v>Boundary username</x:v>
      </x:c>
      <x:c r="E11" s="3" t="str">
        <x:v>Boundary username</x:v>
      </x:c>
      <x:c r="F11" s="3" t="str">
        <x:v>Boundary — POST ADMIN /api/admin/auth/login: username Min−1 (2)</x:v>
      </x:c>
      <x:c r="G11" s="3" t="str">
        <x:v>POST ADMIN /api/admin/auth/login: username Min−1 (2)</x:v>
      </x:c>
      <x:c r="H11" s="3" t="str">
        <x:v>AUTH-001</x:v>
      </x:c>
      <x:c r="I11" s="3" t="str">
        <x:v>QTV có quyền tương ứng</x:v>
      </x:c>
      <x:c r="J11" s="3" t="str">
        <x:v>Boundary</x:v>
      </x:c>
      <x:c r="K11" s="3" t="str">
        <x:v>High</x:v>
      </x:c>
      <x:c r="L11" s="3" t="str">
        <x:v>High</x:v>
      </x:c>
      <x:c r="M11" s="3" t="str">
        <x:v>QA cô lập; tài khoản fixture với trạng thái nêu trong case; không đăng nhập trước bước login/reset. Chỉ tạo phiên trước nếu Steps kiểm tra refresh/logout/hết hạn. SMTP sandbox cho reset qua email.</x:v>
      </x:c>
      <x:c r="N11" s="3" t="str">
        <x:v>"a" lặp 2 lần, không có khoảng trắng. Fixture LOGIN</x:v>
      </x:c>
      <x:c r="O11" s="3" t="str">
        <x:v>1. Chuẩn bị fixture LOGIN, các trường khác hợp lệ và ID/slug mới
2. Thay riêng username theo Test Data
3. Gửi POST ADMIN /api/admin/auth/login
4. Kiểm tra response và DB</x:v>
      </x:c>
      <x:c r="P11" s="3" t="str">
        <x:v>Từ chối độ dài username=2; HTTP 400 kỳ vọng, không đổi DB. Nếu CMS/Zod.parse trả 500, ghi defect hợp đồng lỗi.</x:v>
      </x:c>
      <x:c r="Q11" s="11" t="str"/>
      <x:c r="R11" s="8" t="str">
        <x:v>NOT RUN</x:v>
      </x:c>
      <x:c r="S11" s="11" t="str">
        <x:v>QA/UAT — cần điền URL/build</x:v>
      </x:c>
      <x:c r="T11" s="11" t="str">
        <x:v>Cần điền phiên bản thực</x:v>
      </x:c>
      <x:c r="U11" s="11" t="str"/>
      <x:c r="V11" s="12" t="str"/>
      <x:c r="W11" s="11" t="str"/>
      <x:c r="X11" s="11" t="str"/>
      <x:c r="Y11" s="3" t="str">
        <x:v>Nguồn: admin/src/lib/auth/schemas.ts:21. Độ dài JS/Zod dùng UTF-16; fixture ASCII để cô lập boundary. Optional min=0: Min−1 không áp dụng vì không có độ dài âm.</x:v>
      </x:c>
    </x:row>
    <x:row r="12" ht="62" customHeight="1">
      <x:c r="A12" s="3" t="n">
        <x:v>11</x:v>
      </x:c>
      <x:c r="B12" s="3" t="str">
        <x:v>TC_AUTH_032</x:v>
      </x:c>
      <x:c r="C12" s="3" t="str">
        <x:v>AUTH</x:v>
      </x:c>
      <x:c r="D12" s="3" t="str">
        <x:v>Boundary username</x:v>
      </x:c>
      <x:c r="E12" s="3" t="str">
        <x:v>Boundary username</x:v>
      </x:c>
      <x:c r="F12" s="3" t="str">
        <x:v>Boundary — POST ADMIN /api/admin/auth/login: username Min (3)</x:v>
      </x:c>
      <x:c r="G12" s="3" t="str">
        <x:v>POST ADMIN /api/admin/auth/login: username Min (3)</x:v>
      </x:c>
      <x:c r="H12" s="3" t="str">
        <x:v>AUTH-001</x:v>
      </x:c>
      <x:c r="I12" s="3" t="str">
        <x:v>QTV có quyền tương ứng</x:v>
      </x:c>
      <x:c r="J12" s="3" t="str">
        <x:v>Boundary</x:v>
      </x:c>
      <x:c r="K12" s="3" t="str">
        <x:v>High</x:v>
      </x:c>
      <x:c r="L12" s="3" t="str">
        <x:v>High</x:v>
      </x:c>
      <x:c r="M12" s="3" t="str">
        <x:v>QA cô lập; tài khoản fixture với trạng thái nêu trong case; không đăng nhập trước bước login/reset. Chỉ tạo phiên trước nếu Steps kiểm tra refresh/logout/hết hạn. SMTP sandbox cho reset qua email.</x:v>
      </x:c>
      <x:c r="N12" s="3" t="str">
        <x:v>"a" lặp 3 lần, không có khoảng trắng. Fixture LOGIN</x:v>
      </x:c>
      <x:c r="O12" s="3" t="str">
        <x:v>1. Chuẩn bị fixture LOGIN, các trường khác hợp lệ và ID/slug mới
2. Thay riêng username theo Test Data
3. Gửi POST ADMIN /api/admin/auth/login
4. Kiểm tra response và DB</x:v>
      </x:c>
      <x:c r="P12" s="3" t="str">
        <x:v>Qua validation độ dài username; không tạo phiên với thông tin không khớp fixture (401), không trả lỗi độ dài.</x:v>
      </x:c>
      <x:c r="Q12" s="11" t="str"/>
      <x:c r="R12" s="8" t="str">
        <x:v>NOT RUN</x:v>
      </x:c>
      <x:c r="S12" s="11" t="str">
        <x:v>QA/UAT — cần điền URL/build</x:v>
      </x:c>
      <x:c r="T12" s="11" t="str">
        <x:v>Cần điền phiên bản thực</x:v>
      </x:c>
      <x:c r="U12" s="11" t="str"/>
      <x:c r="V12" s="12" t="str"/>
      <x:c r="W12" s="11" t="str"/>
      <x:c r="X12" s="11" t="str"/>
      <x:c r="Y12" s="3" t="str">
        <x:v>Nguồn: admin/src/lib/auth/schemas.ts:21. Độ dài JS/Zod dùng UTF-16; fixture ASCII để cô lập boundary. Optional min=0: Min−1 không áp dụng vì không có độ dài âm.</x:v>
      </x:c>
    </x:row>
    <x:row r="13" ht="62" customHeight="1">
      <x:c r="A13" s="3" t="n">
        <x:v>12</x:v>
      </x:c>
      <x:c r="B13" s="3" t="str">
        <x:v>TC_AUTH_033</x:v>
      </x:c>
      <x:c r="C13" s="3" t="str">
        <x:v>AUTH</x:v>
      </x:c>
      <x:c r="D13" s="3" t="str">
        <x:v>Boundary username</x:v>
      </x:c>
      <x:c r="E13" s="3" t="str">
        <x:v>Boundary username</x:v>
      </x:c>
      <x:c r="F13" s="3" t="str">
        <x:v>Boundary — POST ADMIN /api/admin/auth/login: username Min+1 (4)</x:v>
      </x:c>
      <x:c r="G13" s="3" t="str">
        <x:v>POST ADMIN /api/admin/auth/login: username Min+1 (4)</x:v>
      </x:c>
      <x:c r="H13" s="3" t="str">
        <x:v>AUTH-001</x:v>
      </x:c>
      <x:c r="I13" s="3" t="str">
        <x:v>QTV có quyền tương ứng</x:v>
      </x:c>
      <x:c r="J13" s="3" t="str">
        <x:v>Boundary</x:v>
      </x:c>
      <x:c r="K13" s="3" t="str">
        <x:v>High</x:v>
      </x:c>
      <x:c r="L13" s="3" t="str">
        <x:v>High</x:v>
      </x:c>
      <x:c r="M13" s="3" t="str">
        <x:v>QA cô lập; tài khoản fixture với trạng thái nêu trong case; không đăng nhập trước bước login/reset. Chỉ tạo phiên trước nếu Steps kiểm tra refresh/logout/hết hạn. SMTP sandbox cho reset qua email.</x:v>
      </x:c>
      <x:c r="N13" s="3" t="str">
        <x:v>"a" lặp 4 lần, không có khoảng trắng. Fixture LOGIN</x:v>
      </x:c>
      <x:c r="O13" s="3" t="str">
        <x:v>1. Chuẩn bị fixture LOGIN, các trường khác hợp lệ và ID/slug mới
2. Thay riêng username theo Test Data
3. Gửi POST ADMIN /api/admin/auth/login
4. Kiểm tra response và DB</x:v>
      </x:c>
      <x:c r="P13" s="3" t="str">
        <x:v>Qua validation độ dài username; không tạo phiên với thông tin không khớp fixture (401), không trả lỗi độ dài.</x:v>
      </x:c>
      <x:c r="Q13" s="11" t="str"/>
      <x:c r="R13" s="8" t="str">
        <x:v>NOT RUN</x:v>
      </x:c>
      <x:c r="S13" s="11" t="str">
        <x:v>QA/UAT — cần điền URL/build</x:v>
      </x:c>
      <x:c r="T13" s="11" t="str">
        <x:v>Cần điền phiên bản thực</x:v>
      </x:c>
      <x:c r="U13" s="11" t="str"/>
      <x:c r="V13" s="12" t="str"/>
      <x:c r="W13" s="11" t="str"/>
      <x:c r="X13" s="11" t="str"/>
      <x:c r="Y13" s="3" t="str">
        <x:v>Nguồn: admin/src/lib/auth/schemas.ts:21. Độ dài JS/Zod dùng UTF-16; fixture ASCII để cô lập boundary. Optional min=0: Min−1 không áp dụng vì không có độ dài âm.</x:v>
      </x:c>
    </x:row>
    <x:row r="14" ht="62" customHeight="1">
      <x:c r="A14" s="3" t="n">
        <x:v>13</x:v>
      </x:c>
      <x:c r="B14" s="3" t="str">
        <x:v>TC_AUTH_034</x:v>
      </x:c>
      <x:c r="C14" s="3" t="str">
        <x:v>AUTH</x:v>
      </x:c>
      <x:c r="D14" s="3" t="str">
        <x:v>Boundary username</x:v>
      </x:c>
      <x:c r="E14" s="3" t="str">
        <x:v>Boundary username</x:v>
      </x:c>
      <x:c r="F14" s="3" t="str">
        <x:v>Boundary — POST ADMIN /api/admin/auth/login: username Max−1 (189)</x:v>
      </x:c>
      <x:c r="G14" s="3" t="str">
        <x:v>POST ADMIN /api/admin/auth/login: username Max−1 (189)</x:v>
      </x:c>
      <x:c r="H14" s="3" t="str">
        <x:v>AUTH-001</x:v>
      </x:c>
      <x:c r="I14" s="3" t="str">
        <x:v>QTV có quyền tương ứng</x:v>
      </x:c>
      <x:c r="J14" s="3" t="str">
        <x:v>Boundary</x:v>
      </x:c>
      <x:c r="K14" s="3" t="str">
        <x:v>High</x:v>
      </x:c>
      <x:c r="L14" s="3" t="str">
        <x:v>High</x:v>
      </x:c>
      <x:c r="M14" s="3" t="str">
        <x:v>QA cô lập; tài khoản fixture với trạng thái nêu trong case; không đăng nhập trước bước login/reset. Chỉ tạo phiên trước nếu Steps kiểm tra refresh/logout/hết hạn. SMTP sandbox cho reset qua email.</x:v>
      </x:c>
      <x:c r="N14" s="3" t="str">
        <x:v>"a" lặp 189 lần, không có khoảng trắng. Fixture LOGIN</x:v>
      </x:c>
      <x:c r="O14" s="3" t="str">
        <x:v>1. Chuẩn bị fixture LOGIN, các trường khác hợp lệ và ID/slug mới
2. Thay riêng username theo Test Data
3. Gửi POST ADMIN /api/admin/auth/login
4. Kiểm tra response và DB</x:v>
      </x:c>
      <x:c r="P14" s="3" t="str">
        <x:v>Qua validation độ dài username; không tạo phiên với thông tin không khớp fixture (401), không trả lỗi độ dài.</x:v>
      </x:c>
      <x:c r="Q14" s="11" t="str"/>
      <x:c r="R14" s="8" t="str">
        <x:v>NOT RUN</x:v>
      </x:c>
      <x:c r="S14" s="11" t="str">
        <x:v>QA/UAT — cần điền URL/build</x:v>
      </x:c>
      <x:c r="T14" s="11" t="str">
        <x:v>Cần điền phiên bản thực</x:v>
      </x:c>
      <x:c r="U14" s="11" t="str"/>
      <x:c r="V14" s="12" t="str"/>
      <x:c r="W14" s="11" t="str"/>
      <x:c r="X14" s="11" t="str"/>
      <x:c r="Y14" s="3" t="str">
        <x:v>Nguồn: admin/src/lib/auth/schemas.ts:21. Độ dài JS/Zod dùng UTF-16; fixture ASCII để cô lập boundary. Optional min=0: Min−1 không áp dụng vì không có độ dài âm.</x:v>
      </x:c>
    </x:row>
    <x:row r="15" ht="62" customHeight="1">
      <x:c r="A15" s="3" t="n">
        <x:v>14</x:v>
      </x:c>
      <x:c r="B15" s="3" t="str">
        <x:v>TC_AUTH_035</x:v>
      </x:c>
      <x:c r="C15" s="3" t="str">
        <x:v>AUTH</x:v>
      </x:c>
      <x:c r="D15" s="3" t="str">
        <x:v>Boundary username</x:v>
      </x:c>
      <x:c r="E15" s="3" t="str">
        <x:v>Boundary username</x:v>
      </x:c>
      <x:c r="F15" s="3" t="str">
        <x:v>Boundary — POST ADMIN /api/admin/auth/login: username Max (190)</x:v>
      </x:c>
      <x:c r="G15" s="3" t="str">
        <x:v>POST ADMIN /api/admin/auth/login: username Max (190)</x:v>
      </x:c>
      <x:c r="H15" s="3" t="str">
        <x:v>AUTH-001</x:v>
      </x:c>
      <x:c r="I15" s="3" t="str">
        <x:v>QTV có quyền tương ứng</x:v>
      </x:c>
      <x:c r="J15" s="3" t="str">
        <x:v>Boundary</x:v>
      </x:c>
      <x:c r="K15" s="3" t="str">
        <x:v>High</x:v>
      </x:c>
      <x:c r="L15" s="3" t="str">
        <x:v>High</x:v>
      </x:c>
      <x:c r="M15" s="3" t="str">
        <x:v>QA cô lập; tài khoản fixture với trạng thái nêu trong case; không đăng nhập trước bước login/reset. Chỉ tạo phiên trước nếu Steps kiểm tra refresh/logout/hết hạn. SMTP sandbox cho reset qua email.</x:v>
      </x:c>
      <x:c r="N15" s="3" t="str">
        <x:v>"a" lặp 190 lần, không có khoảng trắng. Fixture LOGIN</x:v>
      </x:c>
      <x:c r="O15" s="3" t="str">
        <x:v>1. Chuẩn bị fixture LOGIN, các trường khác hợp lệ và ID/slug mới
2. Thay riêng username theo Test Data
3. Gửi POST ADMIN /api/admin/auth/login
4. Kiểm tra response và DB</x:v>
      </x:c>
      <x:c r="P15" s="3" t="str">
        <x:v>Qua validation độ dài username; không tạo phiên với thông tin không khớp fixture (401), không trả lỗi độ dài.</x:v>
      </x:c>
      <x:c r="Q15" s="11" t="str"/>
      <x:c r="R15" s="8" t="str">
        <x:v>NOT RUN</x:v>
      </x:c>
      <x:c r="S15" s="11" t="str">
        <x:v>QA/UAT — cần điền URL/build</x:v>
      </x:c>
      <x:c r="T15" s="11" t="str">
        <x:v>Cần điền phiên bản thực</x:v>
      </x:c>
      <x:c r="U15" s="11" t="str"/>
      <x:c r="V15" s="12" t="str"/>
      <x:c r="W15" s="11" t="str"/>
      <x:c r="X15" s="11" t="str"/>
      <x:c r="Y15" s="3" t="str">
        <x:v>Nguồn: admin/src/lib/auth/schemas.ts:21. Độ dài JS/Zod dùng UTF-16; fixture ASCII để cô lập boundary. Optional min=0: Min−1 không áp dụng vì không có độ dài âm.</x:v>
      </x:c>
    </x:row>
    <x:row r="16" ht="62" customHeight="1">
      <x:c r="A16" s="3" t="n">
        <x:v>15</x:v>
      </x:c>
      <x:c r="B16" s="3" t="str">
        <x:v>TC_AUTH_036</x:v>
      </x:c>
      <x:c r="C16" s="3" t="str">
        <x:v>AUTH</x:v>
      </x:c>
      <x:c r="D16" s="3" t="str">
        <x:v>Boundary username</x:v>
      </x:c>
      <x:c r="E16" s="3" t="str">
        <x:v>Boundary username</x:v>
      </x:c>
      <x:c r="F16" s="3" t="str">
        <x:v>Boundary — POST ADMIN /api/admin/auth/login: username Max+1 (191)</x:v>
      </x:c>
      <x:c r="G16" s="3" t="str">
        <x:v>POST ADMIN /api/admin/auth/login: username Max+1 (191)</x:v>
      </x:c>
      <x:c r="H16" s="3" t="str">
        <x:v>AUTH-001</x:v>
      </x:c>
      <x:c r="I16" s="3" t="str">
        <x:v>QTV có quyền tương ứng</x:v>
      </x:c>
      <x:c r="J16" s="3" t="str">
        <x:v>Boundary</x:v>
      </x:c>
      <x:c r="K16" s="3" t="str">
        <x:v>High</x:v>
      </x:c>
      <x:c r="L16" s="3" t="str">
        <x:v>High</x:v>
      </x:c>
      <x:c r="M16" s="3" t="str">
        <x:v>QA cô lập; tài khoản fixture với trạng thái nêu trong case; không đăng nhập trước bước login/reset. Chỉ tạo phiên trước nếu Steps kiểm tra refresh/logout/hết hạn. SMTP sandbox cho reset qua email.</x:v>
      </x:c>
      <x:c r="N16" s="3" t="str">
        <x:v>"a" lặp 191 lần, không có khoảng trắng. Fixture LOGIN</x:v>
      </x:c>
      <x:c r="O16" s="3" t="str">
        <x:v>1. Chuẩn bị fixture LOGIN, các trường khác hợp lệ và ID/slug mới
2. Thay riêng username theo Test Data
3. Gửi POST ADMIN /api/admin/auth/login
4. Kiểm tra response và DB</x:v>
      </x:c>
      <x:c r="P16" s="3" t="str">
        <x:v>Từ chối độ dài username=191; HTTP 400 kỳ vọng, không đổi DB. Nếu CMS/Zod.parse trả 500, ghi defect hợp đồng lỗi.</x:v>
      </x:c>
      <x:c r="Q16" s="11" t="str"/>
      <x:c r="R16" s="8" t="str">
        <x:v>NOT RUN</x:v>
      </x:c>
      <x:c r="S16" s="11" t="str">
        <x:v>QA/UAT — cần điền URL/build</x:v>
      </x:c>
      <x:c r="T16" s="11" t="str">
        <x:v>Cần điền phiên bản thực</x:v>
      </x:c>
      <x:c r="U16" s="11" t="str"/>
      <x:c r="V16" s="12" t="str"/>
      <x:c r="W16" s="11" t="str"/>
      <x:c r="X16" s="11" t="str"/>
      <x:c r="Y16" s="3" t="str">
        <x:v>Nguồn: admin/src/lib/auth/schemas.ts:21. Độ dài JS/Zod dùng UTF-16; fixture ASCII để cô lập boundary. Optional min=0: Min−1 không áp dụng vì không có độ dài âm.</x:v>
      </x:c>
    </x:row>
    <x:row r="17" ht="62" customHeight="1">
      <x:c r="A17" s="3" t="n">
        <x:v>16</x:v>
      </x:c>
      <x:c r="B17" s="3" t="str">
        <x:v>TC_AUTH_037</x:v>
      </x:c>
      <x:c r="C17" s="3" t="str">
        <x:v>AUTH</x:v>
      </x:c>
      <x:c r="D17" s="3" t="str">
        <x:v>Boundary password</x:v>
      </x:c>
      <x:c r="E17" s="3" t="str">
        <x:v>Boundary password</x:v>
      </x:c>
      <x:c r="F17" s="3" t="str">
        <x:v>Boundary — POST ADMIN /api/admin/auth/login: password Min−1 (0)</x:v>
      </x:c>
      <x:c r="G17" s="3" t="str">
        <x:v>POST ADMIN /api/admin/auth/login: password Min−1 (0)</x:v>
      </x:c>
      <x:c r="H17" s="3" t="str">
        <x:v>AUTH-001</x:v>
      </x:c>
      <x:c r="I17" s="3" t="str">
        <x:v>QTV có quyền tương ứng</x:v>
      </x:c>
      <x:c r="J17" s="3" t="str">
        <x:v>Boundary</x:v>
      </x:c>
      <x:c r="K17" s="3" t="str">
        <x:v>Medium</x:v>
      </x:c>
      <x:c r="L17" s="3" t="str">
        <x:v>Medium</x:v>
      </x:c>
      <x:c r="M17" s="3" t="str">
        <x:v>QA cô lập; tài khoản fixture với trạng thái nêu trong case; không đăng nhập trước bước login/reset. Chỉ tạo phiên trước nếu Steps kiểm tra refresh/logout/hết hạn. SMTP sandbox cho reset qua email.</x:v>
      </x:c>
      <x:c r="N17" s="3" t="str">
        <x:v>"a" lặp 0 lần, không có khoảng trắng. Fixture LOGIN</x:v>
      </x:c>
      <x:c r="O17" s="3" t="str">
        <x:v>1. Chuẩn bị fixture LOGIN, các trường khác hợp lệ và ID/slug mới
2. Thay riêng password theo Test Data
3. Gửi POST ADMIN /api/admin/auth/login
4. Kiểm tra response và DB</x:v>
      </x:c>
      <x:c r="P17" s="3" t="str">
        <x:v>Từ chối độ dài password=0; HTTP 400 kỳ vọng, không đổi DB. Nếu CMS/Zod.parse trả 500, ghi defect hợp đồng lỗi.</x:v>
      </x:c>
      <x:c r="Q17" s="11" t="str"/>
      <x:c r="R17" s="8" t="str">
        <x:v>NOT RUN</x:v>
      </x:c>
      <x:c r="S17" s="11" t="str">
        <x:v>QA/UAT — cần điền URL/build</x:v>
      </x:c>
      <x:c r="T17" s="11" t="str">
        <x:v>Cần điền phiên bản thực</x:v>
      </x:c>
      <x:c r="U17" s="11" t="str"/>
      <x:c r="V17" s="12" t="str"/>
      <x:c r="W17" s="11" t="str"/>
      <x:c r="X17" s="11" t="str"/>
      <x:c r="Y17" s="3" t="str">
        <x:v>Nguồn: admin/src/lib/auth/schemas.ts:22. Độ dài JS/Zod dùng UTF-16; fixture ASCII để cô lập boundary. Optional min=0: Min−1 không áp dụng vì không có độ dài âm.</x:v>
      </x:c>
    </x:row>
    <x:row r="18" ht="62" customHeight="1">
      <x:c r="A18" s="3" t="n">
        <x:v>17</x:v>
      </x:c>
      <x:c r="B18" s="3" t="str">
        <x:v>TC_AUTH_038</x:v>
      </x:c>
      <x:c r="C18" s="3" t="str">
        <x:v>AUTH</x:v>
      </x:c>
      <x:c r="D18" s="3" t="str">
        <x:v>Boundary password</x:v>
      </x:c>
      <x:c r="E18" s="3" t="str">
        <x:v>Boundary password</x:v>
      </x:c>
      <x:c r="F18" s="3" t="str">
        <x:v>Boundary — POST ADMIN /api/admin/auth/login: password Min (1)</x:v>
      </x:c>
      <x:c r="G18" s="3" t="str">
        <x:v>POST ADMIN /api/admin/auth/login: password Min (1)</x:v>
      </x:c>
      <x:c r="H18" s="3" t="str">
        <x:v>AUTH-001</x:v>
      </x:c>
      <x:c r="I18" s="3" t="str">
        <x:v>QTV có quyền tương ứng</x:v>
      </x:c>
      <x:c r="J18" s="3" t="str">
        <x:v>Boundary</x:v>
      </x:c>
      <x:c r="K18" s="3" t="str">
        <x:v>Medium</x:v>
      </x:c>
      <x:c r="L18" s="3" t="str">
        <x:v>Medium</x:v>
      </x:c>
      <x:c r="M18" s="3" t="str">
        <x:v>QA cô lập; tài khoản fixture với trạng thái nêu trong case; không đăng nhập trước bước login/reset. Chỉ tạo phiên trước nếu Steps kiểm tra refresh/logout/hết hạn. SMTP sandbox cho reset qua email.</x:v>
      </x:c>
      <x:c r="N18" s="3" t="str">
        <x:v>"a" lặp 1 lần, không có khoảng trắng. Fixture LOGIN</x:v>
      </x:c>
      <x:c r="O18" s="3" t="str">
        <x:v>1. Chuẩn bị fixture LOGIN, các trường khác hợp lệ và ID/slug mới
2. Thay riêng password theo Test Data
3. Gửi POST ADMIN /api/admin/auth/login
4. Kiểm tra response và DB</x:v>
      </x:c>
      <x:c r="P18" s="3" t="str">
        <x:v>Qua validation độ dài password; không tạo phiên với thông tin không khớp fixture (401), không trả lỗi độ dài.</x:v>
      </x:c>
      <x:c r="Q18" s="11" t="str"/>
      <x:c r="R18" s="8" t="str">
        <x:v>NOT RUN</x:v>
      </x:c>
      <x:c r="S18" s="11" t="str">
        <x:v>QA/UAT — cần điền URL/build</x:v>
      </x:c>
      <x:c r="T18" s="11" t="str">
        <x:v>Cần điền phiên bản thực</x:v>
      </x:c>
      <x:c r="U18" s="11" t="str"/>
      <x:c r="V18" s="12" t="str"/>
      <x:c r="W18" s="11" t="str"/>
      <x:c r="X18" s="11" t="str"/>
      <x:c r="Y18" s="3" t="str">
        <x:v>Nguồn: admin/src/lib/auth/schemas.ts:22. Độ dài JS/Zod dùng UTF-16; fixture ASCII để cô lập boundary. Optional min=0: Min−1 không áp dụng vì không có độ dài âm.</x:v>
      </x:c>
    </x:row>
    <x:row r="19" ht="62" customHeight="1">
      <x:c r="A19" s="3" t="n">
        <x:v>18</x:v>
      </x:c>
      <x:c r="B19" s="3" t="str">
        <x:v>TC_AUTH_039</x:v>
      </x:c>
      <x:c r="C19" s="3" t="str">
        <x:v>AUTH</x:v>
      </x:c>
      <x:c r="D19" s="3" t="str">
        <x:v>Boundary password</x:v>
      </x:c>
      <x:c r="E19" s="3" t="str">
        <x:v>Boundary password</x:v>
      </x:c>
      <x:c r="F19" s="3" t="str">
        <x:v>Boundary — POST ADMIN /api/admin/auth/login: password Min+1 (2)</x:v>
      </x:c>
      <x:c r="G19" s="3" t="str">
        <x:v>POST ADMIN /api/admin/auth/login: password Min+1 (2)</x:v>
      </x:c>
      <x:c r="H19" s="3" t="str">
        <x:v>AUTH-001</x:v>
      </x:c>
      <x:c r="I19" s="3" t="str">
        <x:v>QTV có quyền tương ứng</x:v>
      </x:c>
      <x:c r="J19" s="3" t="str">
        <x:v>Boundary</x:v>
      </x:c>
      <x:c r="K19" s="3" t="str">
        <x:v>Medium</x:v>
      </x:c>
      <x:c r="L19" s="3" t="str">
        <x:v>Medium</x:v>
      </x:c>
      <x:c r="M19" s="3" t="str">
        <x:v>QA cô lập; tài khoản fixture với trạng thái nêu trong case; không đăng nhập trước bước login/reset. Chỉ tạo phiên trước nếu Steps kiểm tra refresh/logout/hết hạn. SMTP sandbox cho reset qua email.</x:v>
      </x:c>
      <x:c r="N19" s="3" t="str">
        <x:v>"a" lặp 2 lần, không có khoảng trắng. Fixture LOGIN</x:v>
      </x:c>
      <x:c r="O19" s="3" t="str">
        <x:v>1. Chuẩn bị fixture LOGIN, các trường khác hợp lệ và ID/slug mới
2. Thay riêng password theo Test Data
3. Gửi POST ADMIN /api/admin/auth/login
4. Kiểm tra response và DB</x:v>
      </x:c>
      <x:c r="P19" s="3" t="str">
        <x:v>Qua validation độ dài password; không tạo phiên với thông tin không khớp fixture (401), không trả lỗi độ dài.</x:v>
      </x:c>
      <x:c r="Q19" s="11" t="str"/>
      <x:c r="R19" s="8" t="str">
        <x:v>NOT RUN</x:v>
      </x:c>
      <x:c r="S19" s="11" t="str">
        <x:v>QA/UAT — cần điền URL/build</x:v>
      </x:c>
      <x:c r="T19" s="11" t="str">
        <x:v>Cần điền phiên bản thực</x:v>
      </x:c>
      <x:c r="U19" s="11" t="str"/>
      <x:c r="V19" s="12" t="str"/>
      <x:c r="W19" s="11" t="str"/>
      <x:c r="X19" s="11" t="str"/>
      <x:c r="Y19" s="3" t="str">
        <x:v>Nguồn: admin/src/lib/auth/schemas.ts:22. Độ dài JS/Zod dùng UTF-16; fixture ASCII để cô lập boundary. Optional min=0: Min−1 không áp dụng vì không có độ dài âm.</x:v>
      </x:c>
    </x:row>
    <x:row r="20" ht="62" customHeight="1">
      <x:c r="A20" s="3" t="n">
        <x:v>19</x:v>
      </x:c>
      <x:c r="B20" s="3" t="str">
        <x:v>TC_AUTH_040</x:v>
      </x:c>
      <x:c r="C20" s="3" t="str">
        <x:v>AUTH</x:v>
      </x:c>
      <x:c r="D20" s="3" t="str">
        <x:v>Boundary password</x:v>
      </x:c>
      <x:c r="E20" s="3" t="str">
        <x:v>Boundary password</x:v>
      </x:c>
      <x:c r="F20" s="3" t="str">
        <x:v>Boundary — POST ADMIN /api/admin/auth/login: password Max−1 (127)</x:v>
      </x:c>
      <x:c r="G20" s="3" t="str">
        <x:v>POST ADMIN /api/admin/auth/login: password Max−1 (127)</x:v>
      </x:c>
      <x:c r="H20" s="3" t="str">
        <x:v>AUTH-001</x:v>
      </x:c>
      <x:c r="I20" s="3" t="str">
        <x:v>QTV có quyền tương ứng</x:v>
      </x:c>
      <x:c r="J20" s="3" t="str">
        <x:v>Boundary</x:v>
      </x:c>
      <x:c r="K20" s="3" t="str">
        <x:v>Medium</x:v>
      </x:c>
      <x:c r="L20" s="3" t="str">
        <x:v>Medium</x:v>
      </x:c>
      <x:c r="M20" s="3" t="str">
        <x:v>QA cô lập; tài khoản fixture với trạng thái nêu trong case; không đăng nhập trước bước login/reset. Chỉ tạo phiên trước nếu Steps kiểm tra refresh/logout/hết hạn. SMTP sandbox cho reset qua email.</x:v>
      </x:c>
      <x:c r="N20" s="3" t="str">
        <x:v>"a" lặp 127 lần, không có khoảng trắng. Fixture LOGIN</x:v>
      </x:c>
      <x:c r="O20" s="3" t="str">
        <x:v>1. Chuẩn bị fixture LOGIN, các trường khác hợp lệ và ID/slug mới
2. Thay riêng password theo Test Data
3. Gửi POST ADMIN /api/admin/auth/login
4. Kiểm tra response và DB</x:v>
      </x:c>
      <x:c r="P20" s="3" t="str">
        <x:v>Qua validation độ dài password; không tạo phiên với thông tin không khớp fixture (401), không trả lỗi độ dài.</x:v>
      </x:c>
      <x:c r="Q20" s="11" t="str"/>
      <x:c r="R20" s="8" t="str">
        <x:v>NOT RUN</x:v>
      </x:c>
      <x:c r="S20" s="11" t="str">
        <x:v>QA/UAT — cần điền URL/build</x:v>
      </x:c>
      <x:c r="T20" s="11" t="str">
        <x:v>Cần điền phiên bản thực</x:v>
      </x:c>
      <x:c r="U20" s="11" t="str"/>
      <x:c r="V20" s="12" t="str"/>
      <x:c r="W20" s="11" t="str"/>
      <x:c r="X20" s="11" t="str"/>
      <x:c r="Y20" s="3" t="str">
        <x:v>Nguồn: admin/src/lib/auth/schemas.ts:22. Độ dài JS/Zod dùng UTF-16; fixture ASCII để cô lập boundary. Optional min=0: Min−1 không áp dụng vì không có độ dài âm.</x:v>
      </x:c>
    </x:row>
    <x:row r="21" ht="62" customHeight="1">
      <x:c r="A21" s="3" t="n">
        <x:v>20</x:v>
      </x:c>
      <x:c r="B21" s="3" t="str">
        <x:v>TC_AUTH_041</x:v>
      </x:c>
      <x:c r="C21" s="3" t="str">
        <x:v>AUTH</x:v>
      </x:c>
      <x:c r="D21" s="3" t="str">
        <x:v>Boundary password</x:v>
      </x:c>
      <x:c r="E21" s="3" t="str">
        <x:v>Boundary password</x:v>
      </x:c>
      <x:c r="F21" s="3" t="str">
        <x:v>Boundary — POST ADMIN /api/admin/auth/login: password Max (128)</x:v>
      </x:c>
      <x:c r="G21" s="3" t="str">
        <x:v>POST ADMIN /api/admin/auth/login: password Max (128)</x:v>
      </x:c>
      <x:c r="H21" s="3" t="str">
        <x:v>AUTH-001</x:v>
      </x:c>
      <x:c r="I21" s="3" t="str">
        <x:v>QTV có quyền tương ứng</x:v>
      </x:c>
      <x:c r="J21" s="3" t="str">
        <x:v>Boundary</x:v>
      </x:c>
      <x:c r="K21" s="3" t="str">
        <x:v>Medium</x:v>
      </x:c>
      <x:c r="L21" s="3" t="str">
        <x:v>Medium</x:v>
      </x:c>
      <x:c r="M21" s="3" t="str">
        <x:v>QA cô lập; tài khoản fixture với trạng thái nêu trong case; không đăng nhập trước bước login/reset. Chỉ tạo phiên trước nếu Steps kiểm tra refresh/logout/hết hạn. SMTP sandbox cho reset qua email.</x:v>
      </x:c>
      <x:c r="N21" s="3" t="str">
        <x:v>"a" lặp 128 lần, không có khoảng trắng. Fixture LOGIN</x:v>
      </x:c>
      <x:c r="O21" s="3" t="str">
        <x:v>1. Chuẩn bị fixture LOGIN, các trường khác hợp lệ và ID/slug mới
2. Thay riêng password theo Test Data
3. Gửi POST ADMIN /api/admin/auth/login
4. Kiểm tra response và DB</x:v>
      </x:c>
      <x:c r="P21" s="3" t="str">
        <x:v>Qua validation độ dài password; không tạo phiên với thông tin không khớp fixture (401), không trả lỗi độ dài.</x:v>
      </x:c>
      <x:c r="Q21" s="11" t="str"/>
      <x:c r="R21" s="8" t="str">
        <x:v>NOT RUN</x:v>
      </x:c>
      <x:c r="S21" s="11" t="str">
        <x:v>QA/UAT — cần điền URL/build</x:v>
      </x:c>
      <x:c r="T21" s="11" t="str">
        <x:v>Cần điền phiên bản thực</x:v>
      </x:c>
      <x:c r="U21" s="11" t="str"/>
      <x:c r="V21" s="12" t="str"/>
      <x:c r="W21" s="11" t="str"/>
      <x:c r="X21" s="11" t="str"/>
      <x:c r="Y21" s="3" t="str">
        <x:v>Nguồn: admin/src/lib/auth/schemas.ts:22. Độ dài JS/Zod dùng UTF-16; fixture ASCII để cô lập boundary. Optional min=0: Min−1 không áp dụng vì không có độ dài âm.</x:v>
      </x:c>
    </x:row>
    <x:row r="22" ht="62" customHeight="1">
      <x:c r="A22" s="3" t="n">
        <x:v>21</x:v>
      </x:c>
      <x:c r="B22" s="3" t="str">
        <x:v>TC_AUTH_042</x:v>
      </x:c>
      <x:c r="C22" s="3" t="str">
        <x:v>AUTH</x:v>
      </x:c>
      <x:c r="D22" s="3" t="str">
        <x:v>Boundary password</x:v>
      </x:c>
      <x:c r="E22" s="3" t="str">
        <x:v>Boundary password</x:v>
      </x:c>
      <x:c r="F22" s="3" t="str">
        <x:v>Boundary — POST ADMIN /api/admin/auth/login: password Max+1 (129)</x:v>
      </x:c>
      <x:c r="G22" s="3" t="str">
        <x:v>POST ADMIN /api/admin/auth/login: password Max+1 (129)</x:v>
      </x:c>
      <x:c r="H22" s="3" t="str">
        <x:v>AUTH-001</x:v>
      </x:c>
      <x:c r="I22" s="3" t="str">
        <x:v>QTV có quyền tương ứng</x:v>
      </x:c>
      <x:c r="J22" s="3" t="str">
        <x:v>Boundary</x:v>
      </x:c>
      <x:c r="K22" s="3" t="str">
        <x:v>Medium</x:v>
      </x:c>
      <x:c r="L22" s="3" t="str">
        <x:v>Medium</x:v>
      </x:c>
      <x:c r="M22" s="3" t="str">
        <x:v>QA cô lập; tài khoản fixture với trạng thái nêu trong case; không đăng nhập trước bước login/reset. Chỉ tạo phiên trước nếu Steps kiểm tra refresh/logout/hết hạn. SMTP sandbox cho reset qua email.</x:v>
      </x:c>
      <x:c r="N22" s="3" t="str">
        <x:v>"a" lặp 129 lần, không có khoảng trắng. Fixture LOGIN</x:v>
      </x:c>
      <x:c r="O22" s="3" t="str">
        <x:v>1. Chuẩn bị fixture LOGIN, các trường khác hợp lệ và ID/slug mới
2. Thay riêng password theo Test Data
3. Gửi POST ADMIN /api/admin/auth/login
4. Kiểm tra response và DB</x:v>
      </x:c>
      <x:c r="P22" s="3" t="str">
        <x:v>Từ chối độ dài password=129; HTTP 400 kỳ vọng, không đổi DB. Nếu CMS/Zod.parse trả 500, ghi defect hợp đồng lỗi.</x:v>
      </x:c>
      <x:c r="Q22" s="11" t="str"/>
      <x:c r="R22" s="8" t="str">
        <x:v>NOT RUN</x:v>
      </x:c>
      <x:c r="S22" s="11" t="str">
        <x:v>QA/UAT — cần điền URL/build</x:v>
      </x:c>
      <x:c r="T22" s="11" t="str">
        <x:v>Cần điền phiên bản thực</x:v>
      </x:c>
      <x:c r="U22" s="11" t="str"/>
      <x:c r="V22" s="12" t="str"/>
      <x:c r="W22" s="11" t="str"/>
      <x:c r="X22" s="11" t="str"/>
      <x:c r="Y22" s="3" t="str">
        <x:v>Nguồn: admin/src/lib/auth/schemas.ts:22. Độ dài JS/Zod dùng UTF-16; fixture ASCII để cô lập boundary. Optional min=0: Min−1 không áp dụng vì không có độ dài âm.</x:v>
      </x:c>
    </x:row>
    <x:row r="23" ht="62" customHeight="1">
      <x:c r="A23" s="3" t="n">
        <x:v>22</x:v>
      </x:c>
      <x:c r="B23" s="3" t="str">
        <x:v>TC_USER_019</x:v>
      </x:c>
      <x:c r="C23" s="3" t="str">
        <x:v>USER</x:v>
      </x:c>
      <x:c r="D23" s="3" t="str">
        <x:v>Boundary username</x:v>
      </x:c>
      <x:c r="E23" s="3" t="str">
        <x:v>Boundary username</x:v>
      </x:c>
      <x:c r="F23" s="3" t="str">
        <x:v>Boundary — POST ADMIN /api/admin/users: username Min−1 (2)</x:v>
      </x:c>
      <x:c r="G23" s="3" t="str">
        <x:v>POST ADMIN /api/admin/users: username Min−1 (2)</x:v>
      </x:c>
      <x:c r="H23" s="3" t="str">
        <x:v>USR-001</x:v>
      </x:c>
      <x:c r="I23" s="3" t="str">
        <x:v>QTV có quyền tương ứng</x:v>
      </x:c>
      <x:c r="J23" s="3" t="str">
        <x:v>Boundary</x:v>
      </x:c>
      <x:c r="K23" s="3" t="str">
        <x:v>High</x:v>
      </x:c>
      <x:c r="L23" s="3" t="str">
        <x:v>High</x:v>
      </x:c>
      <x:c r="M23" s="3" t="str">
        <x:v>Môi trường QA cô lập, DB/MinIO sẵn sàng; dữ liệu fixture đã tạo. Đăng nhập tài khoản ACTIVE, mustChangePassword=false.</x:v>
      </x:c>
      <x:c r="N23" s="3" t="str">
        <x:v>"a" lặp 2 lần, không có khoảng trắng. Fixture USER</x:v>
      </x:c>
      <x:c r="O23" s="3" t="str">
        <x:v>1. Chuẩn bị fixture USER, các trường khác hợp lệ và ID/slug mới
2. Thay riêng username theo Test Data
3. Gửi POST ADMIN /api/admin/users
4. Kiểm tra response và DB</x:v>
      </x:c>
      <x:c r="P23" s="3" t="str">
        <x:v>Từ chối độ dài username=2; HTTP 400 kỳ vọng, không đổi DB. Nếu CMS/Zod.parse trả 500, ghi defect hợp đồng lỗi.</x:v>
      </x:c>
      <x:c r="Q23" s="11" t="str"/>
      <x:c r="R23" s="8" t="str">
        <x:v>NOT RUN</x:v>
      </x:c>
      <x:c r="S23" s="11" t="str">
        <x:v>QA/UAT — cần điền URL/build</x:v>
      </x:c>
      <x:c r="T23" s="11" t="str">
        <x:v>Cần điền phiên bản thực</x:v>
      </x:c>
      <x:c r="U23" s="11" t="str"/>
      <x:c r="V23" s="12" t="str"/>
      <x:c r="W23" s="11" t="str"/>
      <x:c r="X23" s="11" t="str"/>
      <x:c r="Y23" s="3" t="str">
        <x:v>Nguồn: admin/src/lib/auth/schemas.ts:21. Độ dài JS/Zod dùng UTF-16; fixture ASCII để cô lập boundary. Optional min=0: Min−1 không áp dụng vì không có độ dài âm.</x:v>
      </x:c>
    </x:row>
    <x:row r="24" ht="62" customHeight="1">
      <x:c r="A24" s="3" t="n">
        <x:v>23</x:v>
      </x:c>
      <x:c r="B24" s="3" t="str">
        <x:v>TC_USER_020</x:v>
      </x:c>
      <x:c r="C24" s="3" t="str">
        <x:v>USER</x:v>
      </x:c>
      <x:c r="D24" s="3" t="str">
        <x:v>Boundary username</x:v>
      </x:c>
      <x:c r="E24" s="3" t="str">
        <x:v>Boundary username</x:v>
      </x:c>
      <x:c r="F24" s="3" t="str">
        <x:v>Boundary — POST ADMIN /api/admin/users: username Min (3)</x:v>
      </x:c>
      <x:c r="G24" s="3" t="str">
        <x:v>POST ADMIN /api/admin/users: username Min (3)</x:v>
      </x:c>
      <x:c r="H24" s="3" t="str">
        <x:v>USR-001</x:v>
      </x:c>
      <x:c r="I24" s="3" t="str">
        <x:v>QTV có quyền tương ứng</x:v>
      </x:c>
      <x:c r="J24" s="3" t="str">
        <x:v>Boundary</x:v>
      </x:c>
      <x:c r="K24" s="3" t="str">
        <x:v>High</x:v>
      </x:c>
      <x:c r="L24" s="3" t="str">
        <x:v>High</x:v>
      </x:c>
      <x:c r="M24" s="3" t="str">
        <x:v>Môi trường QA cô lập, DB/MinIO sẵn sàng; dữ liệu fixture đã tạo. Đăng nhập tài khoản ACTIVE, mustChangePassword=false.</x:v>
      </x:c>
      <x:c r="N24" s="3" t="str">
        <x:v>"a" lặp 3 lần, không có khoảng trắng. Fixture USER</x:v>
      </x:c>
      <x:c r="O24" s="3" t="str">
        <x:v>1. Chuẩn bị fixture USER, các trường khác hợp lệ và ID/slug mới
2. Thay riêng username theo Test Data
3. Gửi POST ADMIN /api/admin/users
4. Kiểm tra response và DB</x:v>
      </x:c>
      <x:c r="P24" s="3" t="str">
        <x:v>Qua validation độ dài username; HTTP 201; trường username được lưu đúng 3 ký tự.</x:v>
      </x:c>
      <x:c r="Q24" s="11" t="str"/>
      <x:c r="R24" s="8" t="str">
        <x:v>NOT RUN</x:v>
      </x:c>
      <x:c r="S24" s="11" t="str">
        <x:v>QA/UAT — cần điền URL/build</x:v>
      </x:c>
      <x:c r="T24" s="11" t="str">
        <x:v>Cần điền phiên bản thực</x:v>
      </x:c>
      <x:c r="U24" s="11" t="str"/>
      <x:c r="V24" s="12" t="str"/>
      <x:c r="W24" s="11" t="str"/>
      <x:c r="X24" s="11" t="str"/>
      <x:c r="Y24" s="3" t="str">
        <x:v>Nguồn: admin/src/lib/auth/schemas.ts:21. Độ dài JS/Zod dùng UTF-16; fixture ASCII để cô lập boundary. Optional min=0: Min−1 không áp dụng vì không có độ dài âm.</x:v>
      </x:c>
    </x:row>
    <x:row r="25" ht="62" customHeight="1">
      <x:c r="A25" s="3" t="n">
        <x:v>24</x:v>
      </x:c>
      <x:c r="B25" s="3" t="str">
        <x:v>TC_USER_021</x:v>
      </x:c>
      <x:c r="C25" s="3" t="str">
        <x:v>USER</x:v>
      </x:c>
      <x:c r="D25" s="3" t="str">
        <x:v>Boundary username</x:v>
      </x:c>
      <x:c r="E25" s="3" t="str">
        <x:v>Boundary username</x:v>
      </x:c>
      <x:c r="F25" s="3" t="str">
        <x:v>Boundary — POST ADMIN /api/admin/users: username Min+1 (4)</x:v>
      </x:c>
      <x:c r="G25" s="3" t="str">
        <x:v>POST ADMIN /api/admin/users: username Min+1 (4)</x:v>
      </x:c>
      <x:c r="H25" s="3" t="str">
        <x:v>USR-001</x:v>
      </x:c>
      <x:c r="I25" s="3" t="str">
        <x:v>QTV có quyền tương ứng</x:v>
      </x:c>
      <x:c r="J25" s="3" t="str">
        <x:v>Boundary</x:v>
      </x:c>
      <x:c r="K25" s="3" t="str">
        <x:v>High</x:v>
      </x:c>
      <x:c r="L25" s="3" t="str">
        <x:v>High</x:v>
      </x:c>
      <x:c r="M25" s="3" t="str">
        <x:v>Môi trường QA cô lập, DB/MinIO sẵn sàng; dữ liệu fixture đã tạo. Đăng nhập tài khoản ACTIVE, mustChangePassword=false.</x:v>
      </x:c>
      <x:c r="N25" s="3" t="str">
        <x:v>"a" lặp 4 lần, không có khoảng trắng. Fixture USER</x:v>
      </x:c>
      <x:c r="O25" s="3" t="str">
        <x:v>1. Chuẩn bị fixture USER, các trường khác hợp lệ và ID/slug mới
2. Thay riêng username theo Test Data
3. Gửi POST ADMIN /api/admin/users
4. Kiểm tra response và DB</x:v>
      </x:c>
      <x:c r="P25" s="3" t="str">
        <x:v>Qua validation độ dài username; HTTP 201; trường username được lưu đúng 4 ký tự.</x:v>
      </x:c>
      <x:c r="Q25" s="11" t="str"/>
      <x:c r="R25" s="8" t="str">
        <x:v>NOT RUN</x:v>
      </x:c>
      <x:c r="S25" s="11" t="str">
        <x:v>QA/UAT — cần điền URL/build</x:v>
      </x:c>
      <x:c r="T25" s="11" t="str">
        <x:v>Cần điền phiên bản thực</x:v>
      </x:c>
      <x:c r="U25" s="11" t="str"/>
      <x:c r="V25" s="12" t="str"/>
      <x:c r="W25" s="11" t="str"/>
      <x:c r="X25" s="11" t="str"/>
      <x:c r="Y25" s="3" t="str">
        <x:v>Nguồn: admin/src/lib/auth/schemas.ts:21. Độ dài JS/Zod dùng UTF-16; fixture ASCII để cô lập boundary. Optional min=0: Min−1 không áp dụng vì không có độ dài âm.</x:v>
      </x:c>
    </x:row>
    <x:row r="26" ht="62" customHeight="1">
      <x:c r="A26" s="3" t="n">
        <x:v>25</x:v>
      </x:c>
      <x:c r="B26" s="3" t="str">
        <x:v>TC_USER_022</x:v>
      </x:c>
      <x:c r="C26" s="3" t="str">
        <x:v>USER</x:v>
      </x:c>
      <x:c r="D26" s="3" t="str">
        <x:v>Boundary username</x:v>
      </x:c>
      <x:c r="E26" s="3" t="str">
        <x:v>Boundary username</x:v>
      </x:c>
      <x:c r="F26" s="3" t="str">
        <x:v>Boundary — POST ADMIN /api/admin/users: username Max−1 (49)</x:v>
      </x:c>
      <x:c r="G26" s="3" t="str">
        <x:v>POST ADMIN /api/admin/users: username Max−1 (49)</x:v>
      </x:c>
      <x:c r="H26" s="3" t="str">
        <x:v>USR-001</x:v>
      </x:c>
      <x:c r="I26" s="3" t="str">
        <x:v>QTV có quyền tương ứng</x:v>
      </x:c>
      <x:c r="J26" s="3" t="str">
        <x:v>Boundary</x:v>
      </x:c>
      <x:c r="K26" s="3" t="str">
        <x:v>High</x:v>
      </x:c>
      <x:c r="L26" s="3" t="str">
        <x:v>High</x:v>
      </x:c>
      <x:c r="M26" s="3" t="str">
        <x:v>Môi trường QA cô lập, DB/MinIO sẵn sàng; dữ liệu fixture đã tạo. Đăng nhập tài khoản ACTIVE, mustChangePassword=false.</x:v>
      </x:c>
      <x:c r="N26" s="3" t="str">
        <x:v>"a" lặp 49 lần, không có khoảng trắng. Fixture USER</x:v>
      </x:c>
      <x:c r="O26" s="3" t="str">
        <x:v>1. Chuẩn bị fixture USER, các trường khác hợp lệ và ID/slug mới
2. Thay riêng username theo Test Data
3. Gửi POST ADMIN /api/admin/users
4. Kiểm tra response và DB</x:v>
      </x:c>
      <x:c r="P26" s="3" t="str">
        <x:v>Qua validation độ dài username; HTTP 201; trường username được lưu đúng 49 ký tự.</x:v>
      </x:c>
      <x:c r="Q26" s="11" t="str"/>
      <x:c r="R26" s="8" t="str">
        <x:v>NOT RUN</x:v>
      </x:c>
      <x:c r="S26" s="11" t="str">
        <x:v>QA/UAT — cần điền URL/build</x:v>
      </x:c>
      <x:c r="T26" s="11" t="str">
        <x:v>Cần điền phiên bản thực</x:v>
      </x:c>
      <x:c r="U26" s="11" t="str"/>
      <x:c r="V26" s="12" t="str"/>
      <x:c r="W26" s="11" t="str"/>
      <x:c r="X26" s="11" t="str"/>
      <x:c r="Y26" s="3" t="str">
        <x:v>Nguồn: admin/src/lib/auth/schemas.ts:21. Độ dài JS/Zod dùng UTF-16; fixture ASCII để cô lập boundary. Optional min=0: Min−1 không áp dụng vì không có độ dài âm.</x:v>
      </x:c>
    </x:row>
    <x:row r="27" ht="62" customHeight="1">
      <x:c r="A27" s="3" t="n">
        <x:v>26</x:v>
      </x:c>
      <x:c r="B27" s="3" t="str">
        <x:v>TC_USER_023</x:v>
      </x:c>
      <x:c r="C27" s="3" t="str">
        <x:v>USER</x:v>
      </x:c>
      <x:c r="D27" s="3" t="str">
        <x:v>Boundary username</x:v>
      </x:c>
      <x:c r="E27" s="3" t="str">
        <x:v>Boundary username</x:v>
      </x:c>
      <x:c r="F27" s="3" t="str">
        <x:v>Boundary — POST ADMIN /api/admin/users: username Max (50)</x:v>
      </x:c>
      <x:c r="G27" s="3" t="str">
        <x:v>POST ADMIN /api/admin/users: username Max (50)</x:v>
      </x:c>
      <x:c r="H27" s="3" t="str">
        <x:v>USR-001</x:v>
      </x:c>
      <x:c r="I27" s="3" t="str">
        <x:v>QTV có quyền tương ứng</x:v>
      </x:c>
      <x:c r="J27" s="3" t="str">
        <x:v>Boundary</x:v>
      </x:c>
      <x:c r="K27" s="3" t="str">
        <x:v>High</x:v>
      </x:c>
      <x:c r="L27" s="3" t="str">
        <x:v>High</x:v>
      </x:c>
      <x:c r="M27" s="3" t="str">
        <x:v>Môi trường QA cô lập, DB/MinIO sẵn sàng; dữ liệu fixture đã tạo. Đăng nhập tài khoản ACTIVE, mustChangePassword=false.</x:v>
      </x:c>
      <x:c r="N27" s="3" t="str">
        <x:v>"a" lặp 50 lần, không có khoảng trắng. Fixture USER</x:v>
      </x:c>
      <x:c r="O27" s="3" t="str">
        <x:v>1. Chuẩn bị fixture USER, các trường khác hợp lệ và ID/slug mới
2. Thay riêng username theo Test Data
3. Gửi POST ADMIN /api/admin/users
4. Kiểm tra response và DB</x:v>
      </x:c>
      <x:c r="P27" s="3" t="str">
        <x:v>Qua validation độ dài username; HTTP 201; trường username được lưu đúng 50 ký tự.</x:v>
      </x:c>
      <x:c r="Q27" s="11" t="str"/>
      <x:c r="R27" s="8" t="str">
        <x:v>NOT RUN</x:v>
      </x:c>
      <x:c r="S27" s="11" t="str">
        <x:v>QA/UAT — cần điền URL/build</x:v>
      </x:c>
      <x:c r="T27" s="11" t="str">
        <x:v>Cần điền phiên bản thực</x:v>
      </x:c>
      <x:c r="U27" s="11" t="str"/>
      <x:c r="V27" s="12" t="str"/>
      <x:c r="W27" s="11" t="str"/>
      <x:c r="X27" s="11" t="str"/>
      <x:c r="Y27" s="3" t="str">
        <x:v>Nguồn: admin/src/lib/auth/schemas.ts:21. Độ dài JS/Zod dùng UTF-16; fixture ASCII để cô lập boundary. Optional min=0: Min−1 không áp dụng vì không có độ dài âm.</x:v>
      </x:c>
    </x:row>
    <x:row r="28" ht="62" customHeight="1">
      <x:c r="A28" s="3" t="n">
        <x:v>27</x:v>
      </x:c>
      <x:c r="B28" s="3" t="str">
        <x:v>TC_USER_024</x:v>
      </x:c>
      <x:c r="C28" s="3" t="str">
        <x:v>USER</x:v>
      </x:c>
      <x:c r="D28" s="3" t="str">
        <x:v>Boundary username</x:v>
      </x:c>
      <x:c r="E28" s="3" t="str">
        <x:v>Boundary username</x:v>
      </x:c>
      <x:c r="F28" s="3" t="str">
        <x:v>Boundary — POST ADMIN /api/admin/users: username Max+1 (51)</x:v>
      </x:c>
      <x:c r="G28" s="3" t="str">
        <x:v>POST ADMIN /api/admin/users: username Max+1 (51)</x:v>
      </x:c>
      <x:c r="H28" s="3" t="str">
        <x:v>USR-001</x:v>
      </x:c>
      <x:c r="I28" s="3" t="str">
        <x:v>QTV có quyền tương ứng</x:v>
      </x:c>
      <x:c r="J28" s="3" t="str">
        <x:v>Boundary</x:v>
      </x:c>
      <x:c r="K28" s="3" t="str">
        <x:v>High</x:v>
      </x:c>
      <x:c r="L28" s="3" t="str">
        <x:v>High</x:v>
      </x:c>
      <x:c r="M28" s="3" t="str">
        <x:v>Môi trường QA cô lập, DB/MinIO sẵn sàng; dữ liệu fixture đã tạo. Đăng nhập tài khoản ACTIVE, mustChangePassword=false.</x:v>
      </x:c>
      <x:c r="N28" s="3" t="str">
        <x:v>"a" lặp 51 lần, không có khoảng trắng. Fixture USER</x:v>
      </x:c>
      <x:c r="O28" s="3" t="str">
        <x:v>1. Chuẩn bị fixture USER, các trường khác hợp lệ và ID/slug mới
2. Thay riêng username theo Test Data
3. Gửi POST ADMIN /api/admin/users
4. Kiểm tra response và DB</x:v>
      </x:c>
      <x:c r="P28" s="3" t="str">
        <x:v>Từ chối độ dài username=51; HTTP 400 kỳ vọng, không đổi DB. Nếu CMS/Zod.parse trả 500, ghi defect hợp đồng lỗi.</x:v>
      </x:c>
      <x:c r="Q28" s="11" t="str"/>
      <x:c r="R28" s="8" t="str">
        <x:v>NOT RUN</x:v>
      </x:c>
      <x:c r="S28" s="11" t="str">
        <x:v>QA/UAT — cần điền URL/build</x:v>
      </x:c>
      <x:c r="T28" s="11" t="str">
        <x:v>Cần điền phiên bản thực</x:v>
      </x:c>
      <x:c r="U28" s="11" t="str"/>
      <x:c r="V28" s="12" t="str"/>
      <x:c r="W28" s="11" t="str"/>
      <x:c r="X28" s="11" t="str"/>
      <x:c r="Y28" s="3" t="str">
        <x:v>Nguồn: admin/src/lib/auth/schemas.ts:21. Độ dài JS/Zod dùng UTF-16; fixture ASCII để cô lập boundary. Optional min=0: Min−1 không áp dụng vì không có độ dài âm.</x:v>
      </x:c>
    </x:row>
    <x:row r="29" ht="62" customHeight="1">
      <x:c r="A29" s="3" t="n">
        <x:v>28</x:v>
      </x:c>
      <x:c r="B29" s="3" t="str">
        <x:v>TC_USER_025</x:v>
      </x:c>
      <x:c r="C29" s="3" t="str">
        <x:v>USER</x:v>
      </x:c>
      <x:c r="D29" s="3" t="str">
        <x:v>Boundary fullName</x:v>
      </x:c>
      <x:c r="E29" s="3" t="str">
        <x:v>Boundary fullName</x:v>
      </x:c>
      <x:c r="F29" s="3" t="str">
        <x:v>Boundary — POST ADMIN /api/admin/users: fullName Min−1 (1)</x:v>
      </x:c>
      <x:c r="G29" s="3" t="str">
        <x:v>POST ADMIN /api/admin/users: fullName Min−1 (1)</x:v>
      </x:c>
      <x:c r="H29" s="3" t="str">
        <x:v>USR-001</x:v>
      </x:c>
      <x:c r="I29" s="3" t="str">
        <x:v>QTV có quyền tương ứng</x:v>
      </x:c>
      <x:c r="J29" s="3" t="str">
        <x:v>Boundary</x:v>
      </x:c>
      <x:c r="K29" s="3" t="str">
        <x:v>Medium</x:v>
      </x:c>
      <x:c r="L29" s="3" t="str">
        <x:v>Medium</x:v>
      </x:c>
      <x:c r="M29" s="3" t="str">
        <x:v>Môi trường QA cô lập, DB/MinIO sẵn sàng; dữ liệu fixture đã tạo. Đăng nhập tài khoản ACTIVE, mustChangePassword=false.</x:v>
      </x:c>
      <x:c r="N29" s="3" t="str">
        <x:v>"a" lặp 1 lần, không có khoảng trắng. Fixture USER</x:v>
      </x:c>
      <x:c r="O29" s="3" t="str">
        <x:v>1. Chuẩn bị fixture USER, các trường khác hợp lệ và ID/slug mới
2. Thay riêng fullName theo Test Data
3. Gửi POST ADMIN /api/admin/users
4. Kiểm tra response và DB</x:v>
      </x:c>
      <x:c r="P29" s="3" t="str">
        <x:v>Từ chối độ dài fullName=1; HTTP 400 kỳ vọng, không đổi DB. Nếu CMS/Zod.parse trả 500, ghi defect hợp đồng lỗi.</x:v>
      </x:c>
      <x:c r="Q29" s="11" t="str"/>
      <x:c r="R29" s="8" t="str">
        <x:v>NOT RUN</x:v>
      </x:c>
      <x:c r="S29" s="11" t="str">
        <x:v>QA/UAT — cần điền URL/build</x:v>
      </x:c>
      <x:c r="T29" s="11" t="str">
        <x:v>Cần điền phiên bản thực</x:v>
      </x:c>
      <x:c r="U29" s="11" t="str"/>
      <x:c r="V29" s="12" t="str"/>
      <x:c r="W29" s="11" t="str"/>
      <x:c r="X29" s="11" t="str"/>
      <x:c r="Y29" s="3" t="str">
        <x:v>Nguồn: admin/src/lib/auth/schemas.ts:59. Độ dài JS/Zod dùng UTF-16; fixture ASCII để cô lập boundary. Optional min=0: Min−1 không áp dụng vì không có độ dài âm.</x:v>
      </x:c>
    </x:row>
    <x:row r="30" ht="62" customHeight="1">
      <x:c r="A30" s="3" t="n">
        <x:v>29</x:v>
      </x:c>
      <x:c r="B30" s="3" t="str">
        <x:v>TC_USER_026</x:v>
      </x:c>
      <x:c r="C30" s="3" t="str">
        <x:v>USER</x:v>
      </x:c>
      <x:c r="D30" s="3" t="str">
        <x:v>Boundary fullName</x:v>
      </x:c>
      <x:c r="E30" s="3" t="str">
        <x:v>Boundary fullName</x:v>
      </x:c>
      <x:c r="F30" s="3" t="str">
        <x:v>Boundary — POST ADMIN /api/admin/users: fullName Min (2)</x:v>
      </x:c>
      <x:c r="G30" s="3" t="str">
        <x:v>POST ADMIN /api/admin/users: fullName Min (2)</x:v>
      </x:c>
      <x:c r="H30" s="3" t="str">
        <x:v>USR-001</x:v>
      </x:c>
      <x:c r="I30" s="3" t="str">
        <x:v>QTV có quyền tương ứng</x:v>
      </x:c>
      <x:c r="J30" s="3" t="str">
        <x:v>Boundary</x:v>
      </x:c>
      <x:c r="K30" s="3" t="str">
        <x:v>Medium</x:v>
      </x:c>
      <x:c r="L30" s="3" t="str">
        <x:v>Medium</x:v>
      </x:c>
      <x:c r="M30" s="3" t="str">
        <x:v>Môi trường QA cô lập, DB/MinIO sẵn sàng; dữ liệu fixture đã tạo. Đăng nhập tài khoản ACTIVE, mustChangePassword=false.</x:v>
      </x:c>
      <x:c r="N30" s="3" t="str">
        <x:v>"a" lặp 2 lần, không có khoảng trắng. Fixture USER</x:v>
      </x:c>
      <x:c r="O30" s="3" t="str">
        <x:v>1. Chuẩn bị fixture USER, các trường khác hợp lệ và ID/slug mới
2. Thay riêng fullName theo Test Data
3. Gửi POST ADMIN /api/admin/users
4. Kiểm tra response và DB</x:v>
      </x:c>
      <x:c r="P30" s="3" t="str">
        <x:v>Qua validation độ dài fullName; HTTP 201; trường fullName được lưu đúng 2 ký tự.</x:v>
      </x:c>
      <x:c r="Q30" s="11" t="str"/>
      <x:c r="R30" s="8" t="str">
        <x:v>NOT RUN</x:v>
      </x:c>
      <x:c r="S30" s="11" t="str">
        <x:v>QA/UAT — cần điền URL/build</x:v>
      </x:c>
      <x:c r="T30" s="11" t="str">
        <x:v>Cần điền phiên bản thực</x:v>
      </x:c>
      <x:c r="U30" s="11" t="str"/>
      <x:c r="V30" s="12" t="str"/>
      <x:c r="W30" s="11" t="str"/>
      <x:c r="X30" s="11" t="str"/>
      <x:c r="Y30" s="3" t="str">
        <x:v>Nguồn: admin/src/lib/auth/schemas.ts:59. Độ dài JS/Zod dùng UTF-16; fixture ASCII để cô lập boundary. Optional min=0: Min−1 không áp dụng vì không có độ dài âm.</x:v>
      </x:c>
    </x:row>
    <x:row r="31" ht="62" customHeight="1">
      <x:c r="A31" s="3" t="n">
        <x:v>30</x:v>
      </x:c>
      <x:c r="B31" s="3" t="str">
        <x:v>TC_USER_027</x:v>
      </x:c>
      <x:c r="C31" s="3" t="str">
        <x:v>USER</x:v>
      </x:c>
      <x:c r="D31" s="3" t="str">
        <x:v>Boundary fullName</x:v>
      </x:c>
      <x:c r="E31" s="3" t="str">
        <x:v>Boundary fullName</x:v>
      </x:c>
      <x:c r="F31" s="3" t="str">
        <x:v>Boundary — POST ADMIN /api/admin/users: fullName Min+1 (3)</x:v>
      </x:c>
      <x:c r="G31" s="3" t="str">
        <x:v>POST ADMIN /api/admin/users: fullName Min+1 (3)</x:v>
      </x:c>
      <x:c r="H31" s="3" t="str">
        <x:v>USR-001</x:v>
      </x:c>
      <x:c r="I31" s="3" t="str">
        <x:v>QTV có quyền tương ứng</x:v>
      </x:c>
      <x:c r="J31" s="3" t="str">
        <x:v>Boundary</x:v>
      </x:c>
      <x:c r="K31" s="3" t="str">
        <x:v>Medium</x:v>
      </x:c>
      <x:c r="L31" s="3" t="str">
        <x:v>Medium</x:v>
      </x:c>
      <x:c r="M31" s="3" t="str">
        <x:v>Môi trường QA cô lập, DB/MinIO sẵn sàng; dữ liệu fixture đã tạo. Đăng nhập tài khoản ACTIVE, mustChangePassword=false.</x:v>
      </x:c>
      <x:c r="N31" s="3" t="str">
        <x:v>"a" lặp 3 lần, không có khoảng trắng. Fixture USER</x:v>
      </x:c>
      <x:c r="O31" s="3" t="str">
        <x:v>1. Chuẩn bị fixture USER, các trường khác hợp lệ và ID/slug mới
2. Thay riêng fullName theo Test Data
3. Gửi POST ADMIN /api/admin/users
4. Kiểm tra response và DB</x:v>
      </x:c>
      <x:c r="P31" s="3" t="str">
        <x:v>Qua validation độ dài fullName; HTTP 201; trường fullName được lưu đúng 3 ký tự.</x:v>
      </x:c>
      <x:c r="Q31" s="11" t="str"/>
      <x:c r="R31" s="8" t="str">
        <x:v>NOT RUN</x:v>
      </x:c>
      <x:c r="S31" s="11" t="str">
        <x:v>QA/UAT — cần điền URL/build</x:v>
      </x:c>
      <x:c r="T31" s="11" t="str">
        <x:v>Cần điền phiên bản thực</x:v>
      </x:c>
      <x:c r="U31" s="11" t="str"/>
      <x:c r="V31" s="12" t="str"/>
      <x:c r="W31" s="11" t="str"/>
      <x:c r="X31" s="11" t="str"/>
      <x:c r="Y31" s="3" t="str">
        <x:v>Nguồn: admin/src/lib/auth/schemas.ts:59. Độ dài JS/Zod dùng UTF-16; fixture ASCII để cô lập boundary. Optional min=0: Min−1 không áp dụng vì không có độ dài âm.</x:v>
      </x:c>
    </x:row>
    <x:row r="32" ht="62" customHeight="1">
      <x:c r="A32" s="3" t="n">
        <x:v>31</x:v>
      </x:c>
      <x:c r="B32" s="3" t="str">
        <x:v>TC_USER_028</x:v>
      </x:c>
      <x:c r="C32" s="3" t="str">
        <x:v>USER</x:v>
      </x:c>
      <x:c r="D32" s="3" t="str">
        <x:v>Boundary fullName</x:v>
      </x:c>
      <x:c r="E32" s="3" t="str">
        <x:v>Boundary fullName</x:v>
      </x:c>
      <x:c r="F32" s="3" t="str">
        <x:v>Boundary — POST ADMIN /api/admin/users: fullName Max−1 (119)</x:v>
      </x:c>
      <x:c r="G32" s="3" t="str">
        <x:v>POST ADMIN /api/admin/users: fullName Max−1 (119)</x:v>
      </x:c>
      <x:c r="H32" s="3" t="str">
        <x:v>USR-001</x:v>
      </x:c>
      <x:c r="I32" s="3" t="str">
        <x:v>QTV có quyền tương ứng</x:v>
      </x:c>
      <x:c r="J32" s="3" t="str">
        <x:v>Boundary</x:v>
      </x:c>
      <x:c r="K32" s="3" t="str">
        <x:v>Medium</x:v>
      </x:c>
      <x:c r="L32" s="3" t="str">
        <x:v>Medium</x:v>
      </x:c>
      <x:c r="M32" s="3" t="str">
        <x:v>Môi trường QA cô lập, DB/MinIO sẵn sàng; dữ liệu fixture đã tạo. Đăng nhập tài khoản ACTIVE, mustChangePassword=false.</x:v>
      </x:c>
      <x:c r="N32" s="3" t="str">
        <x:v>"a" lặp 119 lần, không có khoảng trắng. Fixture USER</x:v>
      </x:c>
      <x:c r="O32" s="3" t="str">
        <x:v>1. Chuẩn bị fixture USER, các trường khác hợp lệ và ID/slug mới
2. Thay riêng fullName theo Test Data
3. Gửi POST ADMIN /api/admin/users
4. Kiểm tra response và DB</x:v>
      </x:c>
      <x:c r="P32" s="3" t="str">
        <x:v>Qua validation độ dài fullName; HTTP 201; trường fullName được lưu đúng 119 ký tự.</x:v>
      </x:c>
      <x:c r="Q32" s="11" t="str"/>
      <x:c r="R32" s="8" t="str">
        <x:v>NOT RUN</x:v>
      </x:c>
      <x:c r="S32" s="11" t="str">
        <x:v>QA/UAT — cần điền URL/build</x:v>
      </x:c>
      <x:c r="T32" s="11" t="str">
        <x:v>Cần điền phiên bản thực</x:v>
      </x:c>
      <x:c r="U32" s="11" t="str"/>
      <x:c r="V32" s="12" t="str"/>
      <x:c r="W32" s="11" t="str"/>
      <x:c r="X32" s="11" t="str"/>
      <x:c r="Y32" s="3" t="str">
        <x:v>Nguồn: admin/src/lib/auth/schemas.ts:59. Độ dài JS/Zod dùng UTF-16; fixture ASCII để cô lập boundary. Optional min=0: Min−1 không áp dụng vì không có độ dài âm.</x:v>
      </x:c>
    </x:row>
    <x:row r="33" ht="62" customHeight="1">
      <x:c r="A33" s="3" t="n">
        <x:v>32</x:v>
      </x:c>
      <x:c r="B33" s="3" t="str">
        <x:v>TC_USER_029</x:v>
      </x:c>
      <x:c r="C33" s="3" t="str">
        <x:v>USER</x:v>
      </x:c>
      <x:c r="D33" s="3" t="str">
        <x:v>Boundary fullName</x:v>
      </x:c>
      <x:c r="E33" s="3" t="str">
        <x:v>Boundary fullName</x:v>
      </x:c>
      <x:c r="F33" s="3" t="str">
        <x:v>Boundary — POST ADMIN /api/admin/users: fullName Max (120)</x:v>
      </x:c>
      <x:c r="G33" s="3" t="str">
        <x:v>POST ADMIN /api/admin/users: fullName Max (120)</x:v>
      </x:c>
      <x:c r="H33" s="3" t="str">
        <x:v>USR-001</x:v>
      </x:c>
      <x:c r="I33" s="3" t="str">
        <x:v>QTV có quyền tương ứng</x:v>
      </x:c>
      <x:c r="J33" s="3" t="str">
        <x:v>Boundary</x:v>
      </x:c>
      <x:c r="K33" s="3" t="str">
        <x:v>Medium</x:v>
      </x:c>
      <x:c r="L33" s="3" t="str">
        <x:v>Medium</x:v>
      </x:c>
      <x:c r="M33" s="3" t="str">
        <x:v>Môi trường QA cô lập, DB/MinIO sẵn sàng; dữ liệu fixture đã tạo. Đăng nhập tài khoản ACTIVE, mustChangePassword=false.</x:v>
      </x:c>
      <x:c r="N33" s="3" t="str">
        <x:v>"a" lặp 120 lần, không có khoảng trắng. Fixture USER</x:v>
      </x:c>
      <x:c r="O33" s="3" t="str">
        <x:v>1. Chuẩn bị fixture USER, các trường khác hợp lệ và ID/slug mới
2. Thay riêng fullName theo Test Data
3. Gửi POST ADMIN /api/admin/users
4. Kiểm tra response và DB</x:v>
      </x:c>
      <x:c r="P33" s="3" t="str">
        <x:v>Qua validation độ dài fullName; HTTP 201; trường fullName được lưu đúng 120 ký tự.</x:v>
      </x:c>
      <x:c r="Q33" s="11" t="str"/>
      <x:c r="R33" s="8" t="str">
        <x:v>NOT RUN</x:v>
      </x:c>
      <x:c r="S33" s="11" t="str">
        <x:v>QA/UAT — cần điền URL/build</x:v>
      </x:c>
      <x:c r="T33" s="11" t="str">
        <x:v>Cần điền phiên bản thực</x:v>
      </x:c>
      <x:c r="U33" s="11" t="str"/>
      <x:c r="V33" s="12" t="str"/>
      <x:c r="W33" s="11" t="str"/>
      <x:c r="X33" s="11" t="str"/>
      <x:c r="Y33" s="3" t="str">
        <x:v>Nguồn: admin/src/lib/auth/schemas.ts:59. Độ dài JS/Zod dùng UTF-16; fixture ASCII để cô lập boundary. Optional min=0: Min−1 không áp dụng vì không có độ dài âm.</x:v>
      </x:c>
    </x:row>
    <x:row r="34" ht="62" customHeight="1">
      <x:c r="A34" s="3" t="n">
        <x:v>33</x:v>
      </x:c>
      <x:c r="B34" s="3" t="str">
        <x:v>TC_USER_030</x:v>
      </x:c>
      <x:c r="C34" s="3" t="str">
        <x:v>USER</x:v>
      </x:c>
      <x:c r="D34" s="3" t="str">
        <x:v>Boundary fullName</x:v>
      </x:c>
      <x:c r="E34" s="3" t="str">
        <x:v>Boundary fullName</x:v>
      </x:c>
      <x:c r="F34" s="3" t="str">
        <x:v>Boundary — POST ADMIN /api/admin/users: fullName Max+1 (121)</x:v>
      </x:c>
      <x:c r="G34" s="3" t="str">
        <x:v>POST ADMIN /api/admin/users: fullName Max+1 (121)</x:v>
      </x:c>
      <x:c r="H34" s="3" t="str">
        <x:v>USR-001</x:v>
      </x:c>
      <x:c r="I34" s="3" t="str">
        <x:v>QTV có quyền tương ứng</x:v>
      </x:c>
      <x:c r="J34" s="3" t="str">
        <x:v>Boundary</x:v>
      </x:c>
      <x:c r="K34" s="3" t="str">
        <x:v>Medium</x:v>
      </x:c>
      <x:c r="L34" s="3" t="str">
        <x:v>Medium</x:v>
      </x:c>
      <x:c r="M34" s="3" t="str">
        <x:v>Môi trường QA cô lập, DB/MinIO sẵn sàng; dữ liệu fixture đã tạo. Đăng nhập tài khoản ACTIVE, mustChangePassword=false.</x:v>
      </x:c>
      <x:c r="N34" s="3" t="str">
        <x:v>"a" lặp 121 lần, không có khoảng trắng. Fixture USER</x:v>
      </x:c>
      <x:c r="O34" s="3" t="str">
        <x:v>1. Chuẩn bị fixture USER, các trường khác hợp lệ và ID/slug mới
2. Thay riêng fullName theo Test Data
3. Gửi POST ADMIN /api/admin/users
4. Kiểm tra response và DB</x:v>
      </x:c>
      <x:c r="P34" s="3" t="str">
        <x:v>Từ chối độ dài fullName=121; HTTP 400 kỳ vọng, không đổi DB. Nếu CMS/Zod.parse trả 500, ghi defect hợp đồng lỗi.</x:v>
      </x:c>
      <x:c r="Q34" s="11" t="str"/>
      <x:c r="R34" s="8" t="str">
        <x:v>NOT RUN</x:v>
      </x:c>
      <x:c r="S34" s="11" t="str">
        <x:v>QA/UAT — cần điền URL/build</x:v>
      </x:c>
      <x:c r="T34" s="11" t="str">
        <x:v>Cần điền phiên bản thực</x:v>
      </x:c>
      <x:c r="U34" s="11" t="str"/>
      <x:c r="V34" s="12" t="str"/>
      <x:c r="W34" s="11" t="str"/>
      <x:c r="X34" s="11" t="str"/>
      <x:c r="Y34" s="3" t="str">
        <x:v>Nguồn: admin/src/lib/auth/schemas.ts:59. Độ dài JS/Zod dùng UTF-16; fixture ASCII để cô lập boundary. Optional min=0: Min−1 không áp dụng vì không có độ dài âm.</x:v>
      </x:c>
    </x:row>
    <x:row r="35" ht="62" customHeight="1">
      <x:c r="A35" s="3" t="n">
        <x:v>34</x:v>
      </x:c>
      <x:c r="B35" s="3" t="str">
        <x:v>TC_USER_031</x:v>
      </x:c>
      <x:c r="C35" s="3" t="str">
        <x:v>USER</x:v>
      </x:c>
      <x:c r="D35" s="3" t="str">
        <x:v>Boundary phone</x:v>
      </x:c>
      <x:c r="E35" s="3" t="str">
        <x:v>Boundary phone</x:v>
      </x:c>
      <x:c r="F35" s="3" t="str">
        <x:v>Boundary — POST ADMIN /api/admin/users: phone Min (0)</x:v>
      </x:c>
      <x:c r="G35" s="3" t="str">
        <x:v>POST ADMIN /api/admin/users: phone Min (0)</x:v>
      </x:c>
      <x:c r="H35" s="3" t="str">
        <x:v>USR-001</x:v>
      </x:c>
      <x:c r="I35" s="3" t="str">
        <x:v>QTV có quyền tương ứng</x:v>
      </x:c>
      <x:c r="J35" s="3" t="str">
        <x:v>Boundary</x:v>
      </x:c>
      <x:c r="K35" s="3" t="str">
        <x:v>Medium</x:v>
      </x:c>
      <x:c r="L35" s="3" t="str">
        <x:v>Medium</x:v>
      </x:c>
      <x:c r="M35" s="3" t="str">
        <x:v>Môi trường QA cô lập, DB/MinIO sẵn sàng; dữ liệu fixture đã tạo. Đăng nhập tài khoản ACTIVE, mustChangePassword=false.</x:v>
      </x:c>
      <x:c r="N35" s="3" t="str">
        <x:v>"0" lặp 0 lần. Fixture USER</x:v>
      </x:c>
      <x:c r="O35" s="3" t="str">
        <x:v>1. Chuẩn bị fixture USER, các trường khác hợp lệ và ID/slug mới
2. Thay riêng phone theo Test Data
3. Gửi POST ADMIN /api/admin/users
4. Kiểm tra response và DB</x:v>
      </x:c>
      <x:c r="P35" s="3" t="str">
        <x:v>Qua validation độ dài phone; HTTP 201; trường phone được lưu đúng 0 ký tự.</x:v>
      </x:c>
      <x:c r="Q35" s="11" t="str"/>
      <x:c r="R35" s="8" t="str">
        <x:v>NOT RUN</x:v>
      </x:c>
      <x:c r="S35" s="11" t="str">
        <x:v>QA/UAT — cần điền URL/build</x:v>
      </x:c>
      <x:c r="T35" s="11" t="str">
        <x:v>Cần điền phiên bản thực</x:v>
      </x:c>
      <x:c r="U35" s="11" t="str"/>
      <x:c r="V35" s="12" t="str"/>
      <x:c r="W35" s="11" t="str"/>
      <x:c r="X35" s="11" t="str"/>
      <x:c r="Y35" s="3" t="str">
        <x:v>Nguồn: admin/src/lib/auth/schemas.ts:62. Độ dài JS/Zod dùng UTF-16; fixture ASCII để cô lập boundary. Optional min=0: Min−1 không áp dụng vì không có độ dài âm.</x:v>
      </x:c>
    </x:row>
    <x:row r="36" ht="62" customHeight="1">
      <x:c r="A36" s="3" t="n">
        <x:v>35</x:v>
      </x:c>
      <x:c r="B36" s="3" t="str">
        <x:v>TC_USER_032</x:v>
      </x:c>
      <x:c r="C36" s="3" t="str">
        <x:v>USER</x:v>
      </x:c>
      <x:c r="D36" s="3" t="str">
        <x:v>Boundary phone</x:v>
      </x:c>
      <x:c r="E36" s="3" t="str">
        <x:v>Boundary phone</x:v>
      </x:c>
      <x:c r="F36" s="3" t="str">
        <x:v>Boundary — POST ADMIN /api/admin/users: phone Min+1 (1)</x:v>
      </x:c>
      <x:c r="G36" s="3" t="str">
        <x:v>POST ADMIN /api/admin/users: phone Min+1 (1)</x:v>
      </x:c>
      <x:c r="H36" s="3" t="str">
        <x:v>USR-001</x:v>
      </x:c>
      <x:c r="I36" s="3" t="str">
        <x:v>QTV có quyền tương ứng</x:v>
      </x:c>
      <x:c r="J36" s="3" t="str">
        <x:v>Boundary</x:v>
      </x:c>
      <x:c r="K36" s="3" t="str">
        <x:v>Medium</x:v>
      </x:c>
      <x:c r="L36" s="3" t="str">
        <x:v>Medium</x:v>
      </x:c>
      <x:c r="M36" s="3" t="str">
        <x:v>Môi trường QA cô lập, DB/MinIO sẵn sàng; dữ liệu fixture đã tạo. Đăng nhập tài khoản ACTIVE, mustChangePassword=false.</x:v>
      </x:c>
      <x:c r="N36" s="3" t="str">
        <x:v>"0" lặp 1 lần. Fixture USER</x:v>
      </x:c>
      <x:c r="O36" s="3" t="str">
        <x:v>1. Chuẩn bị fixture USER, các trường khác hợp lệ và ID/slug mới
2. Thay riêng phone theo Test Data
3. Gửi POST ADMIN /api/admin/users
4. Kiểm tra response và DB</x:v>
      </x:c>
      <x:c r="P36" s="3" t="str">
        <x:v>Qua validation độ dài phone; HTTP 201; trường phone được lưu đúng 1 ký tự.</x:v>
      </x:c>
      <x:c r="Q36" s="11" t="str"/>
      <x:c r="R36" s="8" t="str">
        <x:v>NOT RUN</x:v>
      </x:c>
      <x:c r="S36" s="11" t="str">
        <x:v>QA/UAT — cần điền URL/build</x:v>
      </x:c>
      <x:c r="T36" s="11" t="str">
        <x:v>Cần điền phiên bản thực</x:v>
      </x:c>
      <x:c r="U36" s="11" t="str"/>
      <x:c r="V36" s="12" t="str"/>
      <x:c r="W36" s="11" t="str"/>
      <x:c r="X36" s="11" t="str"/>
      <x:c r="Y36" s="3" t="str">
        <x:v>Nguồn: admin/src/lib/auth/schemas.ts:62. Độ dài JS/Zod dùng UTF-16; fixture ASCII để cô lập boundary. Optional min=0: Min−1 không áp dụng vì không có độ dài âm.</x:v>
      </x:c>
    </x:row>
    <x:row r="37" ht="62" customHeight="1">
      <x:c r="A37" s="3" t="n">
        <x:v>36</x:v>
      </x:c>
      <x:c r="B37" s="3" t="str">
        <x:v>TC_USER_033</x:v>
      </x:c>
      <x:c r="C37" s="3" t="str">
        <x:v>USER</x:v>
      </x:c>
      <x:c r="D37" s="3" t="str">
        <x:v>Boundary phone</x:v>
      </x:c>
      <x:c r="E37" s="3" t="str">
        <x:v>Boundary phone</x:v>
      </x:c>
      <x:c r="F37" s="3" t="str">
        <x:v>Boundary — POST ADMIN /api/admin/users: phone Max−1 (29)</x:v>
      </x:c>
      <x:c r="G37" s="3" t="str">
        <x:v>POST ADMIN /api/admin/users: phone Max−1 (29)</x:v>
      </x:c>
      <x:c r="H37" s="3" t="str">
        <x:v>USR-001</x:v>
      </x:c>
      <x:c r="I37" s="3" t="str">
        <x:v>QTV có quyền tương ứng</x:v>
      </x:c>
      <x:c r="J37" s="3" t="str">
        <x:v>Boundary</x:v>
      </x:c>
      <x:c r="K37" s="3" t="str">
        <x:v>Medium</x:v>
      </x:c>
      <x:c r="L37" s="3" t="str">
        <x:v>Medium</x:v>
      </x:c>
      <x:c r="M37" s="3" t="str">
        <x:v>Môi trường QA cô lập, DB/MinIO sẵn sàng; dữ liệu fixture đã tạo. Đăng nhập tài khoản ACTIVE, mustChangePassword=false.</x:v>
      </x:c>
      <x:c r="N37" s="3" t="str">
        <x:v>"0" lặp 29 lần. Fixture USER</x:v>
      </x:c>
      <x:c r="O37" s="3" t="str">
        <x:v>1. Chuẩn bị fixture USER, các trường khác hợp lệ và ID/slug mới
2. Thay riêng phone theo Test Data
3. Gửi POST ADMIN /api/admin/users
4. Kiểm tra response và DB</x:v>
      </x:c>
      <x:c r="P37" s="3" t="str">
        <x:v>Qua validation độ dài phone; HTTP 201; trường phone được lưu đúng 29 ký tự.</x:v>
      </x:c>
      <x:c r="Q37" s="11" t="str"/>
      <x:c r="R37" s="8" t="str">
        <x:v>NOT RUN</x:v>
      </x:c>
      <x:c r="S37" s="11" t="str">
        <x:v>QA/UAT — cần điền URL/build</x:v>
      </x:c>
      <x:c r="T37" s="11" t="str">
        <x:v>Cần điền phiên bản thực</x:v>
      </x:c>
      <x:c r="U37" s="11" t="str"/>
      <x:c r="V37" s="12" t="str"/>
      <x:c r="W37" s="11" t="str"/>
      <x:c r="X37" s="11" t="str"/>
      <x:c r="Y37" s="3" t="str">
        <x:v>Nguồn: admin/src/lib/auth/schemas.ts:62. Độ dài JS/Zod dùng UTF-16; fixture ASCII để cô lập boundary. Optional min=0: Min−1 không áp dụng vì không có độ dài âm.</x:v>
      </x:c>
    </x:row>
    <x:row r="38" ht="62" customHeight="1">
      <x:c r="A38" s="3" t="n">
        <x:v>37</x:v>
      </x:c>
      <x:c r="B38" s="3" t="str">
        <x:v>TC_USER_034</x:v>
      </x:c>
      <x:c r="C38" s="3" t="str">
        <x:v>USER</x:v>
      </x:c>
      <x:c r="D38" s="3" t="str">
        <x:v>Boundary phone</x:v>
      </x:c>
      <x:c r="E38" s="3" t="str">
        <x:v>Boundary phone</x:v>
      </x:c>
      <x:c r="F38" s="3" t="str">
        <x:v>Boundary — POST ADMIN /api/admin/users: phone Max (30)</x:v>
      </x:c>
      <x:c r="G38" s="3" t="str">
        <x:v>POST ADMIN /api/admin/users: phone Max (30)</x:v>
      </x:c>
      <x:c r="H38" s="3" t="str">
        <x:v>USR-001</x:v>
      </x:c>
      <x:c r="I38" s="3" t="str">
        <x:v>QTV có quyền tương ứng</x:v>
      </x:c>
      <x:c r="J38" s="3" t="str">
        <x:v>Boundary</x:v>
      </x:c>
      <x:c r="K38" s="3" t="str">
        <x:v>Medium</x:v>
      </x:c>
      <x:c r="L38" s="3" t="str">
        <x:v>Medium</x:v>
      </x:c>
      <x:c r="M38" s="3" t="str">
        <x:v>Môi trường QA cô lập, DB/MinIO sẵn sàng; dữ liệu fixture đã tạo. Đăng nhập tài khoản ACTIVE, mustChangePassword=false.</x:v>
      </x:c>
      <x:c r="N38" s="3" t="str">
        <x:v>"0" lặp 30 lần. Fixture USER</x:v>
      </x:c>
      <x:c r="O38" s="3" t="str">
        <x:v>1. Chuẩn bị fixture USER, các trường khác hợp lệ và ID/slug mới
2. Thay riêng phone theo Test Data
3. Gửi POST ADMIN /api/admin/users
4. Kiểm tra response và DB</x:v>
      </x:c>
      <x:c r="P38" s="3" t="str">
        <x:v>Qua validation độ dài phone; HTTP 201; trường phone được lưu đúng 30 ký tự.</x:v>
      </x:c>
      <x:c r="Q38" s="11" t="str"/>
      <x:c r="R38" s="8" t="str">
        <x:v>NOT RUN</x:v>
      </x:c>
      <x:c r="S38" s="11" t="str">
        <x:v>QA/UAT — cần điền URL/build</x:v>
      </x:c>
      <x:c r="T38" s="11" t="str">
        <x:v>Cần điền phiên bản thực</x:v>
      </x:c>
      <x:c r="U38" s="11" t="str"/>
      <x:c r="V38" s="12" t="str"/>
      <x:c r="W38" s="11" t="str"/>
      <x:c r="X38" s="11" t="str"/>
      <x:c r="Y38" s="3" t="str">
        <x:v>Nguồn: admin/src/lib/auth/schemas.ts:62. Độ dài JS/Zod dùng UTF-16; fixture ASCII để cô lập boundary. Optional min=0: Min−1 không áp dụng vì không có độ dài âm.</x:v>
      </x:c>
    </x:row>
    <x:row r="39" ht="62" customHeight="1">
      <x:c r="A39" s="3" t="n">
        <x:v>38</x:v>
      </x:c>
      <x:c r="B39" s="3" t="str">
        <x:v>TC_USER_035</x:v>
      </x:c>
      <x:c r="C39" s="3" t="str">
        <x:v>USER</x:v>
      </x:c>
      <x:c r="D39" s="3" t="str">
        <x:v>Boundary phone</x:v>
      </x:c>
      <x:c r="E39" s="3" t="str">
        <x:v>Boundary phone</x:v>
      </x:c>
      <x:c r="F39" s="3" t="str">
        <x:v>Boundary — POST ADMIN /api/admin/users: phone Max+1 (31)</x:v>
      </x:c>
      <x:c r="G39" s="3" t="str">
        <x:v>POST ADMIN /api/admin/users: phone Max+1 (31)</x:v>
      </x:c>
      <x:c r="H39" s="3" t="str">
        <x:v>USR-001</x:v>
      </x:c>
      <x:c r="I39" s="3" t="str">
        <x:v>QTV có quyền tương ứng</x:v>
      </x:c>
      <x:c r="J39" s="3" t="str">
        <x:v>Boundary</x:v>
      </x:c>
      <x:c r="K39" s="3" t="str">
        <x:v>Medium</x:v>
      </x:c>
      <x:c r="L39" s="3" t="str">
        <x:v>Medium</x:v>
      </x:c>
      <x:c r="M39" s="3" t="str">
        <x:v>Môi trường QA cô lập, DB/MinIO sẵn sàng; dữ liệu fixture đã tạo. Đăng nhập tài khoản ACTIVE, mustChangePassword=false.</x:v>
      </x:c>
      <x:c r="N39" s="3" t="str">
        <x:v>"0" lặp 31 lần. Fixture USER</x:v>
      </x:c>
      <x:c r="O39" s="3" t="str">
        <x:v>1. Chuẩn bị fixture USER, các trường khác hợp lệ và ID/slug mới
2. Thay riêng phone theo Test Data
3. Gửi POST ADMIN /api/admin/users
4. Kiểm tra response và DB</x:v>
      </x:c>
      <x:c r="P39" s="3" t="str">
        <x:v>Từ chối độ dài phone=31; HTTP 400 kỳ vọng, không đổi DB. Nếu CMS/Zod.parse trả 500, ghi defect hợp đồng lỗi.</x:v>
      </x:c>
      <x:c r="Q39" s="11" t="str"/>
      <x:c r="R39" s="8" t="str">
        <x:v>NOT RUN</x:v>
      </x:c>
      <x:c r="S39" s="11" t="str">
        <x:v>QA/UAT — cần điền URL/build</x:v>
      </x:c>
      <x:c r="T39" s="11" t="str">
        <x:v>Cần điền phiên bản thực</x:v>
      </x:c>
      <x:c r="U39" s="11" t="str"/>
      <x:c r="V39" s="12" t="str"/>
      <x:c r="W39" s="11" t="str"/>
      <x:c r="X39" s="11" t="str"/>
      <x:c r="Y39" s="3" t="str">
        <x:v>Nguồn: admin/src/lib/auth/schemas.ts:62. Độ dài JS/Zod dùng UTF-16; fixture ASCII để cô lập boundary. Optional min=0: Min−1 không áp dụng vì không có độ dài âm.</x:v>
      </x:c>
    </x:row>
    <x:row r="40" ht="62" customHeight="1">
      <x:c r="A40" s="3" t="n">
        <x:v>39</x:v>
      </x:c>
      <x:c r="B40" s="3" t="str">
        <x:v>TC_AUTH_043</x:v>
      </x:c>
      <x:c r="C40" s="3" t="str">
        <x:v>AUTH</x:v>
      </x:c>
      <x:c r="D40" s="3" t="str">
        <x:v>Boundary newPassword</x:v>
      </x:c>
      <x:c r="E40" s="3" t="str">
        <x:v>Boundary newPassword</x:v>
      </x:c>
      <x:c r="F40" s="3" t="str">
        <x:v>Boundary — POST ADMIN /api/admin/auth/change-password: newPassword Min−1 (9)</x:v>
      </x:c>
      <x:c r="G40" s="3" t="str">
        <x:v>POST ADMIN /api/admin/auth/change-password: newPassword Min−1 (9)</x:v>
      </x:c>
      <x:c r="H40" s="3" t="str">
        <x:v>AUTH-002</x:v>
      </x:c>
      <x:c r="I40" s="3" t="str">
        <x:v>QTV có quyền tương ứng</x:v>
      </x:c>
      <x:c r="J40" s="3" t="str">
        <x:v>Boundary</x:v>
      </x:c>
      <x:c r="K40" s="3" t="str">
        <x:v>High</x:v>
      </x:c>
      <x:c r="L40" s="3" t="str">
        <x:v>High</x:v>
      </x:c>
      <x:c r="M40" s="3" t="str">
        <x:v>Môi trường QA cô lập, DB/MinIO sẵn sàng; dữ liệu fixture đã tạo. Đăng nhập tài khoản ACTIVE, mustChangePassword=false.</x:v>
      </x:c>
      <x:c r="N40" s="3" t="str">
        <x:v>Chuỗi dài 9 ký tự, có Aa1!, confirmPassword bằng newPassword. Fixture CHANGE</x:v>
      </x:c>
      <x:c r="O40" s="3" t="str">
        <x:v>1. Chuẩn bị fixture CHANGE, các trường khác hợp lệ và ID/slug mới
2. Thay riêng newPassword theo Test Data
3. Gửi POST ADMIN /api/admin/auth/change-password
4. Kiểm tra response và DB</x:v>
      </x:c>
      <x:c r="P40" s="3" t="str">
        <x:v>Từ chối độ dài newPassword=9; HTTP 400 kỳ vọng, không đổi DB. Nếu CMS/Zod.parse trả 500, ghi defect hợp đồng lỗi.</x:v>
      </x:c>
      <x:c r="Q40" s="11" t="str"/>
      <x:c r="R40" s="8" t="str">
        <x:v>NOT RUN</x:v>
      </x:c>
      <x:c r="S40" s="11" t="str">
        <x:v>QA/UAT — cần điền URL/build</x:v>
      </x:c>
      <x:c r="T40" s="11" t="str">
        <x:v>Cần điền phiên bản thực</x:v>
      </x:c>
      <x:c r="U40" s="11" t="str"/>
      <x:c r="V40" s="12" t="str"/>
      <x:c r="W40" s="11" t="str"/>
      <x:c r="X40" s="11" t="str"/>
      <x:c r="Y40" s="3" t="str">
        <x:v>Nguồn: admin/src/lib/auth/password.ts. Độ dài JS/Zod dùng UTF-16; fixture ASCII để cô lập boundary. Optional min=0: Min−1 không áp dụng vì không có độ dài âm.</x:v>
      </x:c>
    </x:row>
    <x:row r="41" ht="62" customHeight="1">
      <x:c r="A41" s="3" t="n">
        <x:v>40</x:v>
      </x:c>
      <x:c r="B41" s="3" t="str">
        <x:v>TC_AUTH_044</x:v>
      </x:c>
      <x:c r="C41" s="3" t="str">
        <x:v>AUTH</x:v>
      </x:c>
      <x:c r="D41" s="3" t="str">
        <x:v>Boundary newPassword</x:v>
      </x:c>
      <x:c r="E41" s="3" t="str">
        <x:v>Boundary newPassword</x:v>
      </x:c>
      <x:c r="F41" s="3" t="str">
        <x:v>Boundary — POST ADMIN /api/admin/auth/change-password: newPassword Min (10)</x:v>
      </x:c>
      <x:c r="G41" s="3" t="str">
        <x:v>POST ADMIN /api/admin/auth/change-password: newPassword Min (10)</x:v>
      </x:c>
      <x:c r="H41" s="3" t="str">
        <x:v>AUTH-002</x:v>
      </x:c>
      <x:c r="I41" s="3" t="str">
        <x:v>QTV có quyền tương ứng</x:v>
      </x:c>
      <x:c r="J41" s="3" t="str">
        <x:v>Boundary</x:v>
      </x:c>
      <x:c r="K41" s="3" t="str">
        <x:v>High</x:v>
      </x:c>
      <x:c r="L41" s="3" t="str">
        <x:v>High</x:v>
      </x:c>
      <x:c r="M41" s="3" t="str">
        <x:v>Môi trường QA cô lập, DB/MinIO sẵn sàng; dữ liệu fixture đã tạo. Đăng nhập tài khoản ACTIVE, mustChangePassword=false.</x:v>
      </x:c>
      <x:c r="N41" s="3" t="str">
        <x:v>Chuỗi dài 10 ký tự, có Aa1!, confirmPassword bằng newPassword. Fixture CHANGE</x:v>
      </x:c>
      <x:c r="O41" s="3" t="str">
        <x:v>1. Chuẩn bị fixture CHANGE, các trường khác hợp lệ và ID/slug mới
2. Thay riêng newPassword theo Test Data
3. Gửi POST ADMIN /api/admin/auth/change-password
4. Kiểm tra response và DB</x:v>
      </x:c>
      <x:c r="P41" s="3" t="str">
        <x:v>Qua validation độ dài newPassword; HTTP 200; trường newPassword được lưu đúng 10 ký tự.</x:v>
      </x:c>
      <x:c r="Q41" s="11" t="str"/>
      <x:c r="R41" s="8" t="str">
        <x:v>NOT RUN</x:v>
      </x:c>
      <x:c r="S41" s="11" t="str">
        <x:v>QA/UAT — cần điền URL/build</x:v>
      </x:c>
      <x:c r="T41" s="11" t="str">
        <x:v>Cần điền phiên bản thực</x:v>
      </x:c>
      <x:c r="U41" s="11" t="str"/>
      <x:c r="V41" s="12" t="str"/>
      <x:c r="W41" s="11" t="str"/>
      <x:c r="X41" s="11" t="str"/>
      <x:c r="Y41" s="3" t="str">
        <x:v>Nguồn: admin/src/lib/auth/password.ts. Độ dài JS/Zod dùng UTF-16; fixture ASCII để cô lập boundary. Optional min=0: Min−1 không áp dụng vì không có độ dài âm.</x:v>
      </x:c>
    </x:row>
    <x:row r="42" ht="62" customHeight="1">
      <x:c r="A42" s="3" t="n">
        <x:v>41</x:v>
      </x:c>
      <x:c r="B42" s="3" t="str">
        <x:v>TC_AUTH_045</x:v>
      </x:c>
      <x:c r="C42" s="3" t="str">
        <x:v>AUTH</x:v>
      </x:c>
      <x:c r="D42" s="3" t="str">
        <x:v>Boundary newPassword</x:v>
      </x:c>
      <x:c r="E42" s="3" t="str">
        <x:v>Boundary newPassword</x:v>
      </x:c>
      <x:c r="F42" s="3" t="str">
        <x:v>Boundary — POST ADMIN /api/admin/auth/change-password: newPassword Min+1 (11)</x:v>
      </x:c>
      <x:c r="G42" s="3" t="str">
        <x:v>POST ADMIN /api/admin/auth/change-password: newPassword Min+1 (11)</x:v>
      </x:c>
      <x:c r="H42" s="3" t="str">
        <x:v>AUTH-002</x:v>
      </x:c>
      <x:c r="I42" s="3" t="str">
        <x:v>QTV có quyền tương ứng</x:v>
      </x:c>
      <x:c r="J42" s="3" t="str">
        <x:v>Boundary</x:v>
      </x:c>
      <x:c r="K42" s="3" t="str">
        <x:v>High</x:v>
      </x:c>
      <x:c r="L42" s="3" t="str">
        <x:v>High</x:v>
      </x:c>
      <x:c r="M42" s="3" t="str">
        <x:v>Môi trường QA cô lập, DB/MinIO sẵn sàng; dữ liệu fixture đã tạo. Đăng nhập tài khoản ACTIVE, mustChangePassword=false.</x:v>
      </x:c>
      <x:c r="N42" s="3" t="str">
        <x:v>Chuỗi dài 11 ký tự, có Aa1!, confirmPassword bằng newPassword. Fixture CHANGE</x:v>
      </x:c>
      <x:c r="O42" s="3" t="str">
        <x:v>1. Chuẩn bị fixture CHANGE, các trường khác hợp lệ và ID/slug mới
2. Thay riêng newPassword theo Test Data
3. Gửi POST ADMIN /api/admin/auth/change-password
4. Kiểm tra response và DB</x:v>
      </x:c>
      <x:c r="P42" s="3" t="str">
        <x:v>Qua validation độ dài newPassword; HTTP 200; trường newPassword được lưu đúng 11 ký tự.</x:v>
      </x:c>
      <x:c r="Q42" s="11" t="str"/>
      <x:c r="R42" s="8" t="str">
        <x:v>NOT RUN</x:v>
      </x:c>
      <x:c r="S42" s="11" t="str">
        <x:v>QA/UAT — cần điền URL/build</x:v>
      </x:c>
      <x:c r="T42" s="11" t="str">
        <x:v>Cần điền phiên bản thực</x:v>
      </x:c>
      <x:c r="U42" s="11" t="str"/>
      <x:c r="V42" s="12" t="str"/>
      <x:c r="W42" s="11" t="str"/>
      <x:c r="X42" s="11" t="str"/>
      <x:c r="Y42" s="3" t="str">
        <x:v>Nguồn: admin/src/lib/auth/password.ts. Độ dài JS/Zod dùng UTF-16; fixture ASCII để cô lập boundary. Optional min=0: Min−1 không áp dụng vì không có độ dài âm.</x:v>
      </x:c>
    </x:row>
    <x:row r="43" ht="62" customHeight="1">
      <x:c r="A43" s="3" t="n">
        <x:v>42</x:v>
      </x:c>
      <x:c r="B43" s="3" t="str">
        <x:v>TC_AUTH_046</x:v>
      </x:c>
      <x:c r="C43" s="3" t="str">
        <x:v>AUTH</x:v>
      </x:c>
      <x:c r="D43" s="3" t="str">
        <x:v>Boundary newPassword</x:v>
      </x:c>
      <x:c r="E43" s="3" t="str">
        <x:v>Boundary newPassword</x:v>
      </x:c>
      <x:c r="F43" s="3" t="str">
        <x:v>Boundary — POST ADMIN /api/admin/auth/change-password: newPassword Max−1 (127)</x:v>
      </x:c>
      <x:c r="G43" s="3" t="str">
        <x:v>POST ADMIN /api/admin/auth/change-password: newPassword Max−1 (127)</x:v>
      </x:c>
      <x:c r="H43" s="3" t="str">
        <x:v>AUTH-002</x:v>
      </x:c>
      <x:c r="I43" s="3" t="str">
        <x:v>QTV có quyền tương ứng</x:v>
      </x:c>
      <x:c r="J43" s="3" t="str">
        <x:v>Boundary</x:v>
      </x:c>
      <x:c r="K43" s="3" t="str">
        <x:v>High</x:v>
      </x:c>
      <x:c r="L43" s="3" t="str">
        <x:v>High</x:v>
      </x:c>
      <x:c r="M43" s="3" t="str">
        <x:v>Môi trường QA cô lập, DB/MinIO sẵn sàng; dữ liệu fixture đã tạo. Đăng nhập tài khoản ACTIVE, mustChangePassword=false.</x:v>
      </x:c>
      <x:c r="N43" s="3" t="str">
        <x:v>Chuỗi dài 127 ký tự, có Aa1!, confirmPassword bằng newPassword. Fixture CHANGE</x:v>
      </x:c>
      <x:c r="O43" s="3" t="str">
        <x:v>1. Chuẩn bị fixture CHANGE, các trường khác hợp lệ và ID/slug mới
2. Thay riêng newPassword theo Test Data
3. Gửi POST ADMIN /api/admin/auth/change-password
4. Kiểm tra response và DB</x:v>
      </x:c>
      <x:c r="P43" s="3" t="str">
        <x:v>Qua validation độ dài newPassword; HTTP 200; trường newPassword được lưu đúng 127 ký tự.</x:v>
      </x:c>
      <x:c r="Q43" s="11" t="str"/>
      <x:c r="R43" s="8" t="str">
        <x:v>NOT RUN</x:v>
      </x:c>
      <x:c r="S43" s="11" t="str">
        <x:v>QA/UAT — cần điền URL/build</x:v>
      </x:c>
      <x:c r="T43" s="11" t="str">
        <x:v>Cần điền phiên bản thực</x:v>
      </x:c>
      <x:c r="U43" s="11" t="str"/>
      <x:c r="V43" s="12" t="str"/>
      <x:c r="W43" s="11" t="str"/>
      <x:c r="X43" s="11" t="str"/>
      <x:c r="Y43" s="3" t="str">
        <x:v>Nguồn: admin/src/lib/auth/password.ts. Độ dài JS/Zod dùng UTF-16; fixture ASCII để cô lập boundary. Optional min=0: Min−1 không áp dụng vì không có độ dài âm.</x:v>
      </x:c>
    </x:row>
    <x:row r="44" ht="62" customHeight="1">
      <x:c r="A44" s="3" t="n">
        <x:v>43</x:v>
      </x:c>
      <x:c r="B44" s="3" t="str">
        <x:v>TC_AUTH_047</x:v>
      </x:c>
      <x:c r="C44" s="3" t="str">
        <x:v>AUTH</x:v>
      </x:c>
      <x:c r="D44" s="3" t="str">
        <x:v>Boundary newPassword</x:v>
      </x:c>
      <x:c r="E44" s="3" t="str">
        <x:v>Boundary newPassword</x:v>
      </x:c>
      <x:c r="F44" s="3" t="str">
        <x:v>Boundary — POST ADMIN /api/admin/auth/change-password: newPassword Max (128)</x:v>
      </x:c>
      <x:c r="G44" s="3" t="str">
        <x:v>POST ADMIN /api/admin/auth/change-password: newPassword Max (128)</x:v>
      </x:c>
      <x:c r="H44" s="3" t="str">
        <x:v>AUTH-002</x:v>
      </x:c>
      <x:c r="I44" s="3" t="str">
        <x:v>QTV có quyền tương ứng</x:v>
      </x:c>
      <x:c r="J44" s="3" t="str">
        <x:v>Boundary</x:v>
      </x:c>
      <x:c r="K44" s="3" t="str">
        <x:v>High</x:v>
      </x:c>
      <x:c r="L44" s="3" t="str">
        <x:v>High</x:v>
      </x:c>
      <x:c r="M44" s="3" t="str">
        <x:v>Môi trường QA cô lập, DB/MinIO sẵn sàng; dữ liệu fixture đã tạo. Đăng nhập tài khoản ACTIVE, mustChangePassword=false.</x:v>
      </x:c>
      <x:c r="N44" s="3" t="str">
        <x:v>Chuỗi dài 128 ký tự, có Aa1!, confirmPassword bằng newPassword. Fixture CHANGE</x:v>
      </x:c>
      <x:c r="O44" s="3" t="str">
        <x:v>1. Chuẩn bị fixture CHANGE, các trường khác hợp lệ và ID/slug mới
2. Thay riêng newPassword theo Test Data
3. Gửi POST ADMIN /api/admin/auth/change-password
4. Kiểm tra response và DB</x:v>
      </x:c>
      <x:c r="P44" s="3" t="str">
        <x:v>Qua validation độ dài newPassword; HTTP 200; trường newPassword được lưu đúng 128 ký tự.</x:v>
      </x:c>
      <x:c r="Q44" s="11" t="str"/>
      <x:c r="R44" s="8" t="str">
        <x:v>NOT RUN</x:v>
      </x:c>
      <x:c r="S44" s="11" t="str">
        <x:v>QA/UAT — cần điền URL/build</x:v>
      </x:c>
      <x:c r="T44" s="11" t="str">
        <x:v>Cần điền phiên bản thực</x:v>
      </x:c>
      <x:c r="U44" s="11" t="str"/>
      <x:c r="V44" s="12" t="str"/>
      <x:c r="W44" s="11" t="str"/>
      <x:c r="X44" s="11" t="str"/>
      <x:c r="Y44" s="3" t="str">
        <x:v>Nguồn: admin/src/lib/auth/password.ts. Độ dài JS/Zod dùng UTF-16; fixture ASCII để cô lập boundary. Optional min=0: Min−1 không áp dụng vì không có độ dài âm.</x:v>
      </x:c>
    </x:row>
    <x:row r="45" ht="62" customHeight="1">
      <x:c r="A45" s="3" t="n">
        <x:v>44</x:v>
      </x:c>
      <x:c r="B45" s="3" t="str">
        <x:v>TC_AUTH_048</x:v>
      </x:c>
      <x:c r="C45" s="3" t="str">
        <x:v>AUTH</x:v>
      </x:c>
      <x:c r="D45" s="3" t="str">
        <x:v>Boundary newPassword</x:v>
      </x:c>
      <x:c r="E45" s="3" t="str">
        <x:v>Boundary newPassword</x:v>
      </x:c>
      <x:c r="F45" s="3" t="str">
        <x:v>Boundary — POST ADMIN /api/admin/auth/change-password: newPassword Max+1 (129)</x:v>
      </x:c>
      <x:c r="G45" s="3" t="str">
        <x:v>POST ADMIN /api/admin/auth/change-password: newPassword Max+1 (129)</x:v>
      </x:c>
      <x:c r="H45" s="3" t="str">
        <x:v>AUTH-002</x:v>
      </x:c>
      <x:c r="I45" s="3" t="str">
        <x:v>QTV có quyền tương ứng</x:v>
      </x:c>
      <x:c r="J45" s="3" t="str">
        <x:v>Boundary</x:v>
      </x:c>
      <x:c r="K45" s="3" t="str">
        <x:v>High</x:v>
      </x:c>
      <x:c r="L45" s="3" t="str">
        <x:v>High</x:v>
      </x:c>
      <x:c r="M45" s="3" t="str">
        <x:v>Môi trường QA cô lập, DB/MinIO sẵn sàng; dữ liệu fixture đã tạo. Đăng nhập tài khoản ACTIVE, mustChangePassword=false.</x:v>
      </x:c>
      <x:c r="N45" s="3" t="str">
        <x:v>Chuỗi dài 129 ký tự, có Aa1!, confirmPassword bằng newPassword. Fixture CHANGE</x:v>
      </x:c>
      <x:c r="O45" s="3" t="str">
        <x:v>1. Chuẩn bị fixture CHANGE, các trường khác hợp lệ và ID/slug mới
2. Thay riêng newPassword theo Test Data
3. Gửi POST ADMIN /api/admin/auth/change-password
4. Kiểm tra response và DB</x:v>
      </x:c>
      <x:c r="P45" s="3" t="str">
        <x:v>Từ chối độ dài newPassword=129; HTTP 400 kỳ vọng, không đổi DB. Nếu CMS/Zod.parse trả 500, ghi defect hợp đồng lỗi.</x:v>
      </x:c>
      <x:c r="Q45" s="11" t="str"/>
      <x:c r="R45" s="8" t="str">
        <x:v>NOT RUN</x:v>
      </x:c>
      <x:c r="S45" s="11" t="str">
        <x:v>QA/UAT — cần điền URL/build</x:v>
      </x:c>
      <x:c r="T45" s="11" t="str">
        <x:v>Cần điền phiên bản thực</x:v>
      </x:c>
      <x:c r="U45" s="11" t="str"/>
      <x:c r="V45" s="12" t="str"/>
      <x:c r="W45" s="11" t="str"/>
      <x:c r="X45" s="11" t="str"/>
      <x:c r="Y45" s="3" t="str">
        <x:v>Nguồn: admin/src/lib/auth/password.ts. Độ dài JS/Zod dùng UTF-16; fixture ASCII để cô lập boundary. Optional min=0: Min−1 không áp dụng vì không có độ dài âm.</x:v>
      </x:c>
    </x:row>
    <x:row r="46" ht="62" customHeight="1">
      <x:c r="A46" s="3" t="n">
        <x:v>45</x:v>
      </x:c>
      <x:c r="B46" s="3" t="str">
        <x:v>TC_CONSULT_036</x:v>
      </x:c>
      <x:c r="C46" s="3" t="str">
        <x:v>CONSULT</x:v>
      </x:c>
      <x:c r="D46" s="3" t="str">
        <x:v>Boundary name</x:v>
      </x:c>
      <x:c r="E46" s="3" t="str">
        <x:v>Boundary name</x:v>
      </x:c>
      <x:c r="F46" s="3" t="str">
        <x:v>Boundary — POST BACKEND /api/public/consultations: name Min−1 (1)</x:v>
      </x:c>
      <x:c r="G46" s="3" t="str">
        <x:v>POST BACKEND /api/public/consultations: name Min−1 (1)</x:v>
      </x:c>
      <x:c r="H46" s="3" t="str">
        <x:v>CON-001</x:v>
      </x:c>
      <x:c r="I46" s="3" t="str">
        <x:v>Khách truy cập</x:v>
      </x:c>
      <x:c r="J46" s="3" t="str">
        <x:v>Boundary</x:v>
      </x:c>
      <x:c r="K46" s="3" t="str">
        <x:v>Medium</x:v>
      </x:c>
      <x:c r="L46" s="3" t="str">
        <x:v>Medium</x:v>
      </x:c>
      <x:c r="M46" s="3" t="str">
        <x:v>Môi trường QA cô lập, DB/MinIO sẵn sàng; dữ liệu fixture đã tạo. Không đăng nhập.</x:v>
      </x:c>
      <x:c r="N46" s="3" t="str">
        <x:v>"a" lặp 1 lần, không có khoảng trắng. Fixture CONSULT</x:v>
      </x:c>
      <x:c r="O46" s="3" t="str">
        <x:v>1. Chuẩn bị fixture CONSULT, các trường khác hợp lệ và ID/slug mới
2. Thay riêng name theo Test Data
3. Gửi POST BACKEND /api/public/consultations
4. Kiểm tra response và DB</x:v>
      </x:c>
      <x:c r="P46" s="3" t="str">
        <x:v>Từ chối độ dài name=1; HTTP 400 kỳ vọng, không đổi DB. Nếu CMS/Zod.parse trả 500, ghi defect hợp đồng lỗi.</x:v>
      </x:c>
      <x:c r="Q46" s="11" t="str"/>
      <x:c r="R46" s="8" t="str">
        <x:v>NOT RUN</x:v>
      </x:c>
      <x:c r="S46" s="11" t="str">
        <x:v>QA/UAT — cần điền URL/build</x:v>
      </x:c>
      <x:c r="T46" s="11" t="str">
        <x:v>Cần điền phiên bản thực</x:v>
      </x:c>
      <x:c r="U46" s="11" t="str"/>
      <x:c r="V46" s="12" t="str"/>
      <x:c r="W46" s="11" t="str"/>
      <x:c r="X46" s="11" t="str"/>
      <x:c r="Y46" s="3" t="str">
        <x:v>Nguồn: backend/src/modules/consultations/consultations.routes.ts:8. Độ dài JS/Zod dùng UTF-16; fixture ASCII để cô lập boundary. Optional min=0: Min−1 không áp dụng vì không có độ dài âm.</x:v>
      </x:c>
    </x:row>
    <x:row r="47" ht="62" customHeight="1">
      <x:c r="A47" s="3" t="n">
        <x:v>46</x:v>
      </x:c>
      <x:c r="B47" s="3" t="str">
        <x:v>TC_CONSULT_037</x:v>
      </x:c>
      <x:c r="C47" s="3" t="str">
        <x:v>CONSULT</x:v>
      </x:c>
      <x:c r="D47" s="3" t="str">
        <x:v>Boundary name</x:v>
      </x:c>
      <x:c r="E47" s="3" t="str">
        <x:v>Boundary name</x:v>
      </x:c>
      <x:c r="F47" s="3" t="str">
        <x:v>Boundary — POST BACKEND /api/public/consultations: name Min (2)</x:v>
      </x:c>
      <x:c r="G47" s="3" t="str">
        <x:v>POST BACKEND /api/public/consultations: name Min (2)</x:v>
      </x:c>
      <x:c r="H47" s="3" t="str">
        <x:v>CON-001</x:v>
      </x:c>
      <x:c r="I47" s="3" t="str">
        <x:v>Khách truy cập</x:v>
      </x:c>
      <x:c r="J47" s="3" t="str">
        <x:v>Boundary</x:v>
      </x:c>
      <x:c r="K47" s="3" t="str">
        <x:v>Medium</x:v>
      </x:c>
      <x:c r="L47" s="3" t="str">
        <x:v>Medium</x:v>
      </x:c>
      <x:c r="M47" s="3" t="str">
        <x:v>Môi trường QA cô lập, DB/MinIO sẵn sàng; dữ liệu fixture đã tạo. Không đăng nhập.</x:v>
      </x:c>
      <x:c r="N47" s="3" t="str">
        <x:v>"a" lặp 2 lần, không có khoảng trắng. Fixture CONSULT</x:v>
      </x:c>
      <x:c r="O47" s="3" t="str">
        <x:v>1. Chuẩn bị fixture CONSULT, các trường khác hợp lệ và ID/slug mới
2. Thay riêng name theo Test Data
3. Gửi POST BACKEND /api/public/consultations
4. Kiểm tra response và DB</x:v>
      </x:c>
      <x:c r="P47" s="3" t="str">
        <x:v>Qua validation độ dài name; HTTP 201; trường name được lưu đúng 2 ký tự.</x:v>
      </x:c>
      <x:c r="Q47" s="11" t="str"/>
      <x:c r="R47" s="8" t="str">
        <x:v>NOT RUN</x:v>
      </x:c>
      <x:c r="S47" s="11" t="str">
        <x:v>QA/UAT — cần điền URL/build</x:v>
      </x:c>
      <x:c r="T47" s="11" t="str">
        <x:v>Cần điền phiên bản thực</x:v>
      </x:c>
      <x:c r="U47" s="11" t="str"/>
      <x:c r="V47" s="12" t="str"/>
      <x:c r="W47" s="11" t="str"/>
      <x:c r="X47" s="11" t="str"/>
      <x:c r="Y47" s="3" t="str">
        <x:v>Nguồn: backend/src/modules/consultations/consultations.routes.ts:8. Độ dài JS/Zod dùng UTF-16; fixture ASCII để cô lập boundary. Optional min=0: Min−1 không áp dụng vì không có độ dài âm.</x:v>
      </x:c>
    </x:row>
    <x:row r="48" ht="62" customHeight="1">
      <x:c r="A48" s="3" t="n">
        <x:v>47</x:v>
      </x:c>
      <x:c r="B48" s="3" t="str">
        <x:v>TC_CONSULT_038</x:v>
      </x:c>
      <x:c r="C48" s="3" t="str">
        <x:v>CONSULT</x:v>
      </x:c>
      <x:c r="D48" s="3" t="str">
        <x:v>Boundary name</x:v>
      </x:c>
      <x:c r="E48" s="3" t="str">
        <x:v>Boundary name</x:v>
      </x:c>
      <x:c r="F48" s="3" t="str">
        <x:v>Boundary — POST BACKEND /api/public/consultations: name Min+1 (3)</x:v>
      </x:c>
      <x:c r="G48" s="3" t="str">
        <x:v>POST BACKEND /api/public/consultations: name Min+1 (3)</x:v>
      </x:c>
      <x:c r="H48" s="3" t="str">
        <x:v>CON-001</x:v>
      </x:c>
      <x:c r="I48" s="3" t="str">
        <x:v>Khách truy cập</x:v>
      </x:c>
      <x:c r="J48" s="3" t="str">
        <x:v>Boundary</x:v>
      </x:c>
      <x:c r="K48" s="3" t="str">
        <x:v>Medium</x:v>
      </x:c>
      <x:c r="L48" s="3" t="str">
        <x:v>Medium</x:v>
      </x:c>
      <x:c r="M48" s="3" t="str">
        <x:v>Môi trường QA cô lập, DB/MinIO sẵn sàng; dữ liệu fixture đã tạo. Không đăng nhập.</x:v>
      </x:c>
      <x:c r="N48" s="3" t="str">
        <x:v>"a" lặp 3 lần, không có khoảng trắng. Fixture CONSULT</x:v>
      </x:c>
      <x:c r="O48" s="3" t="str">
        <x:v>1. Chuẩn bị fixture CONSULT, các trường khác hợp lệ và ID/slug mới
2. Thay riêng name theo Test Data
3. Gửi POST BACKEND /api/public/consultations
4. Kiểm tra response và DB</x:v>
      </x:c>
      <x:c r="P48" s="3" t="str">
        <x:v>Qua validation độ dài name; HTTP 201; trường name được lưu đúng 3 ký tự.</x:v>
      </x:c>
      <x:c r="Q48" s="11" t="str"/>
      <x:c r="R48" s="8" t="str">
        <x:v>NOT RUN</x:v>
      </x:c>
      <x:c r="S48" s="11" t="str">
        <x:v>QA/UAT — cần điền URL/build</x:v>
      </x:c>
      <x:c r="T48" s="11" t="str">
        <x:v>Cần điền phiên bản thực</x:v>
      </x:c>
      <x:c r="U48" s="11" t="str"/>
      <x:c r="V48" s="12" t="str"/>
      <x:c r="W48" s="11" t="str"/>
      <x:c r="X48" s="11" t="str"/>
      <x:c r="Y48" s="3" t="str">
        <x:v>Nguồn: backend/src/modules/consultations/consultations.routes.ts:8. Độ dài JS/Zod dùng UTF-16; fixture ASCII để cô lập boundary. Optional min=0: Min−1 không áp dụng vì không có độ dài âm.</x:v>
      </x:c>
    </x:row>
    <x:row r="49" ht="62" customHeight="1">
      <x:c r="A49" s="3" t="n">
        <x:v>48</x:v>
      </x:c>
      <x:c r="B49" s="3" t="str">
        <x:v>TC_CONSULT_039</x:v>
      </x:c>
      <x:c r="C49" s="3" t="str">
        <x:v>CONSULT</x:v>
      </x:c>
      <x:c r="D49" s="3" t="str">
        <x:v>Boundary name</x:v>
      </x:c>
      <x:c r="E49" s="3" t="str">
        <x:v>Boundary name</x:v>
      </x:c>
      <x:c r="F49" s="3" t="str">
        <x:v>Boundary — POST BACKEND /api/public/consultations: name Max−1 (119)</x:v>
      </x:c>
      <x:c r="G49" s="3" t="str">
        <x:v>POST BACKEND /api/public/consultations: name Max−1 (119)</x:v>
      </x:c>
      <x:c r="H49" s="3" t="str">
        <x:v>CON-001</x:v>
      </x:c>
      <x:c r="I49" s="3" t="str">
        <x:v>Khách truy cập</x:v>
      </x:c>
      <x:c r="J49" s="3" t="str">
        <x:v>Boundary</x:v>
      </x:c>
      <x:c r="K49" s="3" t="str">
        <x:v>Medium</x:v>
      </x:c>
      <x:c r="L49" s="3" t="str">
        <x:v>Medium</x:v>
      </x:c>
      <x:c r="M49" s="3" t="str">
        <x:v>Môi trường QA cô lập, DB/MinIO sẵn sàng; dữ liệu fixture đã tạo. Không đăng nhập.</x:v>
      </x:c>
      <x:c r="N49" s="3" t="str">
        <x:v>"a" lặp 119 lần, không có khoảng trắng. Fixture CONSULT</x:v>
      </x:c>
      <x:c r="O49" s="3" t="str">
        <x:v>1. Chuẩn bị fixture CONSULT, các trường khác hợp lệ và ID/slug mới
2. Thay riêng name theo Test Data
3. Gửi POST BACKEND /api/public/consultations
4. Kiểm tra response và DB</x:v>
      </x:c>
      <x:c r="P49" s="3" t="str">
        <x:v>Qua validation độ dài name; HTTP 201; trường name được lưu đúng 119 ký tự.</x:v>
      </x:c>
      <x:c r="Q49" s="11" t="str"/>
      <x:c r="R49" s="8" t="str">
        <x:v>NOT RUN</x:v>
      </x:c>
      <x:c r="S49" s="11" t="str">
        <x:v>QA/UAT — cần điền URL/build</x:v>
      </x:c>
      <x:c r="T49" s="11" t="str">
        <x:v>Cần điền phiên bản thực</x:v>
      </x:c>
      <x:c r="U49" s="11" t="str"/>
      <x:c r="V49" s="12" t="str"/>
      <x:c r="W49" s="11" t="str"/>
      <x:c r="X49" s="11" t="str"/>
      <x:c r="Y49" s="3" t="str">
        <x:v>Nguồn: backend/src/modules/consultations/consultations.routes.ts:8. Độ dài JS/Zod dùng UTF-16; fixture ASCII để cô lập boundary. Optional min=0: Min−1 không áp dụng vì không có độ dài âm.</x:v>
      </x:c>
    </x:row>
    <x:row r="50" ht="62" customHeight="1">
      <x:c r="A50" s="3" t="n">
        <x:v>49</x:v>
      </x:c>
      <x:c r="B50" s="3" t="str">
        <x:v>TC_CONSULT_040</x:v>
      </x:c>
      <x:c r="C50" s="3" t="str">
        <x:v>CONSULT</x:v>
      </x:c>
      <x:c r="D50" s="3" t="str">
        <x:v>Boundary name</x:v>
      </x:c>
      <x:c r="E50" s="3" t="str">
        <x:v>Boundary name</x:v>
      </x:c>
      <x:c r="F50" s="3" t="str">
        <x:v>Boundary — POST BACKEND /api/public/consultations: name Max (120)</x:v>
      </x:c>
      <x:c r="G50" s="3" t="str">
        <x:v>POST BACKEND /api/public/consultations: name Max (120)</x:v>
      </x:c>
      <x:c r="H50" s="3" t="str">
        <x:v>CON-001</x:v>
      </x:c>
      <x:c r="I50" s="3" t="str">
        <x:v>Khách truy cập</x:v>
      </x:c>
      <x:c r="J50" s="3" t="str">
        <x:v>Boundary</x:v>
      </x:c>
      <x:c r="K50" s="3" t="str">
        <x:v>Medium</x:v>
      </x:c>
      <x:c r="L50" s="3" t="str">
        <x:v>Medium</x:v>
      </x:c>
      <x:c r="M50" s="3" t="str">
        <x:v>Môi trường QA cô lập, DB/MinIO sẵn sàng; dữ liệu fixture đã tạo. Không đăng nhập.</x:v>
      </x:c>
      <x:c r="N50" s="3" t="str">
        <x:v>"a" lặp 120 lần, không có khoảng trắng. Fixture CONSULT</x:v>
      </x:c>
      <x:c r="O50" s="3" t="str">
        <x:v>1. Chuẩn bị fixture CONSULT, các trường khác hợp lệ và ID/slug mới
2. Thay riêng name theo Test Data
3. Gửi POST BACKEND /api/public/consultations
4. Kiểm tra response và DB</x:v>
      </x:c>
      <x:c r="P50" s="3" t="str">
        <x:v>Qua validation độ dài name; HTTP 201; trường name được lưu đúng 120 ký tự.</x:v>
      </x:c>
      <x:c r="Q50" s="11" t="str"/>
      <x:c r="R50" s="8" t="str">
        <x:v>NOT RUN</x:v>
      </x:c>
      <x:c r="S50" s="11" t="str">
        <x:v>QA/UAT — cần điền URL/build</x:v>
      </x:c>
      <x:c r="T50" s="11" t="str">
        <x:v>Cần điền phiên bản thực</x:v>
      </x:c>
      <x:c r="U50" s="11" t="str"/>
      <x:c r="V50" s="12" t="str"/>
      <x:c r="W50" s="11" t="str"/>
      <x:c r="X50" s="11" t="str"/>
      <x:c r="Y50" s="3" t="str">
        <x:v>Nguồn: backend/src/modules/consultations/consultations.routes.ts:8. Độ dài JS/Zod dùng UTF-16; fixture ASCII để cô lập boundary. Optional min=0: Min−1 không áp dụng vì không có độ dài âm.</x:v>
      </x:c>
    </x:row>
    <x:row r="51" ht="62" customHeight="1">
      <x:c r="A51" s="3" t="n">
        <x:v>50</x:v>
      </x:c>
      <x:c r="B51" s="3" t="str">
        <x:v>TC_CONSULT_041</x:v>
      </x:c>
      <x:c r="C51" s="3" t="str">
        <x:v>CONSULT</x:v>
      </x:c>
      <x:c r="D51" s="3" t="str">
        <x:v>Boundary name</x:v>
      </x:c>
      <x:c r="E51" s="3" t="str">
        <x:v>Boundary name</x:v>
      </x:c>
      <x:c r="F51" s="3" t="str">
        <x:v>Boundary — POST BACKEND /api/public/consultations: name Max+1 (121)</x:v>
      </x:c>
      <x:c r="G51" s="3" t="str">
        <x:v>POST BACKEND /api/public/consultations: name Max+1 (121)</x:v>
      </x:c>
      <x:c r="H51" s="3" t="str">
        <x:v>CON-001</x:v>
      </x:c>
      <x:c r="I51" s="3" t="str">
        <x:v>Khách truy cập</x:v>
      </x:c>
      <x:c r="J51" s="3" t="str">
        <x:v>Boundary</x:v>
      </x:c>
      <x:c r="K51" s="3" t="str">
        <x:v>Medium</x:v>
      </x:c>
      <x:c r="L51" s="3" t="str">
        <x:v>Medium</x:v>
      </x:c>
      <x:c r="M51" s="3" t="str">
        <x:v>Môi trường QA cô lập, DB/MinIO sẵn sàng; dữ liệu fixture đã tạo. Không đăng nhập.</x:v>
      </x:c>
      <x:c r="N51" s="3" t="str">
        <x:v>"a" lặp 121 lần, không có khoảng trắng. Fixture CONSULT</x:v>
      </x:c>
      <x:c r="O51" s="3" t="str">
        <x:v>1. Chuẩn bị fixture CONSULT, các trường khác hợp lệ và ID/slug mới
2. Thay riêng name theo Test Data
3. Gửi POST BACKEND /api/public/consultations
4. Kiểm tra response và DB</x:v>
      </x:c>
      <x:c r="P51" s="3" t="str">
        <x:v>Từ chối độ dài name=121; HTTP 400 kỳ vọng, không đổi DB. Nếu CMS/Zod.parse trả 500, ghi defect hợp đồng lỗi.</x:v>
      </x:c>
      <x:c r="Q51" s="11" t="str"/>
      <x:c r="R51" s="8" t="str">
        <x:v>NOT RUN</x:v>
      </x:c>
      <x:c r="S51" s="11" t="str">
        <x:v>QA/UAT — cần điền URL/build</x:v>
      </x:c>
      <x:c r="T51" s="11" t="str">
        <x:v>Cần điền phiên bản thực</x:v>
      </x:c>
      <x:c r="U51" s="11" t="str"/>
      <x:c r="V51" s="12" t="str"/>
      <x:c r="W51" s="11" t="str"/>
      <x:c r="X51" s="11" t="str"/>
      <x:c r="Y51" s="3" t="str">
        <x:v>Nguồn: backend/src/modules/consultations/consultations.routes.ts:8. Độ dài JS/Zod dùng UTF-16; fixture ASCII để cô lập boundary. Optional min=0: Min−1 không áp dụng vì không có độ dài âm.</x:v>
      </x:c>
    </x:row>
    <x:row r="52" ht="62" customHeight="1">
      <x:c r="A52" s="3" t="n">
        <x:v>51</x:v>
      </x:c>
      <x:c r="B52" s="3" t="str">
        <x:v>TC_CONSULT_042</x:v>
      </x:c>
      <x:c r="C52" s="3" t="str">
        <x:v>CONSULT</x:v>
      </x:c>
      <x:c r="D52" s="3" t="str">
        <x:v>Boundary phone</x:v>
      </x:c>
      <x:c r="E52" s="3" t="str">
        <x:v>Boundary phone</x:v>
      </x:c>
      <x:c r="F52" s="3" t="str">
        <x:v>Boundary — POST BACKEND /api/public/consultations: phone Min−1 (8)</x:v>
      </x:c>
      <x:c r="G52" s="3" t="str">
        <x:v>POST BACKEND /api/public/consultations: phone Min−1 (8)</x:v>
      </x:c>
      <x:c r="H52" s="3" t="str">
        <x:v>CON-001</x:v>
      </x:c>
      <x:c r="I52" s="3" t="str">
        <x:v>Khách truy cập</x:v>
      </x:c>
      <x:c r="J52" s="3" t="str">
        <x:v>Boundary</x:v>
      </x:c>
      <x:c r="K52" s="3" t="str">
        <x:v>Medium</x:v>
      </x:c>
      <x:c r="L52" s="3" t="str">
        <x:v>Medium</x:v>
      </x:c>
      <x:c r="M52" s="3" t="str">
        <x:v>Môi trường QA cô lập, DB/MinIO sẵn sàng; dữ liệu fixture đã tạo. Không đăng nhập.</x:v>
      </x:c>
      <x:c r="N52" s="3" t="str">
        <x:v>"0" lặp 8 lần. Fixture CONSULT</x:v>
      </x:c>
      <x:c r="O52" s="3" t="str">
        <x:v>1. Chuẩn bị fixture CONSULT, các trường khác hợp lệ và ID/slug mới
2. Thay riêng phone theo Test Data
3. Gửi POST BACKEND /api/public/consultations
4. Kiểm tra response và DB</x:v>
      </x:c>
      <x:c r="P52" s="3" t="str">
        <x:v>Từ chối độ dài phone=8; HTTP 400 kỳ vọng, không đổi DB. Nếu CMS/Zod.parse trả 500, ghi defect hợp đồng lỗi.</x:v>
      </x:c>
      <x:c r="Q52" s="11" t="str"/>
      <x:c r="R52" s="8" t="str">
        <x:v>NOT RUN</x:v>
      </x:c>
      <x:c r="S52" s="11" t="str">
        <x:v>QA/UAT — cần điền URL/build</x:v>
      </x:c>
      <x:c r="T52" s="11" t="str">
        <x:v>Cần điền phiên bản thực</x:v>
      </x:c>
      <x:c r="U52" s="11" t="str"/>
      <x:c r="V52" s="12" t="str"/>
      <x:c r="W52" s="11" t="str"/>
      <x:c r="X52" s="11" t="str"/>
      <x:c r="Y52" s="3" t="str">
        <x:v>Nguồn: backend/src/modules/consultations/consultations.routes.ts:9. Độ dài JS/Zod dùng UTF-16; fixture ASCII để cô lập boundary. Optional min=0: Min−1 không áp dụng vì không có độ dài âm.</x:v>
      </x:c>
    </x:row>
    <x:row r="53" ht="62" customHeight="1">
      <x:c r="A53" s="3" t="n">
        <x:v>52</x:v>
      </x:c>
      <x:c r="B53" s="3" t="str">
        <x:v>TC_CONSULT_043</x:v>
      </x:c>
      <x:c r="C53" s="3" t="str">
        <x:v>CONSULT</x:v>
      </x:c>
      <x:c r="D53" s="3" t="str">
        <x:v>Boundary phone</x:v>
      </x:c>
      <x:c r="E53" s="3" t="str">
        <x:v>Boundary phone</x:v>
      </x:c>
      <x:c r="F53" s="3" t="str">
        <x:v>Boundary — POST BACKEND /api/public/consultations: phone Min (9)</x:v>
      </x:c>
      <x:c r="G53" s="3" t="str">
        <x:v>POST BACKEND /api/public/consultations: phone Min (9)</x:v>
      </x:c>
      <x:c r="H53" s="3" t="str">
        <x:v>CON-001</x:v>
      </x:c>
      <x:c r="I53" s="3" t="str">
        <x:v>Khách truy cập</x:v>
      </x:c>
      <x:c r="J53" s="3" t="str">
        <x:v>Boundary</x:v>
      </x:c>
      <x:c r="K53" s="3" t="str">
        <x:v>Medium</x:v>
      </x:c>
      <x:c r="L53" s="3" t="str">
        <x:v>Medium</x:v>
      </x:c>
      <x:c r="M53" s="3" t="str">
        <x:v>Môi trường QA cô lập, DB/MinIO sẵn sàng; dữ liệu fixture đã tạo. Không đăng nhập.</x:v>
      </x:c>
      <x:c r="N53" s="3" t="str">
        <x:v>"0" lặp 9 lần. Fixture CONSULT</x:v>
      </x:c>
      <x:c r="O53" s="3" t="str">
        <x:v>1. Chuẩn bị fixture CONSULT, các trường khác hợp lệ và ID/slug mới
2. Thay riêng phone theo Test Data
3. Gửi POST BACKEND /api/public/consultations
4. Kiểm tra response và DB</x:v>
      </x:c>
      <x:c r="P53" s="3" t="str">
        <x:v>Qua validation độ dài phone; HTTP 201; trường phone được lưu đúng 9 ký tự.</x:v>
      </x:c>
      <x:c r="Q53" s="11" t="str"/>
      <x:c r="R53" s="8" t="str">
        <x:v>NOT RUN</x:v>
      </x:c>
      <x:c r="S53" s="11" t="str">
        <x:v>QA/UAT — cần điền URL/build</x:v>
      </x:c>
      <x:c r="T53" s="11" t="str">
        <x:v>Cần điền phiên bản thực</x:v>
      </x:c>
      <x:c r="U53" s="11" t="str"/>
      <x:c r="V53" s="12" t="str"/>
      <x:c r="W53" s="11" t="str"/>
      <x:c r="X53" s="11" t="str"/>
      <x:c r="Y53" s="3" t="str">
        <x:v>Nguồn: backend/src/modules/consultations/consultations.routes.ts:9. Độ dài JS/Zod dùng UTF-16; fixture ASCII để cô lập boundary. Optional min=0: Min−1 không áp dụng vì không có độ dài âm.</x:v>
      </x:c>
    </x:row>
    <x:row r="54" ht="62" customHeight="1">
      <x:c r="A54" s="3" t="n">
        <x:v>53</x:v>
      </x:c>
      <x:c r="B54" s="3" t="str">
        <x:v>TC_CONSULT_044</x:v>
      </x:c>
      <x:c r="C54" s="3" t="str">
        <x:v>CONSULT</x:v>
      </x:c>
      <x:c r="D54" s="3" t="str">
        <x:v>Boundary phone</x:v>
      </x:c>
      <x:c r="E54" s="3" t="str">
        <x:v>Boundary phone</x:v>
      </x:c>
      <x:c r="F54" s="3" t="str">
        <x:v>Boundary — POST BACKEND /api/public/consultations: phone Min+1 (10)</x:v>
      </x:c>
      <x:c r="G54" s="3" t="str">
        <x:v>POST BACKEND /api/public/consultations: phone Min+1 (10)</x:v>
      </x:c>
      <x:c r="H54" s="3" t="str">
        <x:v>CON-001</x:v>
      </x:c>
      <x:c r="I54" s="3" t="str">
        <x:v>Khách truy cập</x:v>
      </x:c>
      <x:c r="J54" s="3" t="str">
        <x:v>Boundary</x:v>
      </x:c>
      <x:c r="K54" s="3" t="str">
        <x:v>Medium</x:v>
      </x:c>
      <x:c r="L54" s="3" t="str">
        <x:v>Medium</x:v>
      </x:c>
      <x:c r="M54" s="3" t="str">
        <x:v>Môi trường QA cô lập, DB/MinIO sẵn sàng; dữ liệu fixture đã tạo. Không đăng nhập.</x:v>
      </x:c>
      <x:c r="N54" s="3" t="str">
        <x:v>"0" lặp 10 lần. Fixture CONSULT</x:v>
      </x:c>
      <x:c r="O54" s="3" t="str">
        <x:v>1. Chuẩn bị fixture CONSULT, các trường khác hợp lệ và ID/slug mới
2. Thay riêng phone theo Test Data
3. Gửi POST BACKEND /api/public/consultations
4. Kiểm tra response và DB</x:v>
      </x:c>
      <x:c r="P54" s="3" t="str">
        <x:v>Qua validation độ dài phone; HTTP 201; trường phone được lưu đúng 10 ký tự.</x:v>
      </x:c>
      <x:c r="Q54" s="11" t="str"/>
      <x:c r="R54" s="8" t="str">
        <x:v>NOT RUN</x:v>
      </x:c>
      <x:c r="S54" s="11" t="str">
        <x:v>QA/UAT — cần điền URL/build</x:v>
      </x:c>
      <x:c r="T54" s="11" t="str">
        <x:v>Cần điền phiên bản thực</x:v>
      </x:c>
      <x:c r="U54" s="11" t="str"/>
      <x:c r="V54" s="12" t="str"/>
      <x:c r="W54" s="11" t="str"/>
      <x:c r="X54" s="11" t="str"/>
      <x:c r="Y54" s="3" t="str">
        <x:v>Nguồn: backend/src/modules/consultations/consultations.routes.ts:9. Độ dài JS/Zod dùng UTF-16; fixture ASCII để cô lập boundary. Optional min=0: Min−1 không áp dụng vì không có độ dài âm.</x:v>
      </x:c>
    </x:row>
    <x:row r="55" ht="62" customHeight="1">
      <x:c r="A55" s="3" t="n">
        <x:v>54</x:v>
      </x:c>
      <x:c r="B55" s="3" t="str">
        <x:v>TC_CONSULT_045</x:v>
      </x:c>
      <x:c r="C55" s="3" t="str">
        <x:v>CONSULT</x:v>
      </x:c>
      <x:c r="D55" s="3" t="str">
        <x:v>Boundary phone</x:v>
      </x:c>
      <x:c r="E55" s="3" t="str">
        <x:v>Boundary phone</x:v>
      </x:c>
      <x:c r="F55" s="3" t="str">
        <x:v>Boundary — POST BACKEND /api/public/consultations: phone Max−1 (29)</x:v>
      </x:c>
      <x:c r="G55" s="3" t="str">
        <x:v>POST BACKEND /api/public/consultations: phone Max−1 (29)</x:v>
      </x:c>
      <x:c r="H55" s="3" t="str">
        <x:v>CON-001</x:v>
      </x:c>
      <x:c r="I55" s="3" t="str">
        <x:v>Khách truy cập</x:v>
      </x:c>
      <x:c r="J55" s="3" t="str">
        <x:v>Boundary</x:v>
      </x:c>
      <x:c r="K55" s="3" t="str">
        <x:v>Medium</x:v>
      </x:c>
      <x:c r="L55" s="3" t="str">
        <x:v>Medium</x:v>
      </x:c>
      <x:c r="M55" s="3" t="str">
        <x:v>Môi trường QA cô lập, DB/MinIO sẵn sàng; dữ liệu fixture đã tạo. Không đăng nhập.</x:v>
      </x:c>
      <x:c r="N55" s="3" t="str">
        <x:v>"0" lặp 29 lần. Fixture CONSULT</x:v>
      </x:c>
      <x:c r="O55" s="3" t="str">
        <x:v>1. Chuẩn bị fixture CONSULT, các trường khác hợp lệ và ID/slug mới
2. Thay riêng phone theo Test Data
3. Gửi POST BACKEND /api/public/consultations
4. Kiểm tra response và DB</x:v>
      </x:c>
      <x:c r="P55" s="3" t="str">
        <x:v>Qua validation độ dài phone; HTTP 201; trường phone được lưu đúng 29 ký tự.</x:v>
      </x:c>
      <x:c r="Q55" s="11" t="str"/>
      <x:c r="R55" s="8" t="str">
        <x:v>NOT RUN</x:v>
      </x:c>
      <x:c r="S55" s="11" t="str">
        <x:v>QA/UAT — cần điền URL/build</x:v>
      </x:c>
      <x:c r="T55" s="11" t="str">
        <x:v>Cần điền phiên bản thực</x:v>
      </x:c>
      <x:c r="U55" s="11" t="str"/>
      <x:c r="V55" s="12" t="str"/>
      <x:c r="W55" s="11" t="str"/>
      <x:c r="X55" s="11" t="str"/>
      <x:c r="Y55" s="3" t="str">
        <x:v>Nguồn: backend/src/modules/consultations/consultations.routes.ts:9. Độ dài JS/Zod dùng UTF-16; fixture ASCII để cô lập boundary. Optional min=0: Min−1 không áp dụng vì không có độ dài âm.</x:v>
      </x:c>
    </x:row>
    <x:row r="56" ht="62" customHeight="1">
      <x:c r="A56" s="3" t="n">
        <x:v>55</x:v>
      </x:c>
      <x:c r="B56" s="3" t="str">
        <x:v>TC_CONSULT_046</x:v>
      </x:c>
      <x:c r="C56" s="3" t="str">
        <x:v>CONSULT</x:v>
      </x:c>
      <x:c r="D56" s="3" t="str">
        <x:v>Boundary phone</x:v>
      </x:c>
      <x:c r="E56" s="3" t="str">
        <x:v>Boundary phone</x:v>
      </x:c>
      <x:c r="F56" s="3" t="str">
        <x:v>Boundary — POST BACKEND /api/public/consultations: phone Max (30)</x:v>
      </x:c>
      <x:c r="G56" s="3" t="str">
        <x:v>POST BACKEND /api/public/consultations: phone Max (30)</x:v>
      </x:c>
      <x:c r="H56" s="3" t="str">
        <x:v>CON-001</x:v>
      </x:c>
      <x:c r="I56" s="3" t="str">
        <x:v>Khách truy cập</x:v>
      </x:c>
      <x:c r="J56" s="3" t="str">
        <x:v>Boundary</x:v>
      </x:c>
      <x:c r="K56" s="3" t="str">
        <x:v>Medium</x:v>
      </x:c>
      <x:c r="L56" s="3" t="str">
        <x:v>Medium</x:v>
      </x:c>
      <x:c r="M56" s="3" t="str">
        <x:v>Môi trường QA cô lập, DB/MinIO sẵn sàng; dữ liệu fixture đã tạo. Không đăng nhập.</x:v>
      </x:c>
      <x:c r="N56" s="3" t="str">
        <x:v>"0" lặp 30 lần. Fixture CONSULT</x:v>
      </x:c>
      <x:c r="O56" s="3" t="str">
        <x:v>1. Chuẩn bị fixture CONSULT, các trường khác hợp lệ và ID/slug mới
2. Thay riêng phone theo Test Data
3. Gửi POST BACKEND /api/public/consultations
4. Kiểm tra response và DB</x:v>
      </x:c>
      <x:c r="P56" s="3" t="str">
        <x:v>Qua validation độ dài phone; HTTP 201; trường phone được lưu đúng 30 ký tự.</x:v>
      </x:c>
      <x:c r="Q56" s="11" t="str"/>
      <x:c r="R56" s="8" t="str">
        <x:v>NOT RUN</x:v>
      </x:c>
      <x:c r="S56" s="11" t="str">
        <x:v>QA/UAT — cần điền URL/build</x:v>
      </x:c>
      <x:c r="T56" s="11" t="str">
        <x:v>Cần điền phiên bản thực</x:v>
      </x:c>
      <x:c r="U56" s="11" t="str"/>
      <x:c r="V56" s="12" t="str"/>
      <x:c r="W56" s="11" t="str"/>
      <x:c r="X56" s="11" t="str"/>
      <x:c r="Y56" s="3" t="str">
        <x:v>Nguồn: backend/src/modules/consultations/consultations.routes.ts:9. Độ dài JS/Zod dùng UTF-16; fixture ASCII để cô lập boundary. Optional min=0: Min−1 không áp dụng vì không có độ dài âm.</x:v>
      </x:c>
    </x:row>
    <x:row r="57" ht="62" customHeight="1">
      <x:c r="A57" s="3" t="n">
        <x:v>56</x:v>
      </x:c>
      <x:c r="B57" s="3" t="str">
        <x:v>TC_CONSULT_047</x:v>
      </x:c>
      <x:c r="C57" s="3" t="str">
        <x:v>CONSULT</x:v>
      </x:c>
      <x:c r="D57" s="3" t="str">
        <x:v>Boundary phone</x:v>
      </x:c>
      <x:c r="E57" s="3" t="str">
        <x:v>Boundary phone</x:v>
      </x:c>
      <x:c r="F57" s="3" t="str">
        <x:v>Boundary — POST BACKEND /api/public/consultations: phone Max+1 (31)</x:v>
      </x:c>
      <x:c r="G57" s="3" t="str">
        <x:v>POST BACKEND /api/public/consultations: phone Max+1 (31)</x:v>
      </x:c>
      <x:c r="H57" s="3" t="str">
        <x:v>CON-001</x:v>
      </x:c>
      <x:c r="I57" s="3" t="str">
        <x:v>Khách truy cập</x:v>
      </x:c>
      <x:c r="J57" s="3" t="str">
        <x:v>Boundary</x:v>
      </x:c>
      <x:c r="K57" s="3" t="str">
        <x:v>Medium</x:v>
      </x:c>
      <x:c r="L57" s="3" t="str">
        <x:v>Medium</x:v>
      </x:c>
      <x:c r="M57" s="3" t="str">
        <x:v>Môi trường QA cô lập, DB/MinIO sẵn sàng; dữ liệu fixture đã tạo. Không đăng nhập.</x:v>
      </x:c>
      <x:c r="N57" s="3" t="str">
        <x:v>"0" lặp 31 lần. Fixture CONSULT</x:v>
      </x:c>
      <x:c r="O57" s="3" t="str">
        <x:v>1. Chuẩn bị fixture CONSULT, các trường khác hợp lệ và ID/slug mới
2. Thay riêng phone theo Test Data
3. Gửi POST BACKEND /api/public/consultations
4. Kiểm tra response và DB</x:v>
      </x:c>
      <x:c r="P57" s="3" t="str">
        <x:v>Từ chối độ dài phone=31; HTTP 400 kỳ vọng, không đổi DB. Nếu CMS/Zod.parse trả 500, ghi defect hợp đồng lỗi.</x:v>
      </x:c>
      <x:c r="Q57" s="11" t="str"/>
      <x:c r="R57" s="8" t="str">
        <x:v>NOT RUN</x:v>
      </x:c>
      <x:c r="S57" s="11" t="str">
        <x:v>QA/UAT — cần điền URL/build</x:v>
      </x:c>
      <x:c r="T57" s="11" t="str">
        <x:v>Cần điền phiên bản thực</x:v>
      </x:c>
      <x:c r="U57" s="11" t="str"/>
      <x:c r="V57" s="12" t="str"/>
      <x:c r="W57" s="11" t="str"/>
      <x:c r="X57" s="11" t="str"/>
      <x:c r="Y57" s="3" t="str">
        <x:v>Nguồn: backend/src/modules/consultations/consultations.routes.ts:9. Độ dài JS/Zod dùng UTF-16; fixture ASCII để cô lập boundary. Optional min=0: Min−1 không áp dụng vì không có độ dài âm.</x:v>
      </x:c>
    </x:row>
    <x:row r="58" ht="62" customHeight="1">
      <x:c r="A58" s="3" t="n">
        <x:v>57</x:v>
      </x:c>
      <x:c r="B58" s="3" t="str">
        <x:v>TC_CONSULT_048</x:v>
      </x:c>
      <x:c r="C58" s="3" t="str">
        <x:v>CONSULT</x:v>
      </x:c>
      <x:c r="D58" s="3" t="str">
        <x:v>Boundary programme</x:v>
      </x:c>
      <x:c r="E58" s="3" t="str">
        <x:v>Boundary programme</x:v>
      </x:c>
      <x:c r="F58" s="3" t="str">
        <x:v>Boundary — POST BACKEND /api/public/consultations: programme Min (0)</x:v>
      </x:c>
      <x:c r="G58" s="3" t="str">
        <x:v>POST BACKEND /api/public/consultations: programme Min (0)</x:v>
      </x:c>
      <x:c r="H58" s="3" t="str">
        <x:v>CON-001</x:v>
      </x:c>
      <x:c r="I58" s="3" t="str">
        <x:v>Khách truy cập</x:v>
      </x:c>
      <x:c r="J58" s="3" t="str">
        <x:v>Boundary</x:v>
      </x:c>
      <x:c r="K58" s="3" t="str">
        <x:v>Medium</x:v>
      </x:c>
      <x:c r="L58" s="3" t="str">
        <x:v>Medium</x:v>
      </x:c>
      <x:c r="M58" s="3" t="str">
        <x:v>Môi trường QA cô lập, DB/MinIO sẵn sàng; dữ liệu fixture đã tạo. Không đăng nhập.</x:v>
      </x:c>
      <x:c r="N58" s="3" t="str">
        <x:v>"a" lặp 0 lần, không có khoảng trắng. Fixture CONSULT</x:v>
      </x:c>
      <x:c r="O58" s="3" t="str">
        <x:v>1. Chuẩn bị fixture CONSULT, các trường khác hợp lệ và ID/slug mới
2. Thay riêng programme theo Test Data
3. Gửi POST BACKEND /api/public/consultations
4. Kiểm tra response và DB</x:v>
      </x:c>
      <x:c r="P58" s="3" t="str">
        <x:v>Qua validation độ dài programme; HTTP 201; trường programme được lưu đúng 0 ký tự.</x:v>
      </x:c>
      <x:c r="Q58" s="11" t="str"/>
      <x:c r="R58" s="8" t="str">
        <x:v>NOT RUN</x:v>
      </x:c>
      <x:c r="S58" s="11" t="str">
        <x:v>QA/UAT — cần điền URL/build</x:v>
      </x:c>
      <x:c r="T58" s="11" t="str">
        <x:v>Cần điền phiên bản thực</x:v>
      </x:c>
      <x:c r="U58" s="11" t="str"/>
      <x:c r="V58" s="12" t="str"/>
      <x:c r="W58" s="11" t="str"/>
      <x:c r="X58" s="11" t="str"/>
      <x:c r="Y58" s="3" t="str">
        <x:v>Nguồn: backend/src/modules/consultations/consultations.routes.ts:11. Độ dài JS/Zod dùng UTF-16; fixture ASCII để cô lập boundary. Optional min=0: Min−1 không áp dụng vì không có độ dài âm.</x:v>
      </x:c>
    </x:row>
    <x:row r="59" ht="62" customHeight="1">
      <x:c r="A59" s="3" t="n">
        <x:v>58</x:v>
      </x:c>
      <x:c r="B59" s="3" t="str">
        <x:v>TC_CONSULT_049</x:v>
      </x:c>
      <x:c r="C59" s="3" t="str">
        <x:v>CONSULT</x:v>
      </x:c>
      <x:c r="D59" s="3" t="str">
        <x:v>Boundary programme</x:v>
      </x:c>
      <x:c r="E59" s="3" t="str">
        <x:v>Boundary programme</x:v>
      </x:c>
      <x:c r="F59" s="3" t="str">
        <x:v>Boundary — POST BACKEND /api/public/consultations: programme Min+1 (1)</x:v>
      </x:c>
      <x:c r="G59" s="3" t="str">
        <x:v>POST BACKEND /api/public/consultations: programme Min+1 (1)</x:v>
      </x:c>
      <x:c r="H59" s="3" t="str">
        <x:v>CON-001</x:v>
      </x:c>
      <x:c r="I59" s="3" t="str">
        <x:v>Khách truy cập</x:v>
      </x:c>
      <x:c r="J59" s="3" t="str">
        <x:v>Boundary</x:v>
      </x:c>
      <x:c r="K59" s="3" t="str">
        <x:v>Medium</x:v>
      </x:c>
      <x:c r="L59" s="3" t="str">
        <x:v>Medium</x:v>
      </x:c>
      <x:c r="M59" s="3" t="str">
        <x:v>Môi trường QA cô lập, DB/MinIO sẵn sàng; dữ liệu fixture đã tạo. Không đăng nhập.</x:v>
      </x:c>
      <x:c r="N59" s="3" t="str">
        <x:v>"a" lặp 1 lần, không có khoảng trắng. Fixture CONSULT</x:v>
      </x:c>
      <x:c r="O59" s="3" t="str">
        <x:v>1. Chuẩn bị fixture CONSULT, các trường khác hợp lệ và ID/slug mới
2. Thay riêng programme theo Test Data
3. Gửi POST BACKEND /api/public/consultations
4. Kiểm tra response và DB</x:v>
      </x:c>
      <x:c r="P59" s="3" t="str">
        <x:v>Qua validation độ dài programme; HTTP 201; trường programme được lưu đúng 1 ký tự.</x:v>
      </x:c>
      <x:c r="Q59" s="11" t="str"/>
      <x:c r="R59" s="8" t="str">
        <x:v>NOT RUN</x:v>
      </x:c>
      <x:c r="S59" s="11" t="str">
        <x:v>QA/UAT — cần điền URL/build</x:v>
      </x:c>
      <x:c r="T59" s="11" t="str">
        <x:v>Cần điền phiên bản thực</x:v>
      </x:c>
      <x:c r="U59" s="11" t="str"/>
      <x:c r="V59" s="12" t="str"/>
      <x:c r="W59" s="11" t="str"/>
      <x:c r="X59" s="11" t="str"/>
      <x:c r="Y59" s="3" t="str">
        <x:v>Nguồn: backend/src/modules/consultations/consultations.routes.ts:11. Độ dài JS/Zod dùng UTF-16; fixture ASCII để cô lập boundary. Optional min=0: Min−1 không áp dụng vì không có độ dài âm.</x:v>
      </x:c>
    </x:row>
    <x:row r="60" ht="62" customHeight="1">
      <x:c r="A60" s="3" t="n">
        <x:v>59</x:v>
      </x:c>
      <x:c r="B60" s="3" t="str">
        <x:v>TC_CONSULT_050</x:v>
      </x:c>
      <x:c r="C60" s="3" t="str">
        <x:v>CONSULT</x:v>
      </x:c>
      <x:c r="D60" s="3" t="str">
        <x:v>Boundary programme</x:v>
      </x:c>
      <x:c r="E60" s="3" t="str">
        <x:v>Boundary programme</x:v>
      </x:c>
      <x:c r="F60" s="3" t="str">
        <x:v>Boundary — POST BACKEND /api/public/consultations: programme Max−1 (189)</x:v>
      </x:c>
      <x:c r="G60" s="3" t="str">
        <x:v>POST BACKEND /api/public/consultations: programme Max−1 (189)</x:v>
      </x:c>
      <x:c r="H60" s="3" t="str">
        <x:v>CON-001</x:v>
      </x:c>
      <x:c r="I60" s="3" t="str">
        <x:v>Khách truy cập</x:v>
      </x:c>
      <x:c r="J60" s="3" t="str">
        <x:v>Boundary</x:v>
      </x:c>
      <x:c r="K60" s="3" t="str">
        <x:v>Medium</x:v>
      </x:c>
      <x:c r="L60" s="3" t="str">
        <x:v>Medium</x:v>
      </x:c>
      <x:c r="M60" s="3" t="str">
        <x:v>Môi trường QA cô lập, DB/MinIO sẵn sàng; dữ liệu fixture đã tạo. Không đăng nhập.</x:v>
      </x:c>
      <x:c r="N60" s="3" t="str">
        <x:v>"a" lặp 189 lần, không có khoảng trắng. Fixture CONSULT</x:v>
      </x:c>
      <x:c r="O60" s="3" t="str">
        <x:v>1. Chuẩn bị fixture CONSULT, các trường khác hợp lệ và ID/slug mới
2. Thay riêng programme theo Test Data
3. Gửi POST BACKEND /api/public/consultations
4. Kiểm tra response và DB</x:v>
      </x:c>
      <x:c r="P60" s="3" t="str">
        <x:v>Qua validation độ dài programme; HTTP 201; trường programme được lưu đúng 189 ký tự.</x:v>
      </x:c>
      <x:c r="Q60" s="11" t="str"/>
      <x:c r="R60" s="8" t="str">
        <x:v>NOT RUN</x:v>
      </x:c>
      <x:c r="S60" s="11" t="str">
        <x:v>QA/UAT — cần điền URL/build</x:v>
      </x:c>
      <x:c r="T60" s="11" t="str">
        <x:v>Cần điền phiên bản thực</x:v>
      </x:c>
      <x:c r="U60" s="11" t="str"/>
      <x:c r="V60" s="12" t="str"/>
      <x:c r="W60" s="11" t="str"/>
      <x:c r="X60" s="11" t="str"/>
      <x:c r="Y60" s="3" t="str">
        <x:v>Nguồn: backend/src/modules/consultations/consultations.routes.ts:11. Độ dài JS/Zod dùng UTF-16; fixture ASCII để cô lập boundary. Optional min=0: Min−1 không áp dụng vì không có độ dài âm.</x:v>
      </x:c>
    </x:row>
    <x:row r="61" ht="62" customHeight="1">
      <x:c r="A61" s="3" t="n">
        <x:v>60</x:v>
      </x:c>
      <x:c r="B61" s="3" t="str">
        <x:v>TC_CONSULT_051</x:v>
      </x:c>
      <x:c r="C61" s="3" t="str">
        <x:v>CONSULT</x:v>
      </x:c>
      <x:c r="D61" s="3" t="str">
        <x:v>Boundary programme</x:v>
      </x:c>
      <x:c r="E61" s="3" t="str">
        <x:v>Boundary programme</x:v>
      </x:c>
      <x:c r="F61" s="3" t="str">
        <x:v>Boundary — POST BACKEND /api/public/consultations: programme Max (190)</x:v>
      </x:c>
      <x:c r="G61" s="3" t="str">
        <x:v>POST BACKEND /api/public/consultations: programme Max (190)</x:v>
      </x:c>
      <x:c r="H61" s="3" t="str">
        <x:v>CON-001</x:v>
      </x:c>
      <x:c r="I61" s="3" t="str">
        <x:v>Khách truy cập</x:v>
      </x:c>
      <x:c r="J61" s="3" t="str">
        <x:v>Boundary</x:v>
      </x:c>
      <x:c r="K61" s="3" t="str">
        <x:v>Medium</x:v>
      </x:c>
      <x:c r="L61" s="3" t="str">
        <x:v>Medium</x:v>
      </x:c>
      <x:c r="M61" s="3" t="str">
        <x:v>Môi trường QA cô lập, DB/MinIO sẵn sàng; dữ liệu fixture đã tạo. Không đăng nhập.</x:v>
      </x:c>
      <x:c r="N61" s="3" t="str">
        <x:v>"a" lặp 190 lần, không có khoảng trắng. Fixture CONSULT</x:v>
      </x:c>
      <x:c r="O61" s="3" t="str">
        <x:v>1. Chuẩn bị fixture CONSULT, các trường khác hợp lệ và ID/slug mới
2. Thay riêng programme theo Test Data
3. Gửi POST BACKEND /api/public/consultations
4. Kiểm tra response và DB</x:v>
      </x:c>
      <x:c r="P61" s="3" t="str">
        <x:v>Qua validation độ dài programme; HTTP 201; trường programme được lưu đúng 190 ký tự.</x:v>
      </x:c>
      <x:c r="Q61" s="11" t="str"/>
      <x:c r="R61" s="8" t="str">
        <x:v>NOT RUN</x:v>
      </x:c>
      <x:c r="S61" s="11" t="str">
        <x:v>QA/UAT — cần điền URL/build</x:v>
      </x:c>
      <x:c r="T61" s="11" t="str">
        <x:v>Cần điền phiên bản thực</x:v>
      </x:c>
      <x:c r="U61" s="11" t="str"/>
      <x:c r="V61" s="12" t="str"/>
      <x:c r="W61" s="11" t="str"/>
      <x:c r="X61" s="11" t="str"/>
      <x:c r="Y61" s="3" t="str">
        <x:v>Nguồn: backend/src/modules/consultations/consultations.routes.ts:11. Độ dài JS/Zod dùng UTF-16; fixture ASCII để cô lập boundary. Optional min=0: Min−1 không áp dụng vì không có độ dài âm.</x:v>
      </x:c>
    </x:row>
    <x:row r="62" ht="62" customHeight="1">
      <x:c r="A62" s="3" t="n">
        <x:v>61</x:v>
      </x:c>
      <x:c r="B62" s="3" t="str">
        <x:v>TC_CONSULT_052</x:v>
      </x:c>
      <x:c r="C62" s="3" t="str">
        <x:v>CONSULT</x:v>
      </x:c>
      <x:c r="D62" s="3" t="str">
        <x:v>Boundary programme</x:v>
      </x:c>
      <x:c r="E62" s="3" t="str">
        <x:v>Boundary programme</x:v>
      </x:c>
      <x:c r="F62" s="3" t="str">
        <x:v>Boundary — POST BACKEND /api/public/consultations: programme Max+1 (191)</x:v>
      </x:c>
      <x:c r="G62" s="3" t="str">
        <x:v>POST BACKEND /api/public/consultations: programme Max+1 (191)</x:v>
      </x:c>
      <x:c r="H62" s="3" t="str">
        <x:v>CON-001</x:v>
      </x:c>
      <x:c r="I62" s="3" t="str">
        <x:v>Khách truy cập</x:v>
      </x:c>
      <x:c r="J62" s="3" t="str">
        <x:v>Boundary</x:v>
      </x:c>
      <x:c r="K62" s="3" t="str">
        <x:v>Medium</x:v>
      </x:c>
      <x:c r="L62" s="3" t="str">
        <x:v>Medium</x:v>
      </x:c>
      <x:c r="M62" s="3" t="str">
        <x:v>Môi trường QA cô lập, DB/MinIO sẵn sàng; dữ liệu fixture đã tạo. Không đăng nhập.</x:v>
      </x:c>
      <x:c r="N62" s="3" t="str">
        <x:v>"a" lặp 191 lần, không có khoảng trắng. Fixture CONSULT</x:v>
      </x:c>
      <x:c r="O62" s="3" t="str">
        <x:v>1. Chuẩn bị fixture CONSULT, các trường khác hợp lệ và ID/slug mới
2. Thay riêng programme theo Test Data
3. Gửi POST BACKEND /api/public/consultations
4. Kiểm tra response và DB</x:v>
      </x:c>
      <x:c r="P62" s="3" t="str">
        <x:v>Từ chối độ dài programme=191; HTTP 400 kỳ vọng, không đổi DB. Nếu CMS/Zod.parse trả 500, ghi defect hợp đồng lỗi.</x:v>
      </x:c>
      <x:c r="Q62" s="11" t="str"/>
      <x:c r="R62" s="8" t="str">
        <x:v>NOT RUN</x:v>
      </x:c>
      <x:c r="S62" s="11" t="str">
        <x:v>QA/UAT — cần điền URL/build</x:v>
      </x:c>
      <x:c r="T62" s="11" t="str">
        <x:v>Cần điền phiên bản thực</x:v>
      </x:c>
      <x:c r="U62" s="11" t="str"/>
      <x:c r="V62" s="12" t="str"/>
      <x:c r="W62" s="11" t="str"/>
      <x:c r="X62" s="11" t="str"/>
      <x:c r="Y62" s="3" t="str">
        <x:v>Nguồn: backend/src/modules/consultations/consultations.routes.ts:11. Độ dài JS/Zod dùng UTF-16; fixture ASCII để cô lập boundary. Optional min=0: Min−1 không áp dụng vì không có độ dài âm.</x:v>
      </x:c>
    </x:row>
    <x:row r="63" ht="62" customHeight="1">
      <x:c r="A63" s="3" t="n">
        <x:v>62</x:v>
      </x:c>
      <x:c r="B63" s="3" t="str">
        <x:v>TC_CONSULT_053</x:v>
      </x:c>
      <x:c r="C63" s="3" t="str">
        <x:v>CONSULT</x:v>
      </x:c>
      <x:c r="D63" s="3" t="str">
        <x:v>Boundary interestedField</x:v>
      </x:c>
      <x:c r="E63" s="3" t="str">
        <x:v>Boundary interestedField</x:v>
      </x:c>
      <x:c r="F63" s="3" t="str">
        <x:v>Boundary — POST BACKEND /api/public/consultations: interestedField Min (0)</x:v>
      </x:c>
      <x:c r="G63" s="3" t="str">
        <x:v>POST BACKEND /api/public/consultations: interestedField Min (0)</x:v>
      </x:c>
      <x:c r="H63" s="3" t="str">
        <x:v>CON-001</x:v>
      </x:c>
      <x:c r="I63" s="3" t="str">
        <x:v>Khách truy cập</x:v>
      </x:c>
      <x:c r="J63" s="3" t="str">
        <x:v>Boundary</x:v>
      </x:c>
      <x:c r="K63" s="3" t="str">
        <x:v>Medium</x:v>
      </x:c>
      <x:c r="L63" s="3" t="str">
        <x:v>Medium</x:v>
      </x:c>
      <x:c r="M63" s="3" t="str">
        <x:v>Môi trường QA cô lập, DB/MinIO sẵn sàng; dữ liệu fixture đã tạo. Không đăng nhập.</x:v>
      </x:c>
      <x:c r="N63" s="3" t="str">
        <x:v>"a" lặp 0 lần, không có khoảng trắng. Fixture CONSULT</x:v>
      </x:c>
      <x:c r="O63" s="3" t="str">
        <x:v>1. Chuẩn bị fixture CONSULT, các trường khác hợp lệ và ID/slug mới
2. Thay riêng interestedField theo Test Data
3. Gửi POST BACKEND /api/public/consultations
4. Kiểm tra response và DB</x:v>
      </x:c>
      <x:c r="P63" s="3" t="str">
        <x:v>Qua validation độ dài interestedField; HTTP 201; trường interestedField được lưu đúng 0 ký tự.</x:v>
      </x:c>
      <x:c r="Q63" s="11" t="str"/>
      <x:c r="R63" s="8" t="str">
        <x:v>NOT RUN</x:v>
      </x:c>
      <x:c r="S63" s="11" t="str">
        <x:v>QA/UAT — cần điền URL/build</x:v>
      </x:c>
      <x:c r="T63" s="11" t="str">
        <x:v>Cần điền phiên bản thực</x:v>
      </x:c>
      <x:c r="U63" s="11" t="str"/>
      <x:c r="V63" s="12" t="str"/>
      <x:c r="W63" s="11" t="str"/>
      <x:c r="X63" s="11" t="str"/>
      <x:c r="Y63" s="3" t="str">
        <x:v>Nguồn: backend/src/modules/consultations/consultations.routes.ts:12. Độ dài JS/Zod dùng UTF-16; fixture ASCII để cô lập boundary. Optional min=0: Min−1 không áp dụng vì không có độ dài âm.</x:v>
      </x:c>
    </x:row>
    <x:row r="64" ht="62" customHeight="1">
      <x:c r="A64" s="3" t="n">
        <x:v>63</x:v>
      </x:c>
      <x:c r="B64" s="3" t="str">
        <x:v>TC_CONSULT_054</x:v>
      </x:c>
      <x:c r="C64" s="3" t="str">
        <x:v>CONSULT</x:v>
      </x:c>
      <x:c r="D64" s="3" t="str">
        <x:v>Boundary interestedField</x:v>
      </x:c>
      <x:c r="E64" s="3" t="str">
        <x:v>Boundary interestedField</x:v>
      </x:c>
      <x:c r="F64" s="3" t="str">
        <x:v>Boundary — POST BACKEND /api/public/consultations: interestedField Min+1 (1)</x:v>
      </x:c>
      <x:c r="G64" s="3" t="str">
        <x:v>POST BACKEND /api/public/consultations: interestedField Min+1 (1)</x:v>
      </x:c>
      <x:c r="H64" s="3" t="str">
        <x:v>CON-001</x:v>
      </x:c>
      <x:c r="I64" s="3" t="str">
        <x:v>Khách truy cập</x:v>
      </x:c>
      <x:c r="J64" s="3" t="str">
        <x:v>Boundary</x:v>
      </x:c>
      <x:c r="K64" s="3" t="str">
        <x:v>Medium</x:v>
      </x:c>
      <x:c r="L64" s="3" t="str">
        <x:v>Medium</x:v>
      </x:c>
      <x:c r="M64" s="3" t="str">
        <x:v>Môi trường QA cô lập, DB/MinIO sẵn sàng; dữ liệu fixture đã tạo. Không đăng nhập.</x:v>
      </x:c>
      <x:c r="N64" s="3" t="str">
        <x:v>"a" lặp 1 lần, không có khoảng trắng. Fixture CONSULT</x:v>
      </x:c>
      <x:c r="O64" s="3" t="str">
        <x:v>1. Chuẩn bị fixture CONSULT, các trường khác hợp lệ và ID/slug mới
2. Thay riêng interestedField theo Test Data
3. Gửi POST BACKEND /api/public/consultations
4. Kiểm tra response và DB</x:v>
      </x:c>
      <x:c r="P64" s="3" t="str">
        <x:v>Qua validation độ dài interestedField; HTTP 201; trường interestedField được lưu đúng 1 ký tự.</x:v>
      </x:c>
      <x:c r="Q64" s="11" t="str"/>
      <x:c r="R64" s="8" t="str">
        <x:v>NOT RUN</x:v>
      </x:c>
      <x:c r="S64" s="11" t="str">
        <x:v>QA/UAT — cần điền URL/build</x:v>
      </x:c>
      <x:c r="T64" s="11" t="str">
        <x:v>Cần điền phiên bản thực</x:v>
      </x:c>
      <x:c r="U64" s="11" t="str"/>
      <x:c r="V64" s="12" t="str"/>
      <x:c r="W64" s="11" t="str"/>
      <x:c r="X64" s="11" t="str"/>
      <x:c r="Y64" s="3" t="str">
        <x:v>Nguồn: backend/src/modules/consultations/consultations.routes.ts:12. Độ dài JS/Zod dùng UTF-16; fixture ASCII để cô lập boundary. Optional min=0: Min−1 không áp dụng vì không có độ dài âm.</x:v>
      </x:c>
    </x:row>
    <x:row r="65" ht="62" customHeight="1">
      <x:c r="A65" s="3" t="n">
        <x:v>64</x:v>
      </x:c>
      <x:c r="B65" s="3" t="str">
        <x:v>TC_CONSULT_055</x:v>
      </x:c>
      <x:c r="C65" s="3" t="str">
        <x:v>CONSULT</x:v>
      </x:c>
      <x:c r="D65" s="3" t="str">
        <x:v>Boundary interestedField</x:v>
      </x:c>
      <x:c r="E65" s="3" t="str">
        <x:v>Boundary interestedField</x:v>
      </x:c>
      <x:c r="F65" s="3" t="str">
        <x:v>Boundary — POST BACKEND /api/public/consultations: interestedField Max−1 (189)</x:v>
      </x:c>
      <x:c r="G65" s="3" t="str">
        <x:v>POST BACKEND /api/public/consultations: interestedField Max−1 (189)</x:v>
      </x:c>
      <x:c r="H65" s="3" t="str">
        <x:v>CON-001</x:v>
      </x:c>
      <x:c r="I65" s="3" t="str">
        <x:v>Khách truy cập</x:v>
      </x:c>
      <x:c r="J65" s="3" t="str">
        <x:v>Boundary</x:v>
      </x:c>
      <x:c r="K65" s="3" t="str">
        <x:v>Medium</x:v>
      </x:c>
      <x:c r="L65" s="3" t="str">
        <x:v>Medium</x:v>
      </x:c>
      <x:c r="M65" s="3" t="str">
        <x:v>Môi trường QA cô lập, DB/MinIO sẵn sàng; dữ liệu fixture đã tạo. Không đăng nhập.</x:v>
      </x:c>
      <x:c r="N65" s="3" t="str">
        <x:v>"a" lặp 189 lần, không có khoảng trắng. Fixture CONSULT</x:v>
      </x:c>
      <x:c r="O65" s="3" t="str">
        <x:v>1. Chuẩn bị fixture CONSULT, các trường khác hợp lệ và ID/slug mới
2. Thay riêng interestedField theo Test Data
3. Gửi POST BACKEND /api/public/consultations
4. Kiểm tra response và DB</x:v>
      </x:c>
      <x:c r="P65" s="3" t="str">
        <x:v>Qua validation độ dài interestedField; HTTP 201; trường interestedField được lưu đúng 189 ký tự.</x:v>
      </x:c>
      <x:c r="Q65" s="11" t="str"/>
      <x:c r="R65" s="8" t="str">
        <x:v>NOT RUN</x:v>
      </x:c>
      <x:c r="S65" s="11" t="str">
        <x:v>QA/UAT — cần điền URL/build</x:v>
      </x:c>
      <x:c r="T65" s="11" t="str">
        <x:v>Cần điền phiên bản thực</x:v>
      </x:c>
      <x:c r="U65" s="11" t="str"/>
      <x:c r="V65" s="12" t="str"/>
      <x:c r="W65" s="11" t="str"/>
      <x:c r="X65" s="11" t="str"/>
      <x:c r="Y65" s="3" t="str">
        <x:v>Nguồn: backend/src/modules/consultations/consultations.routes.ts:12. Độ dài JS/Zod dùng UTF-16; fixture ASCII để cô lập boundary. Optional min=0: Min−1 không áp dụng vì không có độ dài âm.</x:v>
      </x:c>
    </x:row>
    <x:row r="66" ht="62" customHeight="1">
      <x:c r="A66" s="3" t="n">
        <x:v>65</x:v>
      </x:c>
      <x:c r="B66" s="3" t="str">
        <x:v>TC_CONSULT_056</x:v>
      </x:c>
      <x:c r="C66" s="3" t="str">
        <x:v>CONSULT</x:v>
      </x:c>
      <x:c r="D66" s="3" t="str">
        <x:v>Boundary interestedField</x:v>
      </x:c>
      <x:c r="E66" s="3" t="str">
        <x:v>Boundary interestedField</x:v>
      </x:c>
      <x:c r="F66" s="3" t="str">
        <x:v>Boundary — POST BACKEND /api/public/consultations: interestedField Max (190)</x:v>
      </x:c>
      <x:c r="G66" s="3" t="str">
        <x:v>POST BACKEND /api/public/consultations: interestedField Max (190)</x:v>
      </x:c>
      <x:c r="H66" s="3" t="str">
        <x:v>CON-001</x:v>
      </x:c>
      <x:c r="I66" s="3" t="str">
        <x:v>Khách truy cập</x:v>
      </x:c>
      <x:c r="J66" s="3" t="str">
        <x:v>Boundary</x:v>
      </x:c>
      <x:c r="K66" s="3" t="str">
        <x:v>Medium</x:v>
      </x:c>
      <x:c r="L66" s="3" t="str">
        <x:v>Medium</x:v>
      </x:c>
      <x:c r="M66" s="3" t="str">
        <x:v>Môi trường QA cô lập, DB/MinIO sẵn sàng; dữ liệu fixture đã tạo. Không đăng nhập.</x:v>
      </x:c>
      <x:c r="N66" s="3" t="str">
        <x:v>"a" lặp 190 lần, không có khoảng trắng. Fixture CONSULT</x:v>
      </x:c>
      <x:c r="O66" s="3" t="str">
        <x:v>1. Chuẩn bị fixture CONSULT, các trường khác hợp lệ và ID/slug mới
2. Thay riêng interestedField theo Test Data
3. Gửi POST BACKEND /api/public/consultations
4. Kiểm tra response và DB</x:v>
      </x:c>
      <x:c r="P66" s="3" t="str">
        <x:v>Qua validation độ dài interestedField; HTTP 201; trường interestedField được lưu đúng 190 ký tự.</x:v>
      </x:c>
      <x:c r="Q66" s="11" t="str"/>
      <x:c r="R66" s="8" t="str">
        <x:v>NOT RUN</x:v>
      </x:c>
      <x:c r="S66" s="11" t="str">
        <x:v>QA/UAT — cần điền URL/build</x:v>
      </x:c>
      <x:c r="T66" s="11" t="str">
        <x:v>Cần điền phiên bản thực</x:v>
      </x:c>
      <x:c r="U66" s="11" t="str"/>
      <x:c r="V66" s="12" t="str"/>
      <x:c r="W66" s="11" t="str"/>
      <x:c r="X66" s="11" t="str"/>
      <x:c r="Y66" s="3" t="str">
        <x:v>Nguồn: backend/src/modules/consultations/consultations.routes.ts:12. Độ dài JS/Zod dùng UTF-16; fixture ASCII để cô lập boundary. Optional min=0: Min−1 không áp dụng vì không có độ dài âm.</x:v>
      </x:c>
    </x:row>
    <x:row r="67" ht="62" customHeight="1">
      <x:c r="A67" s="3" t="n">
        <x:v>66</x:v>
      </x:c>
      <x:c r="B67" s="3" t="str">
        <x:v>TC_CONSULT_057</x:v>
      </x:c>
      <x:c r="C67" s="3" t="str">
        <x:v>CONSULT</x:v>
      </x:c>
      <x:c r="D67" s="3" t="str">
        <x:v>Boundary interestedField</x:v>
      </x:c>
      <x:c r="E67" s="3" t="str">
        <x:v>Boundary interestedField</x:v>
      </x:c>
      <x:c r="F67" s="3" t="str">
        <x:v>Boundary — POST BACKEND /api/public/consultations: interestedField Max+1 (191)</x:v>
      </x:c>
      <x:c r="G67" s="3" t="str">
        <x:v>POST BACKEND /api/public/consultations: interestedField Max+1 (191)</x:v>
      </x:c>
      <x:c r="H67" s="3" t="str">
        <x:v>CON-001</x:v>
      </x:c>
      <x:c r="I67" s="3" t="str">
        <x:v>Khách truy cập</x:v>
      </x:c>
      <x:c r="J67" s="3" t="str">
        <x:v>Boundary</x:v>
      </x:c>
      <x:c r="K67" s="3" t="str">
        <x:v>Medium</x:v>
      </x:c>
      <x:c r="L67" s="3" t="str">
        <x:v>Medium</x:v>
      </x:c>
      <x:c r="M67" s="3" t="str">
        <x:v>Môi trường QA cô lập, DB/MinIO sẵn sàng; dữ liệu fixture đã tạo. Không đăng nhập.</x:v>
      </x:c>
      <x:c r="N67" s="3" t="str">
        <x:v>"a" lặp 191 lần, không có khoảng trắng. Fixture CONSULT</x:v>
      </x:c>
      <x:c r="O67" s="3" t="str">
        <x:v>1. Chuẩn bị fixture CONSULT, các trường khác hợp lệ và ID/slug mới
2. Thay riêng interestedField theo Test Data
3. Gửi POST BACKEND /api/public/consultations
4. Kiểm tra response và DB</x:v>
      </x:c>
      <x:c r="P67" s="3" t="str">
        <x:v>Từ chối độ dài interestedField=191; HTTP 400 kỳ vọng, không đổi DB. Nếu CMS/Zod.parse trả 500, ghi defect hợp đồng lỗi.</x:v>
      </x:c>
      <x:c r="Q67" s="11" t="str"/>
      <x:c r="R67" s="8" t="str">
        <x:v>NOT RUN</x:v>
      </x:c>
      <x:c r="S67" s="11" t="str">
        <x:v>QA/UAT — cần điền URL/build</x:v>
      </x:c>
      <x:c r="T67" s="11" t="str">
        <x:v>Cần điền phiên bản thực</x:v>
      </x:c>
      <x:c r="U67" s="11" t="str"/>
      <x:c r="V67" s="12" t="str"/>
      <x:c r="W67" s="11" t="str"/>
      <x:c r="X67" s="11" t="str"/>
      <x:c r="Y67" s="3" t="str">
        <x:v>Nguồn: backend/src/modules/consultations/consultations.routes.ts:12. Độ dài JS/Zod dùng UTF-16; fixture ASCII để cô lập boundary. Optional min=0: Min−1 không áp dụng vì không có độ dài âm.</x:v>
      </x:c>
    </x:row>
    <x:row r="68" ht="62" customHeight="1">
      <x:c r="A68" s="3" t="n">
        <x:v>67</x:v>
      </x:c>
      <x:c r="B68" s="3" t="str">
        <x:v>TC_CONSULT_058</x:v>
      </x:c>
      <x:c r="C68" s="3" t="str">
        <x:v>CONSULT</x:v>
      </x:c>
      <x:c r="D68" s="3" t="str">
        <x:v>Boundary preferredTime</x:v>
      </x:c>
      <x:c r="E68" s="3" t="str">
        <x:v>Boundary preferredTime</x:v>
      </x:c>
      <x:c r="F68" s="3" t="str">
        <x:v>Boundary — POST BACKEND /api/public/consultations: preferredTime Min (0)</x:v>
      </x:c>
      <x:c r="G68" s="3" t="str">
        <x:v>POST BACKEND /api/public/consultations: preferredTime Min (0)</x:v>
      </x:c>
      <x:c r="H68" s="3" t="str">
        <x:v>CON-001</x:v>
      </x:c>
      <x:c r="I68" s="3" t="str">
        <x:v>Khách truy cập</x:v>
      </x:c>
      <x:c r="J68" s="3" t="str">
        <x:v>Boundary</x:v>
      </x:c>
      <x:c r="K68" s="3" t="str">
        <x:v>Medium</x:v>
      </x:c>
      <x:c r="L68" s="3" t="str">
        <x:v>Medium</x:v>
      </x:c>
      <x:c r="M68" s="3" t="str">
        <x:v>Môi trường QA cô lập, DB/MinIO sẵn sàng; dữ liệu fixture đã tạo. Không đăng nhập.</x:v>
      </x:c>
      <x:c r="N68" s="3" t="str">
        <x:v>"a" lặp 0 lần, không có khoảng trắng. Fixture CONSULT</x:v>
      </x:c>
      <x:c r="O68" s="3" t="str">
        <x:v>1. Chuẩn bị fixture CONSULT, các trường khác hợp lệ và ID/slug mới
2. Thay riêng preferredTime theo Test Data
3. Gửi POST BACKEND /api/public/consultations
4. Kiểm tra response và DB</x:v>
      </x:c>
      <x:c r="P68" s="3" t="str">
        <x:v>Qua validation độ dài preferredTime; HTTP 201; trường preferredTime được lưu đúng 0 ký tự.</x:v>
      </x:c>
      <x:c r="Q68" s="11" t="str"/>
      <x:c r="R68" s="8" t="str">
        <x:v>NOT RUN</x:v>
      </x:c>
      <x:c r="S68" s="11" t="str">
        <x:v>QA/UAT — cần điền URL/build</x:v>
      </x:c>
      <x:c r="T68" s="11" t="str">
        <x:v>Cần điền phiên bản thực</x:v>
      </x:c>
      <x:c r="U68" s="11" t="str"/>
      <x:c r="V68" s="12" t="str"/>
      <x:c r="W68" s="11" t="str"/>
      <x:c r="X68" s="11" t="str"/>
      <x:c r="Y68" s="3" t="str">
        <x:v>Nguồn: backend/src/modules/consultations/consultations.routes.ts:14. Độ dài JS/Zod dùng UTF-16; fixture ASCII để cô lập boundary. Optional min=0: Min−1 không áp dụng vì không có độ dài âm.</x:v>
      </x:c>
    </x:row>
    <x:row r="69" ht="62" customHeight="1">
      <x:c r="A69" s="3" t="n">
        <x:v>68</x:v>
      </x:c>
      <x:c r="B69" s="3" t="str">
        <x:v>TC_CONSULT_059</x:v>
      </x:c>
      <x:c r="C69" s="3" t="str">
        <x:v>CONSULT</x:v>
      </x:c>
      <x:c r="D69" s="3" t="str">
        <x:v>Boundary preferredTime</x:v>
      </x:c>
      <x:c r="E69" s="3" t="str">
        <x:v>Boundary preferredTime</x:v>
      </x:c>
      <x:c r="F69" s="3" t="str">
        <x:v>Boundary — POST BACKEND /api/public/consultations: preferredTime Min+1 (1)</x:v>
      </x:c>
      <x:c r="G69" s="3" t="str">
        <x:v>POST BACKEND /api/public/consultations: preferredTime Min+1 (1)</x:v>
      </x:c>
      <x:c r="H69" s="3" t="str">
        <x:v>CON-001</x:v>
      </x:c>
      <x:c r="I69" s="3" t="str">
        <x:v>Khách truy cập</x:v>
      </x:c>
      <x:c r="J69" s="3" t="str">
        <x:v>Boundary</x:v>
      </x:c>
      <x:c r="K69" s="3" t="str">
        <x:v>Medium</x:v>
      </x:c>
      <x:c r="L69" s="3" t="str">
        <x:v>Medium</x:v>
      </x:c>
      <x:c r="M69" s="3" t="str">
        <x:v>Môi trường QA cô lập, DB/MinIO sẵn sàng; dữ liệu fixture đã tạo. Không đăng nhập.</x:v>
      </x:c>
      <x:c r="N69" s="3" t="str">
        <x:v>"a" lặp 1 lần, không có khoảng trắng. Fixture CONSULT</x:v>
      </x:c>
      <x:c r="O69" s="3" t="str">
        <x:v>1. Chuẩn bị fixture CONSULT, các trường khác hợp lệ và ID/slug mới
2. Thay riêng preferredTime theo Test Data
3. Gửi POST BACKEND /api/public/consultations
4. Kiểm tra response và DB</x:v>
      </x:c>
      <x:c r="P69" s="3" t="str">
        <x:v>Qua validation độ dài preferredTime; HTTP 201; trường preferredTime được lưu đúng 1 ký tự.</x:v>
      </x:c>
      <x:c r="Q69" s="11" t="str"/>
      <x:c r="R69" s="8" t="str">
        <x:v>NOT RUN</x:v>
      </x:c>
      <x:c r="S69" s="11" t="str">
        <x:v>QA/UAT — cần điền URL/build</x:v>
      </x:c>
      <x:c r="T69" s="11" t="str">
        <x:v>Cần điền phiên bản thực</x:v>
      </x:c>
      <x:c r="U69" s="11" t="str"/>
      <x:c r="V69" s="12" t="str"/>
      <x:c r="W69" s="11" t="str"/>
      <x:c r="X69" s="11" t="str"/>
      <x:c r="Y69" s="3" t="str">
        <x:v>Nguồn: backend/src/modules/consultations/consultations.routes.ts:14. Độ dài JS/Zod dùng UTF-16; fixture ASCII để cô lập boundary. Optional min=0: Min−1 không áp dụng vì không có độ dài âm.</x:v>
      </x:c>
    </x:row>
    <x:row r="70" ht="62" customHeight="1">
      <x:c r="A70" s="3" t="n">
        <x:v>69</x:v>
      </x:c>
      <x:c r="B70" s="3" t="str">
        <x:v>TC_CONSULT_060</x:v>
      </x:c>
      <x:c r="C70" s="3" t="str">
        <x:v>CONSULT</x:v>
      </x:c>
      <x:c r="D70" s="3" t="str">
        <x:v>Boundary preferredTime</x:v>
      </x:c>
      <x:c r="E70" s="3" t="str">
        <x:v>Boundary preferredTime</x:v>
      </x:c>
      <x:c r="F70" s="3" t="str">
        <x:v>Boundary — POST BACKEND /api/public/consultations: preferredTime Max−1 (49)</x:v>
      </x:c>
      <x:c r="G70" s="3" t="str">
        <x:v>POST BACKEND /api/public/consultations: preferredTime Max−1 (49)</x:v>
      </x:c>
      <x:c r="H70" s="3" t="str">
        <x:v>CON-001</x:v>
      </x:c>
      <x:c r="I70" s="3" t="str">
        <x:v>Khách truy cập</x:v>
      </x:c>
      <x:c r="J70" s="3" t="str">
        <x:v>Boundary</x:v>
      </x:c>
      <x:c r="K70" s="3" t="str">
        <x:v>Medium</x:v>
      </x:c>
      <x:c r="L70" s="3" t="str">
        <x:v>Medium</x:v>
      </x:c>
      <x:c r="M70" s="3" t="str">
        <x:v>Môi trường QA cô lập, DB/MinIO sẵn sàng; dữ liệu fixture đã tạo. Không đăng nhập.</x:v>
      </x:c>
      <x:c r="N70" s="3" t="str">
        <x:v>"a" lặp 49 lần, không có khoảng trắng. Fixture CONSULT</x:v>
      </x:c>
      <x:c r="O70" s="3" t="str">
        <x:v>1. Chuẩn bị fixture CONSULT, các trường khác hợp lệ và ID/slug mới
2. Thay riêng preferredTime theo Test Data
3. Gửi POST BACKEND /api/public/consultations
4. Kiểm tra response và DB</x:v>
      </x:c>
      <x:c r="P70" s="3" t="str">
        <x:v>Qua validation độ dài preferredTime; HTTP 201; trường preferredTime được lưu đúng 49 ký tự.</x:v>
      </x:c>
      <x:c r="Q70" s="11" t="str"/>
      <x:c r="R70" s="8" t="str">
        <x:v>NOT RUN</x:v>
      </x:c>
      <x:c r="S70" s="11" t="str">
        <x:v>QA/UAT — cần điền URL/build</x:v>
      </x:c>
      <x:c r="T70" s="11" t="str">
        <x:v>Cần điền phiên bản thực</x:v>
      </x:c>
      <x:c r="U70" s="11" t="str"/>
      <x:c r="V70" s="12" t="str"/>
      <x:c r="W70" s="11" t="str"/>
      <x:c r="X70" s="11" t="str"/>
      <x:c r="Y70" s="3" t="str">
        <x:v>Nguồn: backend/src/modules/consultations/consultations.routes.ts:14. Độ dài JS/Zod dùng UTF-16; fixture ASCII để cô lập boundary. Optional min=0: Min−1 không áp dụng vì không có độ dài âm.</x:v>
      </x:c>
    </x:row>
    <x:row r="71" ht="62" customHeight="1">
      <x:c r="A71" s="3" t="n">
        <x:v>70</x:v>
      </x:c>
      <x:c r="B71" s="3" t="str">
        <x:v>TC_CONSULT_061</x:v>
      </x:c>
      <x:c r="C71" s="3" t="str">
        <x:v>CONSULT</x:v>
      </x:c>
      <x:c r="D71" s="3" t="str">
        <x:v>Boundary preferredTime</x:v>
      </x:c>
      <x:c r="E71" s="3" t="str">
        <x:v>Boundary preferredTime</x:v>
      </x:c>
      <x:c r="F71" s="3" t="str">
        <x:v>Boundary — POST BACKEND /api/public/consultations: preferredTime Max (50)</x:v>
      </x:c>
      <x:c r="G71" s="3" t="str">
        <x:v>POST BACKEND /api/public/consultations: preferredTime Max (50)</x:v>
      </x:c>
      <x:c r="H71" s="3" t="str">
        <x:v>CON-001</x:v>
      </x:c>
      <x:c r="I71" s="3" t="str">
        <x:v>Khách truy cập</x:v>
      </x:c>
      <x:c r="J71" s="3" t="str">
        <x:v>Boundary</x:v>
      </x:c>
      <x:c r="K71" s="3" t="str">
        <x:v>Medium</x:v>
      </x:c>
      <x:c r="L71" s="3" t="str">
        <x:v>Medium</x:v>
      </x:c>
      <x:c r="M71" s="3" t="str">
        <x:v>Môi trường QA cô lập, DB/MinIO sẵn sàng; dữ liệu fixture đã tạo. Không đăng nhập.</x:v>
      </x:c>
      <x:c r="N71" s="3" t="str">
        <x:v>"a" lặp 50 lần, không có khoảng trắng. Fixture CONSULT</x:v>
      </x:c>
      <x:c r="O71" s="3" t="str">
        <x:v>1. Chuẩn bị fixture CONSULT, các trường khác hợp lệ và ID/slug mới
2. Thay riêng preferredTime theo Test Data
3. Gửi POST BACKEND /api/public/consultations
4. Kiểm tra response và DB</x:v>
      </x:c>
      <x:c r="P71" s="3" t="str">
        <x:v>Qua validation độ dài preferredTime; HTTP 201; trường preferredTime được lưu đúng 50 ký tự.</x:v>
      </x:c>
      <x:c r="Q71" s="11" t="str"/>
      <x:c r="R71" s="8" t="str">
        <x:v>NOT RUN</x:v>
      </x:c>
      <x:c r="S71" s="11" t="str">
        <x:v>QA/UAT — cần điền URL/build</x:v>
      </x:c>
      <x:c r="T71" s="11" t="str">
        <x:v>Cần điền phiên bản thực</x:v>
      </x:c>
      <x:c r="U71" s="11" t="str"/>
      <x:c r="V71" s="12" t="str"/>
      <x:c r="W71" s="11" t="str"/>
      <x:c r="X71" s="11" t="str"/>
      <x:c r="Y71" s="3" t="str">
        <x:v>Nguồn: backend/src/modules/consultations/consultations.routes.ts:14. Độ dài JS/Zod dùng UTF-16; fixture ASCII để cô lập boundary. Optional min=0: Min−1 không áp dụng vì không có độ dài âm.</x:v>
      </x:c>
    </x:row>
    <x:row r="72" ht="62" customHeight="1">
      <x:c r="A72" s="3" t="n">
        <x:v>71</x:v>
      </x:c>
      <x:c r="B72" s="3" t="str">
        <x:v>TC_CONSULT_062</x:v>
      </x:c>
      <x:c r="C72" s="3" t="str">
        <x:v>CONSULT</x:v>
      </x:c>
      <x:c r="D72" s="3" t="str">
        <x:v>Boundary preferredTime</x:v>
      </x:c>
      <x:c r="E72" s="3" t="str">
        <x:v>Boundary preferredTime</x:v>
      </x:c>
      <x:c r="F72" s="3" t="str">
        <x:v>Boundary — POST BACKEND /api/public/consultations: preferredTime Max+1 (51)</x:v>
      </x:c>
      <x:c r="G72" s="3" t="str">
        <x:v>POST BACKEND /api/public/consultations: preferredTime Max+1 (51)</x:v>
      </x:c>
      <x:c r="H72" s="3" t="str">
        <x:v>CON-001</x:v>
      </x:c>
      <x:c r="I72" s="3" t="str">
        <x:v>Khách truy cập</x:v>
      </x:c>
      <x:c r="J72" s="3" t="str">
        <x:v>Boundary</x:v>
      </x:c>
      <x:c r="K72" s="3" t="str">
        <x:v>Medium</x:v>
      </x:c>
      <x:c r="L72" s="3" t="str">
        <x:v>Medium</x:v>
      </x:c>
      <x:c r="M72" s="3" t="str">
        <x:v>Môi trường QA cô lập, DB/MinIO sẵn sàng; dữ liệu fixture đã tạo. Không đăng nhập.</x:v>
      </x:c>
      <x:c r="N72" s="3" t="str">
        <x:v>"a" lặp 51 lần, không có khoảng trắng. Fixture CONSULT</x:v>
      </x:c>
      <x:c r="O72" s="3" t="str">
        <x:v>1. Chuẩn bị fixture CONSULT, các trường khác hợp lệ và ID/slug mới
2. Thay riêng preferredTime theo Test Data
3. Gửi POST BACKEND /api/public/consultations
4. Kiểm tra response và DB</x:v>
      </x:c>
      <x:c r="P72" s="3" t="str">
        <x:v>Từ chối độ dài preferredTime=51; HTTP 400 kỳ vọng, không đổi DB. Nếu CMS/Zod.parse trả 500, ghi defect hợp đồng lỗi.</x:v>
      </x:c>
      <x:c r="Q72" s="11" t="str"/>
      <x:c r="R72" s="8" t="str">
        <x:v>NOT RUN</x:v>
      </x:c>
      <x:c r="S72" s="11" t="str">
        <x:v>QA/UAT — cần điền URL/build</x:v>
      </x:c>
      <x:c r="T72" s="11" t="str">
        <x:v>Cần điền phiên bản thực</x:v>
      </x:c>
      <x:c r="U72" s="11" t="str"/>
      <x:c r="V72" s="12" t="str"/>
      <x:c r="W72" s="11" t="str"/>
      <x:c r="X72" s="11" t="str"/>
      <x:c r="Y72" s="3" t="str">
        <x:v>Nguồn: backend/src/modules/consultations/consultations.routes.ts:14. Độ dài JS/Zod dùng UTF-16; fixture ASCII để cô lập boundary. Optional min=0: Min−1 không áp dụng vì không có độ dài âm.</x:v>
      </x:c>
    </x:row>
    <x:row r="73" ht="62" customHeight="1">
      <x:c r="A73" s="3" t="n">
        <x:v>72</x:v>
      </x:c>
      <x:c r="B73" s="3" t="str">
        <x:v>TC_CONSULT_063</x:v>
      </x:c>
      <x:c r="C73" s="3" t="str">
        <x:v>CONSULT</x:v>
      </x:c>
      <x:c r="D73" s="3" t="str">
        <x:v>Boundary consultationMethod</x:v>
      </x:c>
      <x:c r="E73" s="3" t="str">
        <x:v>Boundary consultationMethod</x:v>
      </x:c>
      <x:c r="F73" s="3" t="str">
        <x:v>Boundary — POST BACKEND /api/public/consultations: consultationMethod Min (0)</x:v>
      </x:c>
      <x:c r="G73" s="3" t="str">
        <x:v>POST BACKEND /api/public/consultations: consultationMethod Min (0)</x:v>
      </x:c>
      <x:c r="H73" s="3" t="str">
        <x:v>CON-001</x:v>
      </x:c>
      <x:c r="I73" s="3" t="str">
        <x:v>Khách truy cập</x:v>
      </x:c>
      <x:c r="J73" s="3" t="str">
        <x:v>Boundary</x:v>
      </x:c>
      <x:c r="K73" s="3" t="str">
        <x:v>Medium</x:v>
      </x:c>
      <x:c r="L73" s="3" t="str">
        <x:v>Medium</x:v>
      </x:c>
      <x:c r="M73" s="3" t="str">
        <x:v>Môi trường QA cô lập, DB/MinIO sẵn sàng; dữ liệu fixture đã tạo. Không đăng nhập.</x:v>
      </x:c>
      <x:c r="N73" s="3" t="str">
        <x:v>"a" lặp 0 lần, không có khoảng trắng. Fixture CONSULT</x:v>
      </x:c>
      <x:c r="O73" s="3" t="str">
        <x:v>1. Chuẩn bị fixture CONSULT, các trường khác hợp lệ và ID/slug mới
2. Thay riêng consultationMethod theo Test Data
3. Gửi POST BACKEND /api/public/consultations
4. Kiểm tra response và DB</x:v>
      </x:c>
      <x:c r="P73" s="3" t="str">
        <x:v>Qua validation độ dài consultationMethod; HTTP 201; trường consultationMethod được lưu đúng 0 ký tự.</x:v>
      </x:c>
      <x:c r="Q73" s="11" t="str"/>
      <x:c r="R73" s="8" t="str">
        <x:v>NOT RUN</x:v>
      </x:c>
      <x:c r="S73" s="11" t="str">
        <x:v>QA/UAT — cần điền URL/build</x:v>
      </x:c>
      <x:c r="T73" s="11" t="str">
        <x:v>Cần điền phiên bản thực</x:v>
      </x:c>
      <x:c r="U73" s="11" t="str"/>
      <x:c r="V73" s="12" t="str"/>
      <x:c r="W73" s="11" t="str"/>
      <x:c r="X73" s="11" t="str"/>
      <x:c r="Y73" s="3" t="str">
        <x:v>Nguồn: backend/src/modules/consultations/consultations.routes.ts:15. Độ dài JS/Zod dùng UTF-16; fixture ASCII để cô lập boundary. Optional min=0: Min−1 không áp dụng vì không có độ dài âm.</x:v>
      </x:c>
    </x:row>
    <x:row r="74" ht="62" customHeight="1">
      <x:c r="A74" s="3" t="n">
        <x:v>73</x:v>
      </x:c>
      <x:c r="B74" s="3" t="str">
        <x:v>TC_CONSULT_064</x:v>
      </x:c>
      <x:c r="C74" s="3" t="str">
        <x:v>CONSULT</x:v>
      </x:c>
      <x:c r="D74" s="3" t="str">
        <x:v>Boundary consultationMethod</x:v>
      </x:c>
      <x:c r="E74" s="3" t="str">
        <x:v>Boundary consultationMethod</x:v>
      </x:c>
      <x:c r="F74" s="3" t="str">
        <x:v>Boundary — POST BACKEND /api/public/consultations: consultationMethod Min+1 (1)</x:v>
      </x:c>
      <x:c r="G74" s="3" t="str">
        <x:v>POST BACKEND /api/public/consultations: consultationMethod Min+1 (1)</x:v>
      </x:c>
      <x:c r="H74" s="3" t="str">
        <x:v>CON-001</x:v>
      </x:c>
      <x:c r="I74" s="3" t="str">
        <x:v>Khách truy cập</x:v>
      </x:c>
      <x:c r="J74" s="3" t="str">
        <x:v>Boundary</x:v>
      </x:c>
      <x:c r="K74" s="3" t="str">
        <x:v>Medium</x:v>
      </x:c>
      <x:c r="L74" s="3" t="str">
        <x:v>Medium</x:v>
      </x:c>
      <x:c r="M74" s="3" t="str">
        <x:v>Môi trường QA cô lập, DB/MinIO sẵn sàng; dữ liệu fixture đã tạo. Không đăng nhập.</x:v>
      </x:c>
      <x:c r="N74" s="3" t="str">
        <x:v>"a" lặp 1 lần, không có khoảng trắng. Fixture CONSULT</x:v>
      </x:c>
      <x:c r="O74" s="3" t="str">
        <x:v>1. Chuẩn bị fixture CONSULT, các trường khác hợp lệ và ID/slug mới
2. Thay riêng consultationMethod theo Test Data
3. Gửi POST BACKEND /api/public/consultations
4. Kiểm tra response và DB</x:v>
      </x:c>
      <x:c r="P74" s="3" t="str">
        <x:v>Qua validation độ dài consultationMethod; HTTP 201; trường consultationMethod được lưu đúng 1 ký tự.</x:v>
      </x:c>
      <x:c r="Q74" s="11" t="str"/>
      <x:c r="R74" s="8" t="str">
        <x:v>NOT RUN</x:v>
      </x:c>
      <x:c r="S74" s="11" t="str">
        <x:v>QA/UAT — cần điền URL/build</x:v>
      </x:c>
      <x:c r="T74" s="11" t="str">
        <x:v>Cần điền phiên bản thực</x:v>
      </x:c>
      <x:c r="U74" s="11" t="str"/>
      <x:c r="V74" s="12" t="str"/>
      <x:c r="W74" s="11" t="str"/>
      <x:c r="X74" s="11" t="str"/>
      <x:c r="Y74" s="3" t="str">
        <x:v>Nguồn: backend/src/modules/consultations/consultations.routes.ts:15. Độ dài JS/Zod dùng UTF-16; fixture ASCII để cô lập boundary. Optional min=0: Min−1 không áp dụng vì không có độ dài âm.</x:v>
      </x:c>
    </x:row>
    <x:row r="75" ht="62" customHeight="1">
      <x:c r="A75" s="3" t="n">
        <x:v>74</x:v>
      </x:c>
      <x:c r="B75" s="3" t="str">
        <x:v>TC_CONSULT_065</x:v>
      </x:c>
      <x:c r="C75" s="3" t="str">
        <x:v>CONSULT</x:v>
      </x:c>
      <x:c r="D75" s="3" t="str">
        <x:v>Boundary consultationMethod</x:v>
      </x:c>
      <x:c r="E75" s="3" t="str">
        <x:v>Boundary consultationMethod</x:v>
      </x:c>
      <x:c r="F75" s="3" t="str">
        <x:v>Boundary — POST BACKEND /api/public/consultations: consultationMethod Max−1 (49)</x:v>
      </x:c>
      <x:c r="G75" s="3" t="str">
        <x:v>POST BACKEND /api/public/consultations: consultationMethod Max−1 (49)</x:v>
      </x:c>
      <x:c r="H75" s="3" t="str">
        <x:v>CON-001</x:v>
      </x:c>
      <x:c r="I75" s="3" t="str">
        <x:v>Khách truy cập</x:v>
      </x:c>
      <x:c r="J75" s="3" t="str">
        <x:v>Boundary</x:v>
      </x:c>
      <x:c r="K75" s="3" t="str">
        <x:v>Medium</x:v>
      </x:c>
      <x:c r="L75" s="3" t="str">
        <x:v>Medium</x:v>
      </x:c>
      <x:c r="M75" s="3" t="str">
        <x:v>Môi trường QA cô lập, DB/MinIO sẵn sàng; dữ liệu fixture đã tạo. Không đăng nhập.</x:v>
      </x:c>
      <x:c r="N75" s="3" t="str">
        <x:v>"a" lặp 49 lần, không có khoảng trắng. Fixture CONSULT</x:v>
      </x:c>
      <x:c r="O75" s="3" t="str">
        <x:v>1. Chuẩn bị fixture CONSULT, các trường khác hợp lệ và ID/slug mới
2. Thay riêng consultationMethod theo Test Data
3. Gửi POST BACKEND /api/public/consultations
4. Kiểm tra response và DB</x:v>
      </x:c>
      <x:c r="P75" s="3" t="str">
        <x:v>Qua validation độ dài consultationMethod; HTTP 201; trường consultationMethod được lưu đúng 49 ký tự.</x:v>
      </x:c>
      <x:c r="Q75" s="11" t="str"/>
      <x:c r="R75" s="8" t="str">
        <x:v>NOT RUN</x:v>
      </x:c>
      <x:c r="S75" s="11" t="str">
        <x:v>QA/UAT — cần điền URL/build</x:v>
      </x:c>
      <x:c r="T75" s="11" t="str">
        <x:v>Cần điền phiên bản thực</x:v>
      </x:c>
      <x:c r="U75" s="11" t="str"/>
      <x:c r="V75" s="12" t="str"/>
      <x:c r="W75" s="11" t="str"/>
      <x:c r="X75" s="11" t="str"/>
      <x:c r="Y75" s="3" t="str">
        <x:v>Nguồn: backend/src/modules/consultations/consultations.routes.ts:15. Độ dài JS/Zod dùng UTF-16; fixture ASCII để cô lập boundary. Optional min=0: Min−1 không áp dụng vì không có độ dài âm.</x:v>
      </x:c>
    </x:row>
    <x:row r="76" ht="62" customHeight="1">
      <x:c r="A76" s="3" t="n">
        <x:v>75</x:v>
      </x:c>
      <x:c r="B76" s="3" t="str">
        <x:v>TC_CONSULT_066</x:v>
      </x:c>
      <x:c r="C76" s="3" t="str">
        <x:v>CONSULT</x:v>
      </x:c>
      <x:c r="D76" s="3" t="str">
        <x:v>Boundary consultationMethod</x:v>
      </x:c>
      <x:c r="E76" s="3" t="str">
        <x:v>Boundary consultationMethod</x:v>
      </x:c>
      <x:c r="F76" s="3" t="str">
        <x:v>Boundary — POST BACKEND /api/public/consultations: consultationMethod Max (50)</x:v>
      </x:c>
      <x:c r="G76" s="3" t="str">
        <x:v>POST BACKEND /api/public/consultations: consultationMethod Max (50)</x:v>
      </x:c>
      <x:c r="H76" s="3" t="str">
        <x:v>CON-001</x:v>
      </x:c>
      <x:c r="I76" s="3" t="str">
        <x:v>Khách truy cập</x:v>
      </x:c>
      <x:c r="J76" s="3" t="str">
        <x:v>Boundary</x:v>
      </x:c>
      <x:c r="K76" s="3" t="str">
        <x:v>Medium</x:v>
      </x:c>
      <x:c r="L76" s="3" t="str">
        <x:v>Medium</x:v>
      </x:c>
      <x:c r="M76" s="3" t="str">
        <x:v>Môi trường QA cô lập, DB/MinIO sẵn sàng; dữ liệu fixture đã tạo. Không đăng nhập.</x:v>
      </x:c>
      <x:c r="N76" s="3" t="str">
        <x:v>"a" lặp 50 lần, không có khoảng trắng. Fixture CONSULT</x:v>
      </x:c>
      <x:c r="O76" s="3" t="str">
        <x:v>1. Chuẩn bị fixture CONSULT, các trường khác hợp lệ và ID/slug mới
2. Thay riêng consultationMethod theo Test Data
3. Gửi POST BACKEND /api/public/consultations
4. Kiểm tra response và DB</x:v>
      </x:c>
      <x:c r="P76" s="3" t="str">
        <x:v>Qua validation độ dài consultationMethod; HTTP 201; trường consultationMethod được lưu đúng 50 ký tự.</x:v>
      </x:c>
      <x:c r="Q76" s="11" t="str"/>
      <x:c r="R76" s="8" t="str">
        <x:v>NOT RUN</x:v>
      </x:c>
      <x:c r="S76" s="11" t="str">
        <x:v>QA/UAT — cần điền URL/build</x:v>
      </x:c>
      <x:c r="T76" s="11" t="str">
        <x:v>Cần điền phiên bản thực</x:v>
      </x:c>
      <x:c r="U76" s="11" t="str"/>
      <x:c r="V76" s="12" t="str"/>
      <x:c r="W76" s="11" t="str"/>
      <x:c r="X76" s="11" t="str"/>
      <x:c r="Y76" s="3" t="str">
        <x:v>Nguồn: backend/src/modules/consultations/consultations.routes.ts:15. Độ dài JS/Zod dùng UTF-16; fixture ASCII để cô lập boundary. Optional min=0: Min−1 không áp dụng vì không có độ dài âm.</x:v>
      </x:c>
    </x:row>
    <x:row r="77" ht="62" customHeight="1">
      <x:c r="A77" s="3" t="n">
        <x:v>76</x:v>
      </x:c>
      <x:c r="B77" s="3" t="str">
        <x:v>TC_CONSULT_067</x:v>
      </x:c>
      <x:c r="C77" s="3" t="str">
        <x:v>CONSULT</x:v>
      </x:c>
      <x:c r="D77" s="3" t="str">
        <x:v>Boundary consultationMethod</x:v>
      </x:c>
      <x:c r="E77" s="3" t="str">
        <x:v>Boundary consultationMethod</x:v>
      </x:c>
      <x:c r="F77" s="3" t="str">
        <x:v>Boundary — POST BACKEND /api/public/consultations: consultationMethod Max+1 (51)</x:v>
      </x:c>
      <x:c r="G77" s="3" t="str">
        <x:v>POST BACKEND /api/public/consultations: consultationMethod Max+1 (51)</x:v>
      </x:c>
      <x:c r="H77" s="3" t="str">
        <x:v>CON-001</x:v>
      </x:c>
      <x:c r="I77" s="3" t="str">
        <x:v>Khách truy cập</x:v>
      </x:c>
      <x:c r="J77" s="3" t="str">
        <x:v>Boundary</x:v>
      </x:c>
      <x:c r="K77" s="3" t="str">
        <x:v>Medium</x:v>
      </x:c>
      <x:c r="L77" s="3" t="str">
        <x:v>Medium</x:v>
      </x:c>
      <x:c r="M77" s="3" t="str">
        <x:v>Môi trường QA cô lập, DB/MinIO sẵn sàng; dữ liệu fixture đã tạo. Không đăng nhập.</x:v>
      </x:c>
      <x:c r="N77" s="3" t="str">
        <x:v>"a" lặp 51 lần, không có khoảng trắng. Fixture CONSULT</x:v>
      </x:c>
      <x:c r="O77" s="3" t="str">
        <x:v>1. Chuẩn bị fixture CONSULT, các trường khác hợp lệ và ID/slug mới
2. Thay riêng consultationMethod theo Test Data
3. Gửi POST BACKEND /api/public/consultations
4. Kiểm tra response và DB</x:v>
      </x:c>
      <x:c r="P77" s="3" t="str">
        <x:v>Từ chối độ dài consultationMethod=51; HTTP 400 kỳ vọng, không đổi DB. Nếu CMS/Zod.parse trả 500, ghi defect hợp đồng lỗi.</x:v>
      </x:c>
      <x:c r="Q77" s="11" t="str"/>
      <x:c r="R77" s="8" t="str">
        <x:v>NOT RUN</x:v>
      </x:c>
      <x:c r="S77" s="11" t="str">
        <x:v>QA/UAT — cần điền URL/build</x:v>
      </x:c>
      <x:c r="T77" s="11" t="str">
        <x:v>Cần điền phiên bản thực</x:v>
      </x:c>
      <x:c r="U77" s="11" t="str"/>
      <x:c r="V77" s="12" t="str"/>
      <x:c r="W77" s="11" t="str"/>
      <x:c r="X77" s="11" t="str"/>
      <x:c r="Y77" s="3" t="str">
        <x:v>Nguồn: backend/src/modules/consultations/consultations.routes.ts:15. Độ dài JS/Zod dùng UTF-16; fixture ASCII để cô lập boundary. Optional min=0: Min−1 không áp dụng vì không có độ dài âm.</x:v>
      </x:c>
    </x:row>
    <x:row r="78" ht="62" customHeight="1">
      <x:c r="A78" s="3" t="n">
        <x:v>77</x:v>
      </x:c>
      <x:c r="B78" s="3" t="str">
        <x:v>TC_CONSULT_068</x:v>
      </x:c>
      <x:c r="C78" s="3" t="str">
        <x:v>CONSULT</x:v>
      </x:c>
      <x:c r="D78" s="3" t="str">
        <x:v>Boundary message</x:v>
      </x:c>
      <x:c r="E78" s="3" t="str">
        <x:v>Boundary message</x:v>
      </x:c>
      <x:c r="F78" s="3" t="str">
        <x:v>Boundary — POST BACKEND /api/public/consultations: message Min (0)</x:v>
      </x:c>
      <x:c r="G78" s="3" t="str">
        <x:v>POST BACKEND /api/public/consultations: message Min (0)</x:v>
      </x:c>
      <x:c r="H78" s="3" t="str">
        <x:v>CON-001</x:v>
      </x:c>
      <x:c r="I78" s="3" t="str">
        <x:v>Khách truy cập</x:v>
      </x:c>
      <x:c r="J78" s="3" t="str">
        <x:v>Boundary</x:v>
      </x:c>
      <x:c r="K78" s="3" t="str">
        <x:v>Medium</x:v>
      </x:c>
      <x:c r="L78" s="3" t="str">
        <x:v>Medium</x:v>
      </x:c>
      <x:c r="M78" s="3" t="str">
        <x:v>Môi trường QA cô lập, DB/MinIO sẵn sàng; dữ liệu fixture đã tạo. Không đăng nhập.</x:v>
      </x:c>
      <x:c r="N78" s="3" t="str">
        <x:v>"a" lặp 0 lần, không có khoảng trắng. Fixture CONSULT</x:v>
      </x:c>
      <x:c r="O78" s="3" t="str">
        <x:v>1. Chuẩn bị fixture CONSULT, các trường khác hợp lệ và ID/slug mới
2. Thay riêng message theo Test Data
3. Gửi POST BACKEND /api/public/consultations
4. Kiểm tra response và DB</x:v>
      </x:c>
      <x:c r="P78" s="3" t="str">
        <x:v>Qua validation độ dài message; HTTP 201; trường message được lưu đúng 0 ký tự.</x:v>
      </x:c>
      <x:c r="Q78" s="11" t="str"/>
      <x:c r="R78" s="8" t="str">
        <x:v>NOT RUN</x:v>
      </x:c>
      <x:c r="S78" s="11" t="str">
        <x:v>QA/UAT — cần điền URL/build</x:v>
      </x:c>
      <x:c r="T78" s="11" t="str">
        <x:v>Cần điền phiên bản thực</x:v>
      </x:c>
      <x:c r="U78" s="11" t="str"/>
      <x:c r="V78" s="12" t="str"/>
      <x:c r="W78" s="11" t="str"/>
      <x:c r="X78" s="11" t="str"/>
      <x:c r="Y78" s="3" t="str">
        <x:v>Nguồn: backend/src/modules/consultations/consultations.routes.ts:16. Độ dài JS/Zod dùng UTF-16; fixture ASCII để cô lập boundary. Optional min=0: Min−1 không áp dụng vì không có độ dài âm.</x:v>
      </x:c>
    </x:row>
    <x:row r="79" ht="62" customHeight="1">
      <x:c r="A79" s="3" t="n">
        <x:v>78</x:v>
      </x:c>
      <x:c r="B79" s="3" t="str">
        <x:v>TC_CONSULT_069</x:v>
      </x:c>
      <x:c r="C79" s="3" t="str">
        <x:v>CONSULT</x:v>
      </x:c>
      <x:c r="D79" s="3" t="str">
        <x:v>Boundary message</x:v>
      </x:c>
      <x:c r="E79" s="3" t="str">
        <x:v>Boundary message</x:v>
      </x:c>
      <x:c r="F79" s="3" t="str">
        <x:v>Boundary — POST BACKEND /api/public/consultations: message Min+1 (1)</x:v>
      </x:c>
      <x:c r="G79" s="3" t="str">
        <x:v>POST BACKEND /api/public/consultations: message Min+1 (1)</x:v>
      </x:c>
      <x:c r="H79" s="3" t="str">
        <x:v>CON-001</x:v>
      </x:c>
      <x:c r="I79" s="3" t="str">
        <x:v>Khách truy cập</x:v>
      </x:c>
      <x:c r="J79" s="3" t="str">
        <x:v>Boundary</x:v>
      </x:c>
      <x:c r="K79" s="3" t="str">
        <x:v>Medium</x:v>
      </x:c>
      <x:c r="L79" s="3" t="str">
        <x:v>Medium</x:v>
      </x:c>
      <x:c r="M79" s="3" t="str">
        <x:v>Môi trường QA cô lập, DB/MinIO sẵn sàng; dữ liệu fixture đã tạo. Không đăng nhập.</x:v>
      </x:c>
      <x:c r="N79" s="3" t="str">
        <x:v>"a" lặp 1 lần, không có khoảng trắng. Fixture CONSULT</x:v>
      </x:c>
      <x:c r="O79" s="3" t="str">
        <x:v>1. Chuẩn bị fixture CONSULT, các trường khác hợp lệ và ID/slug mới
2. Thay riêng message theo Test Data
3. Gửi POST BACKEND /api/public/consultations
4. Kiểm tra response và DB</x:v>
      </x:c>
      <x:c r="P79" s="3" t="str">
        <x:v>Qua validation độ dài message; HTTP 201; trường message được lưu đúng 1 ký tự.</x:v>
      </x:c>
      <x:c r="Q79" s="11" t="str"/>
      <x:c r="R79" s="8" t="str">
        <x:v>NOT RUN</x:v>
      </x:c>
      <x:c r="S79" s="11" t="str">
        <x:v>QA/UAT — cần điền URL/build</x:v>
      </x:c>
      <x:c r="T79" s="11" t="str">
        <x:v>Cần điền phiên bản thực</x:v>
      </x:c>
      <x:c r="U79" s="11" t="str"/>
      <x:c r="V79" s="12" t="str"/>
      <x:c r="W79" s="11" t="str"/>
      <x:c r="X79" s="11" t="str"/>
      <x:c r="Y79" s="3" t="str">
        <x:v>Nguồn: backend/src/modules/consultations/consultations.routes.ts:16. Độ dài JS/Zod dùng UTF-16; fixture ASCII để cô lập boundary. Optional min=0: Min−1 không áp dụng vì không có độ dài âm.</x:v>
      </x:c>
    </x:row>
    <x:row r="80" ht="62" customHeight="1">
      <x:c r="A80" s="3" t="n">
        <x:v>79</x:v>
      </x:c>
      <x:c r="B80" s="3" t="str">
        <x:v>TC_CONSULT_070</x:v>
      </x:c>
      <x:c r="C80" s="3" t="str">
        <x:v>CONSULT</x:v>
      </x:c>
      <x:c r="D80" s="3" t="str">
        <x:v>Boundary message</x:v>
      </x:c>
      <x:c r="E80" s="3" t="str">
        <x:v>Boundary message</x:v>
      </x:c>
      <x:c r="F80" s="3" t="str">
        <x:v>Boundary — POST BACKEND /api/public/consultations: message Max−1 (2999)</x:v>
      </x:c>
      <x:c r="G80" s="3" t="str">
        <x:v>POST BACKEND /api/public/consultations: message Max−1 (2999)</x:v>
      </x:c>
      <x:c r="H80" s="3" t="str">
        <x:v>CON-001</x:v>
      </x:c>
      <x:c r="I80" s="3" t="str">
        <x:v>Khách truy cập</x:v>
      </x:c>
      <x:c r="J80" s="3" t="str">
        <x:v>Boundary</x:v>
      </x:c>
      <x:c r="K80" s="3" t="str">
        <x:v>Medium</x:v>
      </x:c>
      <x:c r="L80" s="3" t="str">
        <x:v>Medium</x:v>
      </x:c>
      <x:c r="M80" s="3" t="str">
        <x:v>Môi trường QA cô lập, DB/MinIO sẵn sàng; dữ liệu fixture đã tạo. Không đăng nhập.</x:v>
      </x:c>
      <x:c r="N80" s="3" t="str">
        <x:v>"a" lặp 2999 lần, không có khoảng trắng. Fixture CONSULT</x:v>
      </x:c>
      <x:c r="O80" s="3" t="str">
        <x:v>1. Chuẩn bị fixture CONSULT, các trường khác hợp lệ và ID/slug mới
2. Thay riêng message theo Test Data
3. Gửi POST BACKEND /api/public/consultations
4. Kiểm tra response và DB</x:v>
      </x:c>
      <x:c r="P80" s="3" t="str">
        <x:v>Qua validation độ dài message; HTTP 201; trường message được lưu đúng 2999 ký tự.</x:v>
      </x:c>
      <x:c r="Q80" s="11" t="str"/>
      <x:c r="R80" s="8" t="str">
        <x:v>NOT RUN</x:v>
      </x:c>
      <x:c r="S80" s="11" t="str">
        <x:v>QA/UAT — cần điền URL/build</x:v>
      </x:c>
      <x:c r="T80" s="11" t="str">
        <x:v>Cần điền phiên bản thực</x:v>
      </x:c>
      <x:c r="U80" s="11" t="str"/>
      <x:c r="V80" s="12" t="str"/>
      <x:c r="W80" s="11" t="str"/>
      <x:c r="X80" s="11" t="str"/>
      <x:c r="Y80" s="3" t="str">
        <x:v>Nguồn: backend/src/modules/consultations/consultations.routes.ts:16. Độ dài JS/Zod dùng UTF-16; fixture ASCII để cô lập boundary. Optional min=0: Min−1 không áp dụng vì không có độ dài âm.</x:v>
      </x:c>
    </x:row>
    <x:row r="81" ht="62" customHeight="1">
      <x:c r="A81" s="3" t="n">
        <x:v>80</x:v>
      </x:c>
      <x:c r="B81" s="3" t="str">
        <x:v>TC_CONSULT_071</x:v>
      </x:c>
      <x:c r="C81" s="3" t="str">
        <x:v>CONSULT</x:v>
      </x:c>
      <x:c r="D81" s="3" t="str">
        <x:v>Boundary message</x:v>
      </x:c>
      <x:c r="E81" s="3" t="str">
        <x:v>Boundary message</x:v>
      </x:c>
      <x:c r="F81" s="3" t="str">
        <x:v>Boundary — POST BACKEND /api/public/consultations: message Max (3000)</x:v>
      </x:c>
      <x:c r="G81" s="3" t="str">
        <x:v>POST BACKEND /api/public/consultations: message Max (3000)</x:v>
      </x:c>
      <x:c r="H81" s="3" t="str">
        <x:v>CON-001</x:v>
      </x:c>
      <x:c r="I81" s="3" t="str">
        <x:v>Khách truy cập</x:v>
      </x:c>
      <x:c r="J81" s="3" t="str">
        <x:v>Boundary</x:v>
      </x:c>
      <x:c r="K81" s="3" t="str">
        <x:v>Medium</x:v>
      </x:c>
      <x:c r="L81" s="3" t="str">
        <x:v>Medium</x:v>
      </x:c>
      <x:c r="M81" s="3" t="str">
        <x:v>Môi trường QA cô lập, DB/MinIO sẵn sàng; dữ liệu fixture đã tạo. Không đăng nhập.</x:v>
      </x:c>
      <x:c r="N81" s="3" t="str">
        <x:v>"a" lặp 3000 lần, không có khoảng trắng. Fixture CONSULT</x:v>
      </x:c>
      <x:c r="O81" s="3" t="str">
        <x:v>1. Chuẩn bị fixture CONSULT, các trường khác hợp lệ và ID/slug mới
2. Thay riêng message theo Test Data
3. Gửi POST BACKEND /api/public/consultations
4. Kiểm tra response và DB</x:v>
      </x:c>
      <x:c r="P81" s="3" t="str">
        <x:v>Qua validation độ dài message; HTTP 201; trường message được lưu đúng 3000 ký tự.</x:v>
      </x:c>
      <x:c r="Q81" s="11" t="str"/>
      <x:c r="R81" s="8" t="str">
        <x:v>NOT RUN</x:v>
      </x:c>
      <x:c r="S81" s="11" t="str">
        <x:v>QA/UAT — cần điền URL/build</x:v>
      </x:c>
      <x:c r="T81" s="11" t="str">
        <x:v>Cần điền phiên bản thực</x:v>
      </x:c>
      <x:c r="U81" s="11" t="str"/>
      <x:c r="V81" s="12" t="str"/>
      <x:c r="W81" s="11" t="str"/>
      <x:c r="X81" s="11" t="str"/>
      <x:c r="Y81" s="3" t="str">
        <x:v>Nguồn: backend/src/modules/consultations/consultations.routes.ts:16. Độ dài JS/Zod dùng UTF-16; fixture ASCII để cô lập boundary. Optional min=0: Min−1 không áp dụng vì không có độ dài âm.</x:v>
      </x:c>
    </x:row>
    <x:row r="82" ht="62" customHeight="1">
      <x:c r="A82" s="3" t="n">
        <x:v>81</x:v>
      </x:c>
      <x:c r="B82" s="3" t="str">
        <x:v>TC_CONSULT_072</x:v>
      </x:c>
      <x:c r="C82" s="3" t="str">
        <x:v>CONSULT</x:v>
      </x:c>
      <x:c r="D82" s="3" t="str">
        <x:v>Boundary message</x:v>
      </x:c>
      <x:c r="E82" s="3" t="str">
        <x:v>Boundary message</x:v>
      </x:c>
      <x:c r="F82" s="3" t="str">
        <x:v>Boundary — POST BACKEND /api/public/consultations: message Max+1 (3001)</x:v>
      </x:c>
      <x:c r="G82" s="3" t="str">
        <x:v>POST BACKEND /api/public/consultations: message Max+1 (3001)</x:v>
      </x:c>
      <x:c r="H82" s="3" t="str">
        <x:v>CON-001</x:v>
      </x:c>
      <x:c r="I82" s="3" t="str">
        <x:v>Khách truy cập</x:v>
      </x:c>
      <x:c r="J82" s="3" t="str">
        <x:v>Boundary</x:v>
      </x:c>
      <x:c r="K82" s="3" t="str">
        <x:v>Medium</x:v>
      </x:c>
      <x:c r="L82" s="3" t="str">
        <x:v>Medium</x:v>
      </x:c>
      <x:c r="M82" s="3" t="str">
        <x:v>Môi trường QA cô lập, DB/MinIO sẵn sàng; dữ liệu fixture đã tạo. Không đăng nhập.</x:v>
      </x:c>
      <x:c r="N82" s="3" t="str">
        <x:v>"a" lặp 3001 lần, không có khoảng trắng. Fixture CONSULT</x:v>
      </x:c>
      <x:c r="O82" s="3" t="str">
        <x:v>1. Chuẩn bị fixture CONSULT, các trường khác hợp lệ và ID/slug mới
2. Thay riêng message theo Test Data
3. Gửi POST BACKEND /api/public/consultations
4. Kiểm tra response và DB</x:v>
      </x:c>
      <x:c r="P82" s="3" t="str">
        <x:v>Từ chối độ dài message=3001; HTTP 400 kỳ vọng, không đổi DB. Nếu CMS/Zod.parse trả 500, ghi defect hợp đồng lỗi.</x:v>
      </x:c>
      <x:c r="Q82" s="11" t="str"/>
      <x:c r="R82" s="8" t="str">
        <x:v>NOT RUN</x:v>
      </x:c>
      <x:c r="S82" s="11" t="str">
        <x:v>QA/UAT — cần điền URL/build</x:v>
      </x:c>
      <x:c r="T82" s="11" t="str">
        <x:v>Cần điền phiên bản thực</x:v>
      </x:c>
      <x:c r="U82" s="11" t="str"/>
      <x:c r="V82" s="12" t="str"/>
      <x:c r="W82" s="11" t="str"/>
      <x:c r="X82" s="11" t="str"/>
      <x:c r="Y82" s="3" t="str">
        <x:v>Nguồn: backend/src/modules/consultations/consultations.routes.ts:16. Độ dài JS/Zod dùng UTF-16; fixture ASCII để cô lập boundary. Optional min=0: Min−1 không áp dụng vì không có độ dài âm.</x:v>
      </x:c>
    </x:row>
    <x:row r="83" ht="62" customHeight="1">
      <x:c r="A83" s="3" t="n">
        <x:v>82</x:v>
      </x:c>
      <x:c r="B83" s="3" t="str">
        <x:v>TC_CONSULT_073</x:v>
      </x:c>
      <x:c r="C83" s="3" t="str">
        <x:v>CONSULT</x:v>
      </x:c>
      <x:c r="D83" s="3" t="str">
        <x:v>Boundary sourcePage</x:v>
      </x:c>
      <x:c r="E83" s="3" t="str">
        <x:v>Boundary sourcePage</x:v>
      </x:c>
      <x:c r="F83" s="3" t="str">
        <x:v>Boundary — POST BACKEND /api/public/consultations: sourcePage Min (0)</x:v>
      </x:c>
      <x:c r="G83" s="3" t="str">
        <x:v>POST BACKEND /api/public/consultations: sourcePage Min (0)</x:v>
      </x:c>
      <x:c r="H83" s="3" t="str">
        <x:v>CON-001</x:v>
      </x:c>
      <x:c r="I83" s="3" t="str">
        <x:v>Khách truy cập</x:v>
      </x:c>
      <x:c r="J83" s="3" t="str">
        <x:v>Boundary</x:v>
      </x:c>
      <x:c r="K83" s="3" t="str">
        <x:v>Medium</x:v>
      </x:c>
      <x:c r="L83" s="3" t="str">
        <x:v>Medium</x:v>
      </x:c>
      <x:c r="M83" s="3" t="str">
        <x:v>Môi trường QA cô lập, DB/MinIO sẵn sàng; dữ liệu fixture đã tạo. Không đăng nhập.</x:v>
      </x:c>
      <x:c r="N83" s="3" t="str">
        <x:v>"a" lặp 0 lần, không có khoảng trắng. Fixture CONSULT</x:v>
      </x:c>
      <x:c r="O83" s="3" t="str">
        <x:v>1. Chuẩn bị fixture CONSULT, các trường khác hợp lệ và ID/slug mới
2. Thay riêng sourcePage theo Test Data
3. Gửi POST BACKEND /api/public/consultations
4. Kiểm tra response và DB</x:v>
      </x:c>
      <x:c r="P83" s="3" t="str">
        <x:v>Qua validation độ dài sourcePage; HTTP 201; trường sourcePage được lưu đúng 0 ký tự.</x:v>
      </x:c>
      <x:c r="Q83" s="11" t="str"/>
      <x:c r="R83" s="8" t="str">
        <x:v>NOT RUN</x:v>
      </x:c>
      <x:c r="S83" s="11" t="str">
        <x:v>QA/UAT — cần điền URL/build</x:v>
      </x:c>
      <x:c r="T83" s="11" t="str">
        <x:v>Cần điền phiên bản thực</x:v>
      </x:c>
      <x:c r="U83" s="11" t="str"/>
      <x:c r="V83" s="12" t="str"/>
      <x:c r="W83" s="11" t="str"/>
      <x:c r="X83" s="11" t="str"/>
      <x:c r="Y83" s="3" t="str">
        <x:v>Nguồn: backend/src/modules/consultations/consultations.routes.ts:17. Độ dài JS/Zod dùng UTF-16; fixture ASCII để cô lập boundary. Optional min=0: Min−1 không áp dụng vì không có độ dài âm.</x:v>
      </x:c>
    </x:row>
    <x:row r="84" ht="62" customHeight="1">
      <x:c r="A84" s="3" t="n">
        <x:v>83</x:v>
      </x:c>
      <x:c r="B84" s="3" t="str">
        <x:v>TC_CONSULT_074</x:v>
      </x:c>
      <x:c r="C84" s="3" t="str">
        <x:v>CONSULT</x:v>
      </x:c>
      <x:c r="D84" s="3" t="str">
        <x:v>Boundary sourcePage</x:v>
      </x:c>
      <x:c r="E84" s="3" t="str">
        <x:v>Boundary sourcePage</x:v>
      </x:c>
      <x:c r="F84" s="3" t="str">
        <x:v>Boundary — POST BACKEND /api/public/consultations: sourcePage Min+1 (1)</x:v>
      </x:c>
      <x:c r="G84" s="3" t="str">
        <x:v>POST BACKEND /api/public/consultations: sourcePage Min+1 (1)</x:v>
      </x:c>
      <x:c r="H84" s="3" t="str">
        <x:v>CON-001</x:v>
      </x:c>
      <x:c r="I84" s="3" t="str">
        <x:v>Khách truy cập</x:v>
      </x:c>
      <x:c r="J84" s="3" t="str">
        <x:v>Boundary</x:v>
      </x:c>
      <x:c r="K84" s="3" t="str">
        <x:v>Medium</x:v>
      </x:c>
      <x:c r="L84" s="3" t="str">
        <x:v>Medium</x:v>
      </x:c>
      <x:c r="M84" s="3" t="str">
        <x:v>Môi trường QA cô lập, DB/MinIO sẵn sàng; dữ liệu fixture đã tạo. Không đăng nhập.</x:v>
      </x:c>
      <x:c r="N84" s="3" t="str">
        <x:v>"a" lặp 1 lần, không có khoảng trắng. Fixture CONSULT</x:v>
      </x:c>
      <x:c r="O84" s="3" t="str">
        <x:v>1. Chuẩn bị fixture CONSULT, các trường khác hợp lệ và ID/slug mới
2. Thay riêng sourcePage theo Test Data
3. Gửi POST BACKEND /api/public/consultations
4. Kiểm tra response và DB</x:v>
      </x:c>
      <x:c r="P84" s="3" t="str">
        <x:v>Qua validation độ dài sourcePage; HTTP 201; trường sourcePage được lưu đúng 1 ký tự.</x:v>
      </x:c>
      <x:c r="Q84" s="11" t="str"/>
      <x:c r="R84" s="8" t="str">
        <x:v>NOT RUN</x:v>
      </x:c>
      <x:c r="S84" s="11" t="str">
        <x:v>QA/UAT — cần điền URL/build</x:v>
      </x:c>
      <x:c r="T84" s="11" t="str">
        <x:v>Cần điền phiên bản thực</x:v>
      </x:c>
      <x:c r="U84" s="11" t="str"/>
      <x:c r="V84" s="12" t="str"/>
      <x:c r="W84" s="11" t="str"/>
      <x:c r="X84" s="11" t="str"/>
      <x:c r="Y84" s="3" t="str">
        <x:v>Nguồn: backend/src/modules/consultations/consultations.routes.ts:17. Độ dài JS/Zod dùng UTF-16; fixture ASCII để cô lập boundary. Optional min=0: Min−1 không áp dụng vì không có độ dài âm.</x:v>
      </x:c>
    </x:row>
    <x:row r="85" ht="62" customHeight="1">
      <x:c r="A85" s="3" t="n">
        <x:v>84</x:v>
      </x:c>
      <x:c r="B85" s="3" t="str">
        <x:v>TC_CONSULT_075</x:v>
      </x:c>
      <x:c r="C85" s="3" t="str">
        <x:v>CONSULT</x:v>
      </x:c>
      <x:c r="D85" s="3" t="str">
        <x:v>Boundary sourcePage</x:v>
      </x:c>
      <x:c r="E85" s="3" t="str">
        <x:v>Boundary sourcePage</x:v>
      </x:c>
      <x:c r="F85" s="3" t="str">
        <x:v>Boundary — POST BACKEND /api/public/consultations: sourcePage Max−1 (499)</x:v>
      </x:c>
      <x:c r="G85" s="3" t="str">
        <x:v>POST BACKEND /api/public/consultations: sourcePage Max−1 (499)</x:v>
      </x:c>
      <x:c r="H85" s="3" t="str">
        <x:v>CON-001</x:v>
      </x:c>
      <x:c r="I85" s="3" t="str">
        <x:v>Khách truy cập</x:v>
      </x:c>
      <x:c r="J85" s="3" t="str">
        <x:v>Boundary</x:v>
      </x:c>
      <x:c r="K85" s="3" t="str">
        <x:v>Medium</x:v>
      </x:c>
      <x:c r="L85" s="3" t="str">
        <x:v>Medium</x:v>
      </x:c>
      <x:c r="M85" s="3" t="str">
        <x:v>Môi trường QA cô lập, DB/MinIO sẵn sàng; dữ liệu fixture đã tạo. Không đăng nhập.</x:v>
      </x:c>
      <x:c r="N85" s="3" t="str">
        <x:v>"a" lặp 499 lần, không có khoảng trắng. Fixture CONSULT</x:v>
      </x:c>
      <x:c r="O85" s="3" t="str">
        <x:v>1. Chuẩn bị fixture CONSULT, các trường khác hợp lệ và ID/slug mới
2. Thay riêng sourcePage theo Test Data
3. Gửi POST BACKEND /api/public/consultations
4. Kiểm tra response và DB</x:v>
      </x:c>
      <x:c r="P85" s="3" t="str">
        <x:v>Qua validation độ dài sourcePage; HTTP 201; trường sourcePage được lưu đúng 499 ký tự.</x:v>
      </x:c>
      <x:c r="Q85" s="11" t="str"/>
      <x:c r="R85" s="8" t="str">
        <x:v>NOT RUN</x:v>
      </x:c>
      <x:c r="S85" s="11" t="str">
        <x:v>QA/UAT — cần điền URL/build</x:v>
      </x:c>
      <x:c r="T85" s="11" t="str">
        <x:v>Cần điền phiên bản thực</x:v>
      </x:c>
      <x:c r="U85" s="11" t="str"/>
      <x:c r="V85" s="12" t="str"/>
      <x:c r="W85" s="11" t="str"/>
      <x:c r="X85" s="11" t="str"/>
      <x:c r="Y85" s="3" t="str">
        <x:v>Nguồn: backend/src/modules/consultations/consultations.routes.ts:17. Độ dài JS/Zod dùng UTF-16; fixture ASCII để cô lập boundary. Optional min=0: Min−1 không áp dụng vì không có độ dài âm.</x:v>
      </x:c>
    </x:row>
    <x:row r="86" ht="62" customHeight="1">
      <x:c r="A86" s="3" t="n">
        <x:v>85</x:v>
      </x:c>
      <x:c r="B86" s="3" t="str">
        <x:v>TC_CONSULT_076</x:v>
      </x:c>
      <x:c r="C86" s="3" t="str">
        <x:v>CONSULT</x:v>
      </x:c>
      <x:c r="D86" s="3" t="str">
        <x:v>Boundary sourcePage</x:v>
      </x:c>
      <x:c r="E86" s="3" t="str">
        <x:v>Boundary sourcePage</x:v>
      </x:c>
      <x:c r="F86" s="3" t="str">
        <x:v>Boundary — POST BACKEND /api/public/consultations: sourcePage Max (500)</x:v>
      </x:c>
      <x:c r="G86" s="3" t="str">
        <x:v>POST BACKEND /api/public/consultations: sourcePage Max (500)</x:v>
      </x:c>
      <x:c r="H86" s="3" t="str">
        <x:v>CON-001</x:v>
      </x:c>
      <x:c r="I86" s="3" t="str">
        <x:v>Khách truy cập</x:v>
      </x:c>
      <x:c r="J86" s="3" t="str">
        <x:v>Boundary</x:v>
      </x:c>
      <x:c r="K86" s="3" t="str">
        <x:v>Medium</x:v>
      </x:c>
      <x:c r="L86" s="3" t="str">
        <x:v>Medium</x:v>
      </x:c>
      <x:c r="M86" s="3" t="str">
        <x:v>Môi trường QA cô lập, DB/MinIO sẵn sàng; dữ liệu fixture đã tạo. Không đăng nhập.</x:v>
      </x:c>
      <x:c r="N86" s="3" t="str">
        <x:v>"a" lặp 500 lần, không có khoảng trắng. Fixture CONSULT</x:v>
      </x:c>
      <x:c r="O86" s="3" t="str">
        <x:v>1. Chuẩn bị fixture CONSULT, các trường khác hợp lệ và ID/slug mới
2. Thay riêng sourcePage theo Test Data
3. Gửi POST BACKEND /api/public/consultations
4. Kiểm tra response và DB</x:v>
      </x:c>
      <x:c r="P86" s="3" t="str">
        <x:v>Qua validation độ dài sourcePage; HTTP 201; trường sourcePage được lưu đúng 500 ký tự.</x:v>
      </x:c>
      <x:c r="Q86" s="11" t="str"/>
      <x:c r="R86" s="8" t="str">
        <x:v>NOT RUN</x:v>
      </x:c>
      <x:c r="S86" s="11" t="str">
        <x:v>QA/UAT — cần điền URL/build</x:v>
      </x:c>
      <x:c r="T86" s="11" t="str">
        <x:v>Cần điền phiên bản thực</x:v>
      </x:c>
      <x:c r="U86" s="11" t="str"/>
      <x:c r="V86" s="12" t="str"/>
      <x:c r="W86" s="11" t="str"/>
      <x:c r="X86" s="11" t="str"/>
      <x:c r="Y86" s="3" t="str">
        <x:v>Nguồn: backend/src/modules/consultations/consultations.routes.ts:17. Độ dài JS/Zod dùng UTF-16; fixture ASCII để cô lập boundary. Optional min=0: Min−1 không áp dụng vì không có độ dài âm.</x:v>
      </x:c>
    </x:row>
    <x:row r="87" ht="62" customHeight="1">
      <x:c r="A87" s="3" t="n">
        <x:v>86</x:v>
      </x:c>
      <x:c r="B87" s="3" t="str">
        <x:v>TC_CONSULT_077</x:v>
      </x:c>
      <x:c r="C87" s="3" t="str">
        <x:v>CONSULT</x:v>
      </x:c>
      <x:c r="D87" s="3" t="str">
        <x:v>Boundary sourcePage</x:v>
      </x:c>
      <x:c r="E87" s="3" t="str">
        <x:v>Boundary sourcePage</x:v>
      </x:c>
      <x:c r="F87" s="3" t="str">
        <x:v>Boundary — POST BACKEND /api/public/consultations: sourcePage Max+1 (501)</x:v>
      </x:c>
      <x:c r="G87" s="3" t="str">
        <x:v>POST BACKEND /api/public/consultations: sourcePage Max+1 (501)</x:v>
      </x:c>
      <x:c r="H87" s="3" t="str">
        <x:v>CON-001</x:v>
      </x:c>
      <x:c r="I87" s="3" t="str">
        <x:v>Khách truy cập</x:v>
      </x:c>
      <x:c r="J87" s="3" t="str">
        <x:v>Boundary</x:v>
      </x:c>
      <x:c r="K87" s="3" t="str">
        <x:v>Medium</x:v>
      </x:c>
      <x:c r="L87" s="3" t="str">
        <x:v>Medium</x:v>
      </x:c>
      <x:c r="M87" s="3" t="str">
        <x:v>Môi trường QA cô lập, DB/MinIO sẵn sàng; dữ liệu fixture đã tạo. Không đăng nhập.</x:v>
      </x:c>
      <x:c r="N87" s="3" t="str">
        <x:v>"a" lặp 501 lần, không có khoảng trắng. Fixture CONSULT</x:v>
      </x:c>
      <x:c r="O87" s="3" t="str">
        <x:v>1. Chuẩn bị fixture CONSULT, các trường khác hợp lệ và ID/slug mới
2. Thay riêng sourcePage theo Test Data
3. Gửi POST BACKEND /api/public/consultations
4. Kiểm tra response và DB</x:v>
      </x:c>
      <x:c r="P87" s="3" t="str">
        <x:v>Từ chối độ dài sourcePage=501; HTTP 400 kỳ vọng, không đổi DB. Nếu CMS/Zod.parse trả 500, ghi defect hợp đồng lỗi.</x:v>
      </x:c>
      <x:c r="Q87" s="11" t="str"/>
      <x:c r="R87" s="8" t="str">
        <x:v>NOT RUN</x:v>
      </x:c>
      <x:c r="S87" s="11" t="str">
        <x:v>QA/UAT — cần điền URL/build</x:v>
      </x:c>
      <x:c r="T87" s="11" t="str">
        <x:v>Cần điền phiên bản thực</x:v>
      </x:c>
      <x:c r="U87" s="11" t="str"/>
      <x:c r="V87" s="12" t="str"/>
      <x:c r="W87" s="11" t="str"/>
      <x:c r="X87" s="11" t="str"/>
      <x:c r="Y87" s="3" t="str">
        <x:v>Nguồn: backend/src/modules/consultations/consultations.routes.ts:17. Độ dài JS/Zod dùng UTF-16; fixture ASCII để cô lập boundary. Optional min=0: Min−1 không áp dụng vì không có độ dài âm.</x:v>
      </x:c>
    </x:row>
    <x:row r="88" ht="62" customHeight="1">
      <x:c r="A88" s="3" t="n">
        <x:v>87</x:v>
      </x:c>
      <x:c r="B88" s="3" t="str">
        <x:v>TC_CONSULT_078</x:v>
      </x:c>
      <x:c r="C88" s="3" t="str">
        <x:v>CONSULT</x:v>
      </x:c>
      <x:c r="D88" s="3" t="str">
        <x:v>Boundary sourceComponent</x:v>
      </x:c>
      <x:c r="E88" s="3" t="str">
        <x:v>Boundary sourceComponent</x:v>
      </x:c>
      <x:c r="F88" s="3" t="str">
        <x:v>Boundary — POST BACKEND /api/public/consultations: sourceComponent Min (0)</x:v>
      </x:c>
      <x:c r="G88" s="3" t="str">
        <x:v>POST BACKEND /api/public/consultations: sourceComponent Min (0)</x:v>
      </x:c>
      <x:c r="H88" s="3" t="str">
        <x:v>CON-001</x:v>
      </x:c>
      <x:c r="I88" s="3" t="str">
        <x:v>Khách truy cập</x:v>
      </x:c>
      <x:c r="J88" s="3" t="str">
        <x:v>Boundary</x:v>
      </x:c>
      <x:c r="K88" s="3" t="str">
        <x:v>Medium</x:v>
      </x:c>
      <x:c r="L88" s="3" t="str">
        <x:v>Medium</x:v>
      </x:c>
      <x:c r="M88" s="3" t="str">
        <x:v>Môi trường QA cô lập, DB/MinIO sẵn sàng; dữ liệu fixture đã tạo. Không đăng nhập.</x:v>
      </x:c>
      <x:c r="N88" s="3" t="str">
        <x:v>"a" lặp 0 lần, không có khoảng trắng. Fixture CONSULT</x:v>
      </x:c>
      <x:c r="O88" s="3" t="str">
        <x:v>1. Chuẩn bị fixture CONSULT, các trường khác hợp lệ và ID/slug mới
2. Thay riêng sourceComponent theo Test Data
3. Gửi POST BACKEND /api/public/consultations
4. Kiểm tra response và DB</x:v>
      </x:c>
      <x:c r="P88" s="3" t="str">
        <x:v>Qua validation độ dài sourceComponent; HTTP 201; trường sourceComponent được lưu đúng 0 ký tự.</x:v>
      </x:c>
      <x:c r="Q88" s="11" t="str"/>
      <x:c r="R88" s="8" t="str">
        <x:v>NOT RUN</x:v>
      </x:c>
      <x:c r="S88" s="11" t="str">
        <x:v>QA/UAT — cần điền URL/build</x:v>
      </x:c>
      <x:c r="T88" s="11" t="str">
        <x:v>Cần điền phiên bản thực</x:v>
      </x:c>
      <x:c r="U88" s="11" t="str"/>
      <x:c r="V88" s="12" t="str"/>
      <x:c r="W88" s="11" t="str"/>
      <x:c r="X88" s="11" t="str"/>
      <x:c r="Y88" s="3" t="str">
        <x:v>Nguồn: backend/src/modules/consultations/consultations.routes.ts:18. Độ dài JS/Zod dùng UTF-16; fixture ASCII để cô lập boundary. Optional min=0: Min−1 không áp dụng vì không có độ dài âm.</x:v>
      </x:c>
    </x:row>
    <x:row r="89" ht="62" customHeight="1">
      <x:c r="A89" s="3" t="n">
        <x:v>88</x:v>
      </x:c>
      <x:c r="B89" s="3" t="str">
        <x:v>TC_CONSULT_079</x:v>
      </x:c>
      <x:c r="C89" s="3" t="str">
        <x:v>CONSULT</x:v>
      </x:c>
      <x:c r="D89" s="3" t="str">
        <x:v>Boundary sourceComponent</x:v>
      </x:c>
      <x:c r="E89" s="3" t="str">
        <x:v>Boundary sourceComponent</x:v>
      </x:c>
      <x:c r="F89" s="3" t="str">
        <x:v>Boundary — POST BACKEND /api/public/consultations: sourceComponent Min+1 (1)</x:v>
      </x:c>
      <x:c r="G89" s="3" t="str">
        <x:v>POST BACKEND /api/public/consultations: sourceComponent Min+1 (1)</x:v>
      </x:c>
      <x:c r="H89" s="3" t="str">
        <x:v>CON-001</x:v>
      </x:c>
      <x:c r="I89" s="3" t="str">
        <x:v>Khách truy cập</x:v>
      </x:c>
      <x:c r="J89" s="3" t="str">
        <x:v>Boundary</x:v>
      </x:c>
      <x:c r="K89" s="3" t="str">
        <x:v>Medium</x:v>
      </x:c>
      <x:c r="L89" s="3" t="str">
        <x:v>Medium</x:v>
      </x:c>
      <x:c r="M89" s="3" t="str">
        <x:v>Môi trường QA cô lập, DB/MinIO sẵn sàng; dữ liệu fixture đã tạo. Không đăng nhập.</x:v>
      </x:c>
      <x:c r="N89" s="3" t="str">
        <x:v>"a" lặp 1 lần, không có khoảng trắng. Fixture CONSULT</x:v>
      </x:c>
      <x:c r="O89" s="3" t="str">
        <x:v>1. Chuẩn bị fixture CONSULT, các trường khác hợp lệ và ID/slug mới
2. Thay riêng sourceComponent theo Test Data
3. Gửi POST BACKEND /api/public/consultations
4. Kiểm tra response và DB</x:v>
      </x:c>
      <x:c r="P89" s="3" t="str">
        <x:v>Qua validation độ dài sourceComponent; HTTP 201; trường sourceComponent được lưu đúng 1 ký tự.</x:v>
      </x:c>
      <x:c r="Q89" s="11" t="str"/>
      <x:c r="R89" s="8" t="str">
        <x:v>NOT RUN</x:v>
      </x:c>
      <x:c r="S89" s="11" t="str">
        <x:v>QA/UAT — cần điền URL/build</x:v>
      </x:c>
      <x:c r="T89" s="11" t="str">
        <x:v>Cần điền phiên bản thực</x:v>
      </x:c>
      <x:c r="U89" s="11" t="str"/>
      <x:c r="V89" s="12" t="str"/>
      <x:c r="W89" s="11" t="str"/>
      <x:c r="X89" s="11" t="str"/>
      <x:c r="Y89" s="3" t="str">
        <x:v>Nguồn: backend/src/modules/consultations/consultations.routes.ts:18. Độ dài JS/Zod dùng UTF-16; fixture ASCII để cô lập boundary. Optional min=0: Min−1 không áp dụng vì không có độ dài âm.</x:v>
      </x:c>
    </x:row>
    <x:row r="90" ht="62" customHeight="1">
      <x:c r="A90" s="3" t="n">
        <x:v>89</x:v>
      </x:c>
      <x:c r="B90" s="3" t="str">
        <x:v>TC_CONSULT_080</x:v>
      </x:c>
      <x:c r="C90" s="3" t="str">
        <x:v>CONSULT</x:v>
      </x:c>
      <x:c r="D90" s="3" t="str">
        <x:v>Boundary sourceComponent</x:v>
      </x:c>
      <x:c r="E90" s="3" t="str">
        <x:v>Boundary sourceComponent</x:v>
      </x:c>
      <x:c r="F90" s="3" t="str">
        <x:v>Boundary — POST BACKEND /api/public/consultations: sourceComponent Max−1 (119)</x:v>
      </x:c>
      <x:c r="G90" s="3" t="str">
        <x:v>POST BACKEND /api/public/consultations: sourceComponent Max−1 (119)</x:v>
      </x:c>
      <x:c r="H90" s="3" t="str">
        <x:v>CON-001</x:v>
      </x:c>
      <x:c r="I90" s="3" t="str">
        <x:v>Khách truy cập</x:v>
      </x:c>
      <x:c r="J90" s="3" t="str">
        <x:v>Boundary</x:v>
      </x:c>
      <x:c r="K90" s="3" t="str">
        <x:v>Medium</x:v>
      </x:c>
      <x:c r="L90" s="3" t="str">
        <x:v>Medium</x:v>
      </x:c>
      <x:c r="M90" s="3" t="str">
        <x:v>Môi trường QA cô lập, DB/MinIO sẵn sàng; dữ liệu fixture đã tạo. Không đăng nhập.</x:v>
      </x:c>
      <x:c r="N90" s="3" t="str">
        <x:v>"a" lặp 119 lần, không có khoảng trắng. Fixture CONSULT</x:v>
      </x:c>
      <x:c r="O90" s="3" t="str">
        <x:v>1. Chuẩn bị fixture CONSULT, các trường khác hợp lệ và ID/slug mới
2. Thay riêng sourceComponent theo Test Data
3. Gửi POST BACKEND /api/public/consultations
4. Kiểm tra response và DB</x:v>
      </x:c>
      <x:c r="P90" s="3" t="str">
        <x:v>Qua validation độ dài sourceComponent; HTTP 201; trường sourceComponent được lưu đúng 119 ký tự.</x:v>
      </x:c>
      <x:c r="Q90" s="11" t="str"/>
      <x:c r="R90" s="8" t="str">
        <x:v>NOT RUN</x:v>
      </x:c>
      <x:c r="S90" s="11" t="str">
        <x:v>QA/UAT — cần điền URL/build</x:v>
      </x:c>
      <x:c r="T90" s="11" t="str">
        <x:v>Cần điền phiên bản thực</x:v>
      </x:c>
      <x:c r="U90" s="11" t="str"/>
      <x:c r="V90" s="12" t="str"/>
      <x:c r="W90" s="11" t="str"/>
      <x:c r="X90" s="11" t="str"/>
      <x:c r="Y90" s="3" t="str">
        <x:v>Nguồn: backend/src/modules/consultations/consultations.routes.ts:18. Độ dài JS/Zod dùng UTF-16; fixture ASCII để cô lập boundary. Optional min=0: Min−1 không áp dụng vì không có độ dài âm.</x:v>
      </x:c>
    </x:row>
    <x:row r="91" ht="62" customHeight="1">
      <x:c r="A91" s="3" t="n">
        <x:v>90</x:v>
      </x:c>
      <x:c r="B91" s="3" t="str">
        <x:v>TC_CONSULT_081</x:v>
      </x:c>
      <x:c r="C91" s="3" t="str">
        <x:v>CONSULT</x:v>
      </x:c>
      <x:c r="D91" s="3" t="str">
        <x:v>Boundary sourceComponent</x:v>
      </x:c>
      <x:c r="E91" s="3" t="str">
        <x:v>Boundary sourceComponent</x:v>
      </x:c>
      <x:c r="F91" s="3" t="str">
        <x:v>Boundary — POST BACKEND /api/public/consultations: sourceComponent Max (120)</x:v>
      </x:c>
      <x:c r="G91" s="3" t="str">
        <x:v>POST BACKEND /api/public/consultations: sourceComponent Max (120)</x:v>
      </x:c>
      <x:c r="H91" s="3" t="str">
        <x:v>CON-001</x:v>
      </x:c>
      <x:c r="I91" s="3" t="str">
        <x:v>Khách truy cập</x:v>
      </x:c>
      <x:c r="J91" s="3" t="str">
        <x:v>Boundary</x:v>
      </x:c>
      <x:c r="K91" s="3" t="str">
        <x:v>Medium</x:v>
      </x:c>
      <x:c r="L91" s="3" t="str">
        <x:v>Medium</x:v>
      </x:c>
      <x:c r="M91" s="3" t="str">
        <x:v>Môi trường QA cô lập, DB/MinIO sẵn sàng; dữ liệu fixture đã tạo. Không đăng nhập.</x:v>
      </x:c>
      <x:c r="N91" s="3" t="str">
        <x:v>"a" lặp 120 lần, không có khoảng trắng. Fixture CONSULT</x:v>
      </x:c>
      <x:c r="O91" s="3" t="str">
        <x:v>1. Chuẩn bị fixture CONSULT, các trường khác hợp lệ và ID/slug mới
2. Thay riêng sourceComponent theo Test Data
3. Gửi POST BACKEND /api/public/consultations
4. Kiểm tra response và DB</x:v>
      </x:c>
      <x:c r="P91" s="3" t="str">
        <x:v>Qua validation độ dài sourceComponent; HTTP 201; trường sourceComponent được lưu đúng 120 ký tự.</x:v>
      </x:c>
      <x:c r="Q91" s="11" t="str"/>
      <x:c r="R91" s="8" t="str">
        <x:v>NOT RUN</x:v>
      </x:c>
      <x:c r="S91" s="11" t="str">
        <x:v>QA/UAT — cần điền URL/build</x:v>
      </x:c>
      <x:c r="T91" s="11" t="str">
        <x:v>Cần điền phiên bản thực</x:v>
      </x:c>
      <x:c r="U91" s="11" t="str"/>
      <x:c r="V91" s="12" t="str"/>
      <x:c r="W91" s="11" t="str"/>
      <x:c r="X91" s="11" t="str"/>
      <x:c r="Y91" s="3" t="str">
        <x:v>Nguồn: backend/src/modules/consultations/consultations.routes.ts:18. Độ dài JS/Zod dùng UTF-16; fixture ASCII để cô lập boundary. Optional min=0: Min−1 không áp dụng vì không có độ dài âm.</x:v>
      </x:c>
    </x:row>
    <x:row r="92" ht="62" customHeight="1">
      <x:c r="A92" s="3" t="n">
        <x:v>91</x:v>
      </x:c>
      <x:c r="B92" s="3" t="str">
        <x:v>TC_CONSULT_082</x:v>
      </x:c>
      <x:c r="C92" s="3" t="str">
        <x:v>CONSULT</x:v>
      </x:c>
      <x:c r="D92" s="3" t="str">
        <x:v>Boundary sourceComponent</x:v>
      </x:c>
      <x:c r="E92" s="3" t="str">
        <x:v>Boundary sourceComponent</x:v>
      </x:c>
      <x:c r="F92" s="3" t="str">
        <x:v>Boundary — POST BACKEND /api/public/consultations: sourceComponent Max+1 (121)</x:v>
      </x:c>
      <x:c r="G92" s="3" t="str">
        <x:v>POST BACKEND /api/public/consultations: sourceComponent Max+1 (121)</x:v>
      </x:c>
      <x:c r="H92" s="3" t="str">
        <x:v>CON-001</x:v>
      </x:c>
      <x:c r="I92" s="3" t="str">
        <x:v>Khách truy cập</x:v>
      </x:c>
      <x:c r="J92" s="3" t="str">
        <x:v>Boundary</x:v>
      </x:c>
      <x:c r="K92" s="3" t="str">
        <x:v>Medium</x:v>
      </x:c>
      <x:c r="L92" s="3" t="str">
        <x:v>Medium</x:v>
      </x:c>
      <x:c r="M92" s="3" t="str">
        <x:v>Môi trường QA cô lập, DB/MinIO sẵn sàng; dữ liệu fixture đã tạo. Không đăng nhập.</x:v>
      </x:c>
      <x:c r="N92" s="3" t="str">
        <x:v>"a" lặp 121 lần, không có khoảng trắng. Fixture CONSULT</x:v>
      </x:c>
      <x:c r="O92" s="3" t="str">
        <x:v>1. Chuẩn bị fixture CONSULT, các trường khác hợp lệ và ID/slug mới
2. Thay riêng sourceComponent theo Test Data
3. Gửi POST BACKEND /api/public/consultations
4. Kiểm tra response và DB</x:v>
      </x:c>
      <x:c r="P92" s="3" t="str">
        <x:v>Từ chối độ dài sourceComponent=121; HTTP 400 kỳ vọng, không đổi DB. Nếu CMS/Zod.parse trả 500, ghi defect hợp đồng lỗi.</x:v>
      </x:c>
      <x:c r="Q92" s="11" t="str"/>
      <x:c r="R92" s="8" t="str">
        <x:v>NOT RUN</x:v>
      </x:c>
      <x:c r="S92" s="11" t="str">
        <x:v>QA/UAT — cần điền URL/build</x:v>
      </x:c>
      <x:c r="T92" s="11" t="str">
        <x:v>Cần điền phiên bản thực</x:v>
      </x:c>
      <x:c r="U92" s="11" t="str"/>
      <x:c r="V92" s="12" t="str"/>
      <x:c r="W92" s="11" t="str"/>
      <x:c r="X92" s="11" t="str"/>
      <x:c r="Y92" s="3" t="str">
        <x:v>Nguồn: backend/src/modules/consultations/consultations.routes.ts:18. Độ dài JS/Zod dùng UTF-16; fixture ASCII để cô lập boundary. Optional min=0: Min−1 không áp dụng vì không có độ dài âm.</x:v>
      </x:c>
    </x:row>
    <x:row r="93" ht="62" customHeight="1">
      <x:c r="A93" s="3" t="n">
        <x:v>92</x:v>
      </x:c>
      <x:c r="B93" s="3" t="str">
        <x:v>TC_NEWS_031</x:v>
      </x:c>
      <x:c r="C93" s="3" t="str">
        <x:v>NEWS</x:v>
      </x:c>
      <x:c r="D93" s="3" t="str">
        <x:v>Boundary slug</x:v>
      </x:c>
      <x:c r="E93" s="3" t="str">
        <x:v>Boundary slug</x:v>
      </x:c>
      <x:c r="F93" s="3" t="str">
        <x:v>Boundary — POST BACKEND /api/admin/news: slug Min−1 (1)</x:v>
      </x:c>
      <x:c r="G93" s="3" t="str">
        <x:v>POST BACKEND /api/admin/news: slug Min−1 (1)</x:v>
      </x:c>
      <x:c r="H93" s="3" t="str">
        <x:v>NEWS-001</x:v>
      </x:c>
      <x:c r="I93" s="3" t="str">
        <x:v>QTV có quyền tương ứng</x:v>
      </x:c>
      <x:c r="J93" s="3" t="str">
        <x:v>Boundary</x:v>
      </x:c>
      <x:c r="K93" s="3" t="str">
        <x:v>Medium</x:v>
      </x:c>
      <x:c r="L93" s="3" t="str">
        <x:v>Medium</x:v>
      </x:c>
      <x:c r="M93" s="3" t="str">
        <x:v>Môi trường QA cô lập, DB/MinIO sẵn sàng; dữ liệu fixture đã tạo. Đăng nhập tài khoản ACTIVE, mustChangePassword=false.</x:v>
      </x:c>
      <x:c r="N93" s="3" t="str">
        <x:v>"a" lặp 1 lần, không có khoảng trắng. Fixture NEWS</x:v>
      </x:c>
      <x:c r="O93" s="3" t="str">
        <x:v>1. Chuẩn bị fixture NEWS, các trường khác hợp lệ và ID/slug mới
2. Thay riêng slug theo Test Data
3. Gửi POST BACKEND /api/admin/news
4. Kiểm tra response và DB</x:v>
      </x:c>
      <x:c r="P93" s="3" t="str">
        <x:v>Từ chối độ dài slug=1; HTTP 400 kỳ vọng, không đổi DB. Nếu CMS/Zod.parse trả 500, ghi defect hợp đồng lỗi.</x:v>
      </x:c>
      <x:c r="Q93" s="11" t="str"/>
      <x:c r="R93" s="8" t="str">
        <x:v>NOT RUN</x:v>
      </x:c>
      <x:c r="S93" s="11" t="str">
        <x:v>QA/UAT — cần điền URL/build</x:v>
      </x:c>
      <x:c r="T93" s="11" t="str">
        <x:v>Cần điền phiên bản thực</x:v>
      </x:c>
      <x:c r="U93" s="11" t="str"/>
      <x:c r="V93" s="12" t="str"/>
      <x:c r="W93" s="11" t="str"/>
      <x:c r="X93" s="11" t="str"/>
      <x:c r="Y93" s="3" t="str">
        <x:v>Nguồn: backend/src/modules/cms/cms.routes.ts:104. Độ dài JS/Zod dùng UTF-16; fixture ASCII để cô lập boundary. Optional min=0: Min−1 không áp dụng vì không có độ dài âm.</x:v>
      </x:c>
    </x:row>
    <x:row r="94" ht="62" customHeight="1">
      <x:c r="A94" s="3" t="n">
        <x:v>93</x:v>
      </x:c>
      <x:c r="B94" s="3" t="str">
        <x:v>TC_NEWS_032</x:v>
      </x:c>
      <x:c r="C94" s="3" t="str">
        <x:v>NEWS</x:v>
      </x:c>
      <x:c r="D94" s="3" t="str">
        <x:v>Boundary slug</x:v>
      </x:c>
      <x:c r="E94" s="3" t="str">
        <x:v>Boundary slug</x:v>
      </x:c>
      <x:c r="F94" s="3" t="str">
        <x:v>Boundary — POST BACKEND /api/admin/news: slug Min (2)</x:v>
      </x:c>
      <x:c r="G94" s="3" t="str">
        <x:v>POST BACKEND /api/admin/news: slug Min (2)</x:v>
      </x:c>
      <x:c r="H94" s="3" t="str">
        <x:v>NEWS-001</x:v>
      </x:c>
      <x:c r="I94" s="3" t="str">
        <x:v>QTV có quyền tương ứng</x:v>
      </x:c>
      <x:c r="J94" s="3" t="str">
        <x:v>Boundary</x:v>
      </x:c>
      <x:c r="K94" s="3" t="str">
        <x:v>Medium</x:v>
      </x:c>
      <x:c r="L94" s="3" t="str">
        <x:v>Medium</x:v>
      </x:c>
      <x:c r="M94" s="3" t="str">
        <x:v>Môi trường QA cô lập, DB/MinIO sẵn sàng; dữ liệu fixture đã tạo. Đăng nhập tài khoản ACTIVE, mustChangePassword=false.</x:v>
      </x:c>
      <x:c r="N94" s="3" t="str">
        <x:v>"a" lặp 2 lần, không có khoảng trắng. Fixture NEWS</x:v>
      </x:c>
      <x:c r="O94" s="3" t="str">
        <x:v>1. Chuẩn bị fixture NEWS, các trường khác hợp lệ và ID/slug mới
2. Thay riêng slug theo Test Data
3. Gửi POST BACKEND /api/admin/news
4. Kiểm tra response và DB</x:v>
      </x:c>
      <x:c r="P94" s="3" t="str">
        <x:v>Qua validation độ dài slug; HTTP 201; trường slug được lưu đúng 2 ký tự.</x:v>
      </x:c>
      <x:c r="Q94" s="11" t="str"/>
      <x:c r="R94" s="8" t="str">
        <x:v>NOT RUN</x:v>
      </x:c>
      <x:c r="S94" s="11" t="str">
        <x:v>QA/UAT — cần điền URL/build</x:v>
      </x:c>
      <x:c r="T94" s="11" t="str">
        <x:v>Cần điền phiên bản thực</x:v>
      </x:c>
      <x:c r="U94" s="11" t="str"/>
      <x:c r="V94" s="12" t="str"/>
      <x:c r="W94" s="11" t="str"/>
      <x:c r="X94" s="11" t="str"/>
      <x:c r="Y94" s="3" t="str">
        <x:v>Nguồn: backend/src/modules/cms/cms.routes.ts:104. Độ dài JS/Zod dùng UTF-16; fixture ASCII để cô lập boundary. Optional min=0: Min−1 không áp dụng vì không có độ dài âm.</x:v>
      </x:c>
    </x:row>
    <x:row r="95" ht="62" customHeight="1">
      <x:c r="A95" s="3" t="n">
        <x:v>94</x:v>
      </x:c>
      <x:c r="B95" s="3" t="str">
        <x:v>TC_NEWS_033</x:v>
      </x:c>
      <x:c r="C95" s="3" t="str">
        <x:v>NEWS</x:v>
      </x:c>
      <x:c r="D95" s="3" t="str">
        <x:v>Boundary slug</x:v>
      </x:c>
      <x:c r="E95" s="3" t="str">
        <x:v>Boundary slug</x:v>
      </x:c>
      <x:c r="F95" s="3" t="str">
        <x:v>Boundary — POST BACKEND /api/admin/news: slug Min+1 (3)</x:v>
      </x:c>
      <x:c r="G95" s="3" t="str">
        <x:v>POST BACKEND /api/admin/news: slug Min+1 (3)</x:v>
      </x:c>
      <x:c r="H95" s="3" t="str">
        <x:v>NEWS-001</x:v>
      </x:c>
      <x:c r="I95" s="3" t="str">
        <x:v>QTV có quyền tương ứng</x:v>
      </x:c>
      <x:c r="J95" s="3" t="str">
        <x:v>Boundary</x:v>
      </x:c>
      <x:c r="K95" s="3" t="str">
        <x:v>Medium</x:v>
      </x:c>
      <x:c r="L95" s="3" t="str">
        <x:v>Medium</x:v>
      </x:c>
      <x:c r="M95" s="3" t="str">
        <x:v>Môi trường QA cô lập, DB/MinIO sẵn sàng; dữ liệu fixture đã tạo. Đăng nhập tài khoản ACTIVE, mustChangePassword=false.</x:v>
      </x:c>
      <x:c r="N95" s="3" t="str">
        <x:v>"a" lặp 3 lần, không có khoảng trắng. Fixture NEWS</x:v>
      </x:c>
      <x:c r="O95" s="3" t="str">
        <x:v>1. Chuẩn bị fixture NEWS, các trường khác hợp lệ và ID/slug mới
2. Thay riêng slug theo Test Data
3. Gửi POST BACKEND /api/admin/news
4. Kiểm tra response và DB</x:v>
      </x:c>
      <x:c r="P95" s="3" t="str">
        <x:v>Qua validation độ dài slug; HTTP 201; trường slug được lưu đúng 3 ký tự.</x:v>
      </x:c>
      <x:c r="Q95" s="11" t="str"/>
      <x:c r="R95" s="8" t="str">
        <x:v>NOT RUN</x:v>
      </x:c>
      <x:c r="S95" s="11" t="str">
        <x:v>QA/UAT — cần điền URL/build</x:v>
      </x:c>
      <x:c r="T95" s="11" t="str">
        <x:v>Cần điền phiên bản thực</x:v>
      </x:c>
      <x:c r="U95" s="11" t="str"/>
      <x:c r="V95" s="12" t="str"/>
      <x:c r="W95" s="11" t="str"/>
      <x:c r="X95" s="11" t="str"/>
      <x:c r="Y95" s="3" t="str">
        <x:v>Nguồn: backend/src/modules/cms/cms.routes.ts:104. Độ dài JS/Zod dùng UTF-16; fixture ASCII để cô lập boundary. Optional min=0: Min−1 không áp dụng vì không có độ dài âm.</x:v>
      </x:c>
    </x:row>
    <x:row r="96" ht="62" customHeight="1">
      <x:c r="A96" s="3" t="n">
        <x:v>95</x:v>
      </x:c>
      <x:c r="B96" s="3" t="str">
        <x:v>TC_NEWS_034</x:v>
      </x:c>
      <x:c r="C96" s="3" t="str">
        <x:v>NEWS</x:v>
      </x:c>
      <x:c r="D96" s="3" t="str">
        <x:v>Boundary slug</x:v>
      </x:c>
      <x:c r="E96" s="3" t="str">
        <x:v>Boundary slug</x:v>
      </x:c>
      <x:c r="F96" s="3" t="str">
        <x:v>Boundary — POST BACKEND /api/admin/news: slug Max−1 (189)</x:v>
      </x:c>
      <x:c r="G96" s="3" t="str">
        <x:v>POST BACKEND /api/admin/news: slug Max−1 (189)</x:v>
      </x:c>
      <x:c r="H96" s="3" t="str">
        <x:v>NEWS-001</x:v>
      </x:c>
      <x:c r="I96" s="3" t="str">
        <x:v>QTV có quyền tương ứng</x:v>
      </x:c>
      <x:c r="J96" s="3" t="str">
        <x:v>Boundary</x:v>
      </x:c>
      <x:c r="K96" s="3" t="str">
        <x:v>Medium</x:v>
      </x:c>
      <x:c r="L96" s="3" t="str">
        <x:v>Medium</x:v>
      </x:c>
      <x:c r="M96" s="3" t="str">
        <x:v>Môi trường QA cô lập, DB/MinIO sẵn sàng; dữ liệu fixture đã tạo. Đăng nhập tài khoản ACTIVE, mustChangePassword=false.</x:v>
      </x:c>
      <x:c r="N96" s="3" t="str">
        <x:v>"a" lặp 189 lần, không có khoảng trắng. Fixture NEWS</x:v>
      </x:c>
      <x:c r="O96" s="3" t="str">
        <x:v>1. Chuẩn bị fixture NEWS, các trường khác hợp lệ và ID/slug mới
2. Thay riêng slug theo Test Data
3. Gửi POST BACKEND /api/admin/news
4. Kiểm tra response và DB</x:v>
      </x:c>
      <x:c r="P96" s="3" t="str">
        <x:v>Qua validation độ dài slug; HTTP 201; trường slug được lưu đúng 189 ký tự.</x:v>
      </x:c>
      <x:c r="Q96" s="11" t="str"/>
      <x:c r="R96" s="8" t="str">
        <x:v>NOT RUN</x:v>
      </x:c>
      <x:c r="S96" s="11" t="str">
        <x:v>QA/UAT — cần điền URL/build</x:v>
      </x:c>
      <x:c r="T96" s="11" t="str">
        <x:v>Cần điền phiên bản thực</x:v>
      </x:c>
      <x:c r="U96" s="11" t="str"/>
      <x:c r="V96" s="12" t="str"/>
      <x:c r="W96" s="11" t="str"/>
      <x:c r="X96" s="11" t="str"/>
      <x:c r="Y96" s="3" t="str">
        <x:v>Nguồn: backend/src/modules/cms/cms.routes.ts:104. Độ dài JS/Zod dùng UTF-16; fixture ASCII để cô lập boundary. Optional min=0: Min−1 không áp dụng vì không có độ dài âm.</x:v>
      </x:c>
    </x:row>
    <x:row r="97" ht="62" customHeight="1">
      <x:c r="A97" s="3" t="n">
        <x:v>96</x:v>
      </x:c>
      <x:c r="B97" s="3" t="str">
        <x:v>TC_NEWS_035</x:v>
      </x:c>
      <x:c r="C97" s="3" t="str">
        <x:v>NEWS</x:v>
      </x:c>
      <x:c r="D97" s="3" t="str">
        <x:v>Boundary slug</x:v>
      </x:c>
      <x:c r="E97" s="3" t="str">
        <x:v>Boundary slug</x:v>
      </x:c>
      <x:c r="F97" s="3" t="str">
        <x:v>Boundary — POST BACKEND /api/admin/news: slug Max (190)</x:v>
      </x:c>
      <x:c r="G97" s="3" t="str">
        <x:v>POST BACKEND /api/admin/news: slug Max (190)</x:v>
      </x:c>
      <x:c r="H97" s="3" t="str">
        <x:v>NEWS-001</x:v>
      </x:c>
      <x:c r="I97" s="3" t="str">
        <x:v>QTV có quyền tương ứng</x:v>
      </x:c>
      <x:c r="J97" s="3" t="str">
        <x:v>Boundary</x:v>
      </x:c>
      <x:c r="K97" s="3" t="str">
        <x:v>Medium</x:v>
      </x:c>
      <x:c r="L97" s="3" t="str">
        <x:v>Medium</x:v>
      </x:c>
      <x:c r="M97" s="3" t="str">
        <x:v>Môi trường QA cô lập, DB/MinIO sẵn sàng; dữ liệu fixture đã tạo. Đăng nhập tài khoản ACTIVE, mustChangePassword=false.</x:v>
      </x:c>
      <x:c r="N97" s="3" t="str">
        <x:v>"a" lặp 190 lần, không có khoảng trắng. Fixture NEWS</x:v>
      </x:c>
      <x:c r="O97" s="3" t="str">
        <x:v>1. Chuẩn bị fixture NEWS, các trường khác hợp lệ và ID/slug mới
2. Thay riêng slug theo Test Data
3. Gửi POST BACKEND /api/admin/news
4. Kiểm tra response và DB</x:v>
      </x:c>
      <x:c r="P97" s="3" t="str">
        <x:v>Qua validation độ dài slug; HTTP 201; trường slug được lưu đúng 190 ký tự.</x:v>
      </x:c>
      <x:c r="Q97" s="11" t="str"/>
      <x:c r="R97" s="8" t="str">
        <x:v>NOT RUN</x:v>
      </x:c>
      <x:c r="S97" s="11" t="str">
        <x:v>QA/UAT — cần điền URL/build</x:v>
      </x:c>
      <x:c r="T97" s="11" t="str">
        <x:v>Cần điền phiên bản thực</x:v>
      </x:c>
      <x:c r="U97" s="11" t="str"/>
      <x:c r="V97" s="12" t="str"/>
      <x:c r="W97" s="11" t="str"/>
      <x:c r="X97" s="11" t="str"/>
      <x:c r="Y97" s="3" t="str">
        <x:v>Nguồn: backend/src/modules/cms/cms.routes.ts:104. Độ dài JS/Zod dùng UTF-16; fixture ASCII để cô lập boundary. Optional min=0: Min−1 không áp dụng vì không có độ dài âm.</x:v>
      </x:c>
    </x:row>
    <x:row r="98" ht="62" customHeight="1">
      <x:c r="A98" s="3" t="n">
        <x:v>97</x:v>
      </x:c>
      <x:c r="B98" s="3" t="str">
        <x:v>TC_NEWS_036</x:v>
      </x:c>
      <x:c r="C98" s="3" t="str">
        <x:v>NEWS</x:v>
      </x:c>
      <x:c r="D98" s="3" t="str">
        <x:v>Boundary slug</x:v>
      </x:c>
      <x:c r="E98" s="3" t="str">
        <x:v>Boundary slug</x:v>
      </x:c>
      <x:c r="F98" s="3" t="str">
        <x:v>Boundary — POST BACKEND /api/admin/news: slug Max+1 (191)</x:v>
      </x:c>
      <x:c r="G98" s="3" t="str">
        <x:v>POST BACKEND /api/admin/news: slug Max+1 (191)</x:v>
      </x:c>
      <x:c r="H98" s="3" t="str">
        <x:v>NEWS-001</x:v>
      </x:c>
      <x:c r="I98" s="3" t="str">
        <x:v>QTV có quyền tương ứng</x:v>
      </x:c>
      <x:c r="J98" s="3" t="str">
        <x:v>Boundary</x:v>
      </x:c>
      <x:c r="K98" s="3" t="str">
        <x:v>Medium</x:v>
      </x:c>
      <x:c r="L98" s="3" t="str">
        <x:v>Medium</x:v>
      </x:c>
      <x:c r="M98" s="3" t="str">
        <x:v>Môi trường QA cô lập, DB/MinIO sẵn sàng; dữ liệu fixture đã tạo. Đăng nhập tài khoản ACTIVE, mustChangePassword=false.</x:v>
      </x:c>
      <x:c r="N98" s="3" t="str">
        <x:v>"a" lặp 191 lần, không có khoảng trắng. Fixture NEWS</x:v>
      </x:c>
      <x:c r="O98" s="3" t="str">
        <x:v>1. Chuẩn bị fixture NEWS, các trường khác hợp lệ và ID/slug mới
2. Thay riêng slug theo Test Data
3. Gửi POST BACKEND /api/admin/news
4. Kiểm tra response và DB</x:v>
      </x:c>
      <x:c r="P98" s="3" t="str">
        <x:v>Từ chối độ dài slug=191; HTTP 400 kỳ vọng, không đổi DB. Nếu CMS/Zod.parse trả 500, ghi defect hợp đồng lỗi.</x:v>
      </x:c>
      <x:c r="Q98" s="11" t="str"/>
      <x:c r="R98" s="8" t="str">
        <x:v>NOT RUN</x:v>
      </x:c>
      <x:c r="S98" s="11" t="str">
        <x:v>QA/UAT — cần điền URL/build</x:v>
      </x:c>
      <x:c r="T98" s="11" t="str">
        <x:v>Cần điền phiên bản thực</x:v>
      </x:c>
      <x:c r="U98" s="11" t="str"/>
      <x:c r="V98" s="12" t="str"/>
      <x:c r="W98" s="11" t="str"/>
      <x:c r="X98" s="11" t="str"/>
      <x:c r="Y98" s="3" t="str">
        <x:v>Nguồn: backend/src/modules/cms/cms.routes.ts:104. Độ dài JS/Zod dùng UTF-16; fixture ASCII để cô lập boundary. Optional min=0: Min−1 không áp dụng vì không có độ dài âm.</x:v>
      </x:c>
    </x:row>
    <x:row r="99" ht="62" customHeight="1">
      <x:c r="A99" s="3" t="n">
        <x:v>98</x:v>
      </x:c>
      <x:c r="B99" s="3" t="str">
        <x:v>TC_NEWS_037</x:v>
      </x:c>
      <x:c r="C99" s="3" t="str">
        <x:v>NEWS</x:v>
      </x:c>
      <x:c r="D99" s="3" t="str">
        <x:v>Boundary title</x:v>
      </x:c>
      <x:c r="E99" s="3" t="str">
        <x:v>Boundary title</x:v>
      </x:c>
      <x:c r="F99" s="3" t="str">
        <x:v>Boundary — POST BACKEND /api/admin/news: title Min−1 (1)</x:v>
      </x:c>
      <x:c r="G99" s="3" t="str">
        <x:v>POST BACKEND /api/admin/news: title Min−1 (1)</x:v>
      </x:c>
      <x:c r="H99" s="3" t="str">
        <x:v>NEWS-001</x:v>
      </x:c>
      <x:c r="I99" s="3" t="str">
        <x:v>QTV có quyền tương ứng</x:v>
      </x:c>
      <x:c r="J99" s="3" t="str">
        <x:v>Boundary</x:v>
      </x:c>
      <x:c r="K99" s="3" t="str">
        <x:v>Medium</x:v>
      </x:c>
      <x:c r="L99" s="3" t="str">
        <x:v>Medium</x:v>
      </x:c>
      <x:c r="M99" s="3" t="str">
        <x:v>Môi trường QA cô lập, DB/MinIO sẵn sàng; dữ liệu fixture đã tạo. Đăng nhập tài khoản ACTIVE, mustChangePassword=false.</x:v>
      </x:c>
      <x:c r="N99" s="3" t="str">
        <x:v>"a" lặp 1 lần, không có khoảng trắng. Fixture NEWS</x:v>
      </x:c>
      <x:c r="O99" s="3" t="str">
        <x:v>1. Chuẩn bị fixture NEWS, các trường khác hợp lệ và ID/slug mới
2. Thay riêng title theo Test Data
3. Gửi POST BACKEND /api/admin/news
4. Kiểm tra response và DB</x:v>
      </x:c>
      <x:c r="P99" s="3" t="str">
        <x:v>Từ chối độ dài title=1; HTTP 400 kỳ vọng, không đổi DB. Nếu CMS/Zod.parse trả 500, ghi defect hợp đồng lỗi.</x:v>
      </x:c>
      <x:c r="Q99" s="11" t="str"/>
      <x:c r="R99" s="8" t="str">
        <x:v>NOT RUN</x:v>
      </x:c>
      <x:c r="S99" s="11" t="str">
        <x:v>QA/UAT — cần điền URL/build</x:v>
      </x:c>
      <x:c r="T99" s="11" t="str">
        <x:v>Cần điền phiên bản thực</x:v>
      </x:c>
      <x:c r="U99" s="11" t="str"/>
      <x:c r="V99" s="12" t="str"/>
      <x:c r="W99" s="11" t="str"/>
      <x:c r="X99" s="11" t="str"/>
      <x:c r="Y99" s="3" t="str">
        <x:v>Nguồn: backend/src/modules/cms/cms.routes.ts:63. Độ dài JS/Zod dùng UTF-16; fixture ASCII để cô lập boundary. Optional min=0: Min−1 không áp dụng vì không có độ dài âm.</x:v>
      </x:c>
    </x:row>
    <x:row r="100" ht="62" customHeight="1">
      <x:c r="A100" s="3" t="n">
        <x:v>99</x:v>
      </x:c>
      <x:c r="B100" s="3" t="str">
        <x:v>TC_NEWS_038</x:v>
      </x:c>
      <x:c r="C100" s="3" t="str">
        <x:v>NEWS</x:v>
      </x:c>
      <x:c r="D100" s="3" t="str">
        <x:v>Boundary title</x:v>
      </x:c>
      <x:c r="E100" s="3" t="str">
        <x:v>Boundary title</x:v>
      </x:c>
      <x:c r="F100" s="3" t="str">
        <x:v>Boundary — POST BACKEND /api/admin/news: title Min (2)</x:v>
      </x:c>
      <x:c r="G100" s="3" t="str">
        <x:v>POST BACKEND /api/admin/news: title Min (2)</x:v>
      </x:c>
      <x:c r="H100" s="3" t="str">
        <x:v>NEWS-001</x:v>
      </x:c>
      <x:c r="I100" s="3" t="str">
        <x:v>QTV có quyền tương ứng</x:v>
      </x:c>
      <x:c r="J100" s="3" t="str">
        <x:v>Boundary</x:v>
      </x:c>
      <x:c r="K100" s="3" t="str">
        <x:v>Medium</x:v>
      </x:c>
      <x:c r="L100" s="3" t="str">
        <x:v>Medium</x:v>
      </x:c>
      <x:c r="M100" s="3" t="str">
        <x:v>Môi trường QA cô lập, DB/MinIO sẵn sàng; dữ liệu fixture đã tạo. Đăng nhập tài khoản ACTIVE, mustChangePassword=false.</x:v>
      </x:c>
      <x:c r="N100" s="3" t="str">
        <x:v>"a" lặp 2 lần, không có khoảng trắng. Fixture NEWS</x:v>
      </x:c>
      <x:c r="O100" s="3" t="str">
        <x:v>1. Chuẩn bị fixture NEWS, các trường khác hợp lệ và ID/slug mới
2. Thay riêng title theo Test Data
3. Gửi POST BACKEND /api/admin/news
4. Kiểm tra response và DB</x:v>
      </x:c>
      <x:c r="P100" s="3" t="str">
        <x:v>Qua validation độ dài title; HTTP 201; trường title được lưu đúng 2 ký tự.</x:v>
      </x:c>
      <x:c r="Q100" s="11" t="str"/>
      <x:c r="R100" s="8" t="str">
        <x:v>NOT RUN</x:v>
      </x:c>
      <x:c r="S100" s="11" t="str">
        <x:v>QA/UAT — cần điền URL/build</x:v>
      </x:c>
      <x:c r="T100" s="11" t="str">
        <x:v>Cần điền phiên bản thực</x:v>
      </x:c>
      <x:c r="U100" s="11" t="str"/>
      <x:c r="V100" s="12" t="str"/>
      <x:c r="W100" s="11" t="str"/>
      <x:c r="X100" s="11" t="str"/>
      <x:c r="Y100" s="3" t="str">
        <x:v>Nguồn: backend/src/modules/cms/cms.routes.ts:63. Độ dài JS/Zod dùng UTF-16; fixture ASCII để cô lập boundary. Optional min=0: Min−1 không áp dụng vì không có độ dài âm.</x:v>
      </x:c>
    </x:row>
    <x:row r="101" ht="62" customHeight="1">
      <x:c r="A101" s="3" t="n">
        <x:v>100</x:v>
      </x:c>
      <x:c r="B101" s="3" t="str">
        <x:v>TC_NEWS_039</x:v>
      </x:c>
      <x:c r="C101" s="3" t="str">
        <x:v>NEWS</x:v>
      </x:c>
      <x:c r="D101" s="3" t="str">
        <x:v>Boundary title</x:v>
      </x:c>
      <x:c r="E101" s="3" t="str">
        <x:v>Boundary title</x:v>
      </x:c>
      <x:c r="F101" s="3" t="str">
        <x:v>Boundary — POST BACKEND /api/admin/news: title Min+1 (3)</x:v>
      </x:c>
      <x:c r="G101" s="3" t="str">
        <x:v>POST BACKEND /api/admin/news: title Min+1 (3)</x:v>
      </x:c>
      <x:c r="H101" s="3" t="str">
        <x:v>NEWS-001</x:v>
      </x:c>
      <x:c r="I101" s="3" t="str">
        <x:v>QTV có quyền tương ứng</x:v>
      </x:c>
      <x:c r="J101" s="3" t="str">
        <x:v>Boundary</x:v>
      </x:c>
      <x:c r="K101" s="3" t="str">
        <x:v>Medium</x:v>
      </x:c>
      <x:c r="L101" s="3" t="str">
        <x:v>Medium</x:v>
      </x:c>
      <x:c r="M101" s="3" t="str">
        <x:v>Môi trường QA cô lập, DB/MinIO sẵn sàng; dữ liệu fixture đã tạo. Đăng nhập tài khoản ACTIVE, mustChangePassword=false.</x:v>
      </x:c>
      <x:c r="N101" s="3" t="str">
        <x:v>"a" lặp 3 lần, không có khoảng trắng. Fixture NEWS</x:v>
      </x:c>
      <x:c r="O101" s="3" t="str">
        <x:v>1. Chuẩn bị fixture NEWS, các trường khác hợp lệ và ID/slug mới
2. Thay riêng title theo Test Data
3. Gửi POST BACKEND /api/admin/news
4. Kiểm tra response và DB</x:v>
      </x:c>
      <x:c r="P101" s="3" t="str">
        <x:v>Qua validation độ dài title; HTTP 201; trường title được lưu đúng 3 ký tự.</x:v>
      </x:c>
      <x:c r="Q101" s="11" t="str"/>
      <x:c r="R101" s="8" t="str">
        <x:v>NOT RUN</x:v>
      </x:c>
      <x:c r="S101" s="11" t="str">
        <x:v>QA/UAT — cần điền URL/build</x:v>
      </x:c>
      <x:c r="T101" s="11" t="str">
        <x:v>Cần điền phiên bản thực</x:v>
      </x:c>
      <x:c r="U101" s="11" t="str"/>
      <x:c r="V101" s="12" t="str"/>
      <x:c r="W101" s="11" t="str"/>
      <x:c r="X101" s="11" t="str"/>
      <x:c r="Y101" s="3" t="str">
        <x:v>Nguồn: backend/src/modules/cms/cms.routes.ts:63. Độ dài JS/Zod dùng UTF-16; fixture ASCII để cô lập boundary. Optional min=0: Min−1 không áp dụng vì không có độ dài âm.</x:v>
      </x:c>
    </x:row>
    <x:row r="102" ht="62" customHeight="1">
      <x:c r="A102" s="3" t="n">
        <x:v>101</x:v>
      </x:c>
      <x:c r="B102" s="3" t="str">
        <x:v>TC_NEWS_040</x:v>
      </x:c>
      <x:c r="C102" s="3" t="str">
        <x:v>NEWS</x:v>
      </x:c>
      <x:c r="D102" s="3" t="str">
        <x:v>Boundary title</x:v>
      </x:c>
      <x:c r="E102" s="3" t="str">
        <x:v>Boundary title</x:v>
      </x:c>
      <x:c r="F102" s="3" t="str">
        <x:v>Boundary — POST BACKEND /api/admin/news: title Max−1 (249)</x:v>
      </x:c>
      <x:c r="G102" s="3" t="str">
        <x:v>POST BACKEND /api/admin/news: title Max−1 (249)</x:v>
      </x:c>
      <x:c r="H102" s="3" t="str">
        <x:v>NEWS-001</x:v>
      </x:c>
      <x:c r="I102" s="3" t="str">
        <x:v>QTV có quyền tương ứng</x:v>
      </x:c>
      <x:c r="J102" s="3" t="str">
        <x:v>Boundary</x:v>
      </x:c>
      <x:c r="K102" s="3" t="str">
        <x:v>Medium</x:v>
      </x:c>
      <x:c r="L102" s="3" t="str">
        <x:v>Medium</x:v>
      </x:c>
      <x:c r="M102" s="3" t="str">
        <x:v>Môi trường QA cô lập, DB/MinIO sẵn sàng; dữ liệu fixture đã tạo. Đăng nhập tài khoản ACTIVE, mustChangePassword=false.</x:v>
      </x:c>
      <x:c r="N102" s="3" t="str">
        <x:v>"a" lặp 249 lần, không có khoảng trắng. Fixture NEWS</x:v>
      </x:c>
      <x:c r="O102" s="3" t="str">
        <x:v>1. Chuẩn bị fixture NEWS, các trường khác hợp lệ và ID/slug mới
2. Thay riêng title theo Test Data
3. Gửi POST BACKEND /api/admin/news
4. Kiểm tra response và DB</x:v>
      </x:c>
      <x:c r="P102" s="3" t="str">
        <x:v>Qua validation độ dài title; HTTP 201; trường title được lưu đúng 249 ký tự.</x:v>
      </x:c>
      <x:c r="Q102" s="11" t="str"/>
      <x:c r="R102" s="8" t="str">
        <x:v>NOT RUN</x:v>
      </x:c>
      <x:c r="S102" s="11" t="str">
        <x:v>QA/UAT — cần điền URL/build</x:v>
      </x:c>
      <x:c r="T102" s="11" t="str">
        <x:v>Cần điền phiên bản thực</x:v>
      </x:c>
      <x:c r="U102" s="11" t="str"/>
      <x:c r="V102" s="12" t="str"/>
      <x:c r="W102" s="11" t="str"/>
      <x:c r="X102" s="11" t="str"/>
      <x:c r="Y102" s="3" t="str">
        <x:v>Nguồn: backend/src/modules/cms/cms.routes.ts:63. Độ dài JS/Zod dùng UTF-16; fixture ASCII để cô lập boundary. Optional min=0: Min−1 không áp dụng vì không có độ dài âm.</x:v>
      </x:c>
    </x:row>
    <x:row r="103" ht="62" customHeight="1">
      <x:c r="A103" s="3" t="n">
        <x:v>102</x:v>
      </x:c>
      <x:c r="B103" s="3" t="str">
        <x:v>TC_NEWS_041</x:v>
      </x:c>
      <x:c r="C103" s="3" t="str">
        <x:v>NEWS</x:v>
      </x:c>
      <x:c r="D103" s="3" t="str">
        <x:v>Boundary title</x:v>
      </x:c>
      <x:c r="E103" s="3" t="str">
        <x:v>Boundary title</x:v>
      </x:c>
      <x:c r="F103" s="3" t="str">
        <x:v>Boundary — POST BACKEND /api/admin/news: title Max (250)</x:v>
      </x:c>
      <x:c r="G103" s="3" t="str">
        <x:v>POST BACKEND /api/admin/news: title Max (250)</x:v>
      </x:c>
      <x:c r="H103" s="3" t="str">
        <x:v>NEWS-001</x:v>
      </x:c>
      <x:c r="I103" s="3" t="str">
        <x:v>QTV có quyền tương ứng</x:v>
      </x:c>
      <x:c r="J103" s="3" t="str">
        <x:v>Boundary</x:v>
      </x:c>
      <x:c r="K103" s="3" t="str">
        <x:v>Medium</x:v>
      </x:c>
      <x:c r="L103" s="3" t="str">
        <x:v>Medium</x:v>
      </x:c>
      <x:c r="M103" s="3" t="str">
        <x:v>Môi trường QA cô lập, DB/MinIO sẵn sàng; dữ liệu fixture đã tạo. Đăng nhập tài khoản ACTIVE, mustChangePassword=false.</x:v>
      </x:c>
      <x:c r="N103" s="3" t="str">
        <x:v>"a" lặp 250 lần, không có khoảng trắng. Fixture NEWS</x:v>
      </x:c>
      <x:c r="O103" s="3" t="str">
        <x:v>1. Chuẩn bị fixture NEWS, các trường khác hợp lệ và ID/slug mới
2. Thay riêng title theo Test Data
3. Gửi POST BACKEND /api/admin/news
4. Kiểm tra response và DB</x:v>
      </x:c>
      <x:c r="P103" s="3" t="str">
        <x:v>Qua validation độ dài title; HTTP 201; trường title được lưu đúng 250 ký tự.</x:v>
      </x:c>
      <x:c r="Q103" s="11" t="str"/>
      <x:c r="R103" s="8" t="str">
        <x:v>NOT RUN</x:v>
      </x:c>
      <x:c r="S103" s="11" t="str">
        <x:v>QA/UAT — cần điền URL/build</x:v>
      </x:c>
      <x:c r="T103" s="11" t="str">
        <x:v>Cần điền phiên bản thực</x:v>
      </x:c>
      <x:c r="U103" s="11" t="str"/>
      <x:c r="V103" s="12" t="str"/>
      <x:c r="W103" s="11" t="str"/>
      <x:c r="X103" s="11" t="str"/>
      <x:c r="Y103" s="3" t="str">
        <x:v>Nguồn: backend/src/modules/cms/cms.routes.ts:63. Độ dài JS/Zod dùng UTF-16; fixture ASCII để cô lập boundary. Optional min=0: Min−1 không áp dụng vì không có độ dài âm.</x:v>
      </x:c>
    </x:row>
    <x:row r="104" ht="62" customHeight="1">
      <x:c r="A104" s="3" t="n">
        <x:v>103</x:v>
      </x:c>
      <x:c r="B104" s="3" t="str">
        <x:v>TC_NEWS_042</x:v>
      </x:c>
      <x:c r="C104" s="3" t="str">
        <x:v>NEWS</x:v>
      </x:c>
      <x:c r="D104" s="3" t="str">
        <x:v>Boundary title</x:v>
      </x:c>
      <x:c r="E104" s="3" t="str">
        <x:v>Boundary title</x:v>
      </x:c>
      <x:c r="F104" s="3" t="str">
        <x:v>Boundary — POST BACKEND /api/admin/news: title Max+1 (251)</x:v>
      </x:c>
      <x:c r="G104" s="3" t="str">
        <x:v>POST BACKEND /api/admin/news: title Max+1 (251)</x:v>
      </x:c>
      <x:c r="H104" s="3" t="str">
        <x:v>NEWS-001</x:v>
      </x:c>
      <x:c r="I104" s="3" t="str">
        <x:v>QTV có quyền tương ứng</x:v>
      </x:c>
      <x:c r="J104" s="3" t="str">
        <x:v>Boundary</x:v>
      </x:c>
      <x:c r="K104" s="3" t="str">
        <x:v>Medium</x:v>
      </x:c>
      <x:c r="L104" s="3" t="str">
        <x:v>Medium</x:v>
      </x:c>
      <x:c r="M104" s="3" t="str">
        <x:v>Môi trường QA cô lập, DB/MinIO sẵn sàng; dữ liệu fixture đã tạo. Đăng nhập tài khoản ACTIVE, mustChangePassword=false.</x:v>
      </x:c>
      <x:c r="N104" s="3" t="str">
        <x:v>"a" lặp 251 lần, không có khoảng trắng. Fixture NEWS</x:v>
      </x:c>
      <x:c r="O104" s="3" t="str">
        <x:v>1. Chuẩn bị fixture NEWS, các trường khác hợp lệ và ID/slug mới
2. Thay riêng title theo Test Data
3. Gửi POST BACKEND /api/admin/news
4. Kiểm tra response và DB</x:v>
      </x:c>
      <x:c r="P104" s="3" t="str">
        <x:v>Từ chối độ dài title=251; HTTP 400 kỳ vọng, không đổi DB. Nếu CMS/Zod.parse trả 500, ghi defect hợp đồng lỗi.</x:v>
      </x:c>
      <x:c r="Q104" s="11" t="str"/>
      <x:c r="R104" s="8" t="str">
        <x:v>NOT RUN</x:v>
      </x:c>
      <x:c r="S104" s="11" t="str">
        <x:v>QA/UAT — cần điền URL/build</x:v>
      </x:c>
      <x:c r="T104" s="11" t="str">
        <x:v>Cần điền phiên bản thực</x:v>
      </x:c>
      <x:c r="U104" s="11" t="str"/>
      <x:c r="V104" s="12" t="str"/>
      <x:c r="W104" s="11" t="str"/>
      <x:c r="X104" s="11" t="str"/>
      <x:c r="Y104" s="3" t="str">
        <x:v>Nguồn: backend/src/modules/cms/cms.routes.ts:63. Độ dài JS/Zod dùng UTF-16; fixture ASCII để cô lập boundary. Optional min=0: Min−1 không áp dụng vì không có độ dài âm.</x:v>
      </x:c>
    </x:row>
    <x:row r="105" ht="62" customHeight="1">
      <x:c r="A105" s="3" t="n">
        <x:v>104</x:v>
      </x:c>
      <x:c r="B105" s="3" t="str">
        <x:v>TC_NEWS_043</x:v>
      </x:c>
      <x:c r="C105" s="3" t="str">
        <x:v>NEWS</x:v>
      </x:c>
      <x:c r="D105" s="3" t="str">
        <x:v>Boundary authorName</x:v>
      </x:c>
      <x:c r="E105" s="3" t="str">
        <x:v>Boundary authorName</x:v>
      </x:c>
      <x:c r="F105" s="3" t="str">
        <x:v>Boundary — POST BACKEND /api/admin/news: authorName Min−1 (1)</x:v>
      </x:c>
      <x:c r="G105" s="3" t="str">
        <x:v>POST BACKEND /api/admin/news: authorName Min−1 (1)</x:v>
      </x:c>
      <x:c r="H105" s="3" t="str">
        <x:v>NEWS-001</x:v>
      </x:c>
      <x:c r="I105" s="3" t="str">
        <x:v>QTV có quyền tương ứng</x:v>
      </x:c>
      <x:c r="J105" s="3" t="str">
        <x:v>Boundary</x:v>
      </x:c>
      <x:c r="K105" s="3" t="str">
        <x:v>Medium</x:v>
      </x:c>
      <x:c r="L105" s="3" t="str">
        <x:v>Medium</x:v>
      </x:c>
      <x:c r="M105" s="3" t="str">
        <x:v>Môi trường QA cô lập, DB/MinIO sẵn sàng; dữ liệu fixture đã tạo. Đăng nhập tài khoản ACTIVE, mustChangePassword=false.</x:v>
      </x:c>
      <x:c r="N105" s="3" t="str">
        <x:v>"a" lặp 1 lần, không có khoảng trắng. Fixture NEWS</x:v>
      </x:c>
      <x:c r="O105" s="3" t="str">
        <x:v>1. Chuẩn bị fixture NEWS, các trường khác hợp lệ và ID/slug mới
2. Thay riêng authorName theo Test Data
3. Gửi POST BACKEND /api/admin/news
4. Kiểm tra response và DB</x:v>
      </x:c>
      <x:c r="P105" s="3" t="str">
        <x:v>Từ chối độ dài authorName=1; HTTP 400 kỳ vọng, không đổi DB. Nếu CMS/Zod.parse trả 500, ghi defect hợp đồng lỗi.</x:v>
      </x:c>
      <x:c r="Q105" s="11" t="str"/>
      <x:c r="R105" s="8" t="str">
        <x:v>NOT RUN</x:v>
      </x:c>
      <x:c r="S105" s="11" t="str">
        <x:v>QA/UAT — cần điền URL/build</x:v>
      </x:c>
      <x:c r="T105" s="11" t="str">
        <x:v>Cần điền phiên bản thực</x:v>
      </x:c>
      <x:c r="U105" s="11" t="str"/>
      <x:c r="V105" s="12" t="str"/>
      <x:c r="W105" s="11" t="str"/>
      <x:c r="X105" s="11" t="str"/>
      <x:c r="Y105" s="3" t="str">
        <x:v>Nguồn: backend/src/modules/cms/cms.routes.ts:63. Độ dài JS/Zod dùng UTF-16; fixture ASCII để cô lập boundary. Optional min=0: Min−1 không áp dụng vì không có độ dài âm.</x:v>
      </x:c>
    </x:row>
    <x:row r="106" ht="62" customHeight="1">
      <x:c r="A106" s="3" t="n">
        <x:v>105</x:v>
      </x:c>
      <x:c r="B106" s="3" t="str">
        <x:v>TC_NEWS_044</x:v>
      </x:c>
      <x:c r="C106" s="3" t="str">
        <x:v>NEWS</x:v>
      </x:c>
      <x:c r="D106" s="3" t="str">
        <x:v>Boundary authorName</x:v>
      </x:c>
      <x:c r="E106" s="3" t="str">
        <x:v>Boundary authorName</x:v>
      </x:c>
      <x:c r="F106" s="3" t="str">
        <x:v>Boundary — POST BACKEND /api/admin/news: authorName Min (2)</x:v>
      </x:c>
      <x:c r="G106" s="3" t="str">
        <x:v>POST BACKEND /api/admin/news: authorName Min (2)</x:v>
      </x:c>
      <x:c r="H106" s="3" t="str">
        <x:v>NEWS-001</x:v>
      </x:c>
      <x:c r="I106" s="3" t="str">
        <x:v>QTV có quyền tương ứng</x:v>
      </x:c>
      <x:c r="J106" s="3" t="str">
        <x:v>Boundary</x:v>
      </x:c>
      <x:c r="K106" s="3" t="str">
        <x:v>Medium</x:v>
      </x:c>
      <x:c r="L106" s="3" t="str">
        <x:v>Medium</x:v>
      </x:c>
      <x:c r="M106" s="3" t="str">
        <x:v>Môi trường QA cô lập, DB/MinIO sẵn sàng; dữ liệu fixture đã tạo. Đăng nhập tài khoản ACTIVE, mustChangePassword=false.</x:v>
      </x:c>
      <x:c r="N106" s="3" t="str">
        <x:v>"a" lặp 2 lần, không có khoảng trắng. Fixture NEWS</x:v>
      </x:c>
      <x:c r="O106" s="3" t="str">
        <x:v>1. Chuẩn bị fixture NEWS, các trường khác hợp lệ và ID/slug mới
2. Thay riêng authorName theo Test Data
3. Gửi POST BACKEND /api/admin/news
4. Kiểm tra response và DB</x:v>
      </x:c>
      <x:c r="P106" s="3" t="str">
        <x:v>Qua validation độ dài authorName; HTTP 201; trường authorName được lưu đúng 2 ký tự.</x:v>
      </x:c>
      <x:c r="Q106" s="11" t="str"/>
      <x:c r="R106" s="8" t="str">
        <x:v>NOT RUN</x:v>
      </x:c>
      <x:c r="S106" s="11" t="str">
        <x:v>QA/UAT — cần điền URL/build</x:v>
      </x:c>
      <x:c r="T106" s="11" t="str">
        <x:v>Cần điền phiên bản thực</x:v>
      </x:c>
      <x:c r="U106" s="11" t="str"/>
      <x:c r="V106" s="12" t="str"/>
      <x:c r="W106" s="11" t="str"/>
      <x:c r="X106" s="11" t="str"/>
      <x:c r="Y106" s="3" t="str">
        <x:v>Nguồn: backend/src/modules/cms/cms.routes.ts:63. Độ dài JS/Zod dùng UTF-16; fixture ASCII để cô lập boundary. Optional min=0: Min−1 không áp dụng vì không có độ dài âm.</x:v>
      </x:c>
    </x:row>
    <x:row r="107" ht="62" customHeight="1">
      <x:c r="A107" s="3" t="n">
        <x:v>106</x:v>
      </x:c>
      <x:c r="B107" s="3" t="str">
        <x:v>TC_NEWS_045</x:v>
      </x:c>
      <x:c r="C107" s="3" t="str">
        <x:v>NEWS</x:v>
      </x:c>
      <x:c r="D107" s="3" t="str">
        <x:v>Boundary authorName</x:v>
      </x:c>
      <x:c r="E107" s="3" t="str">
        <x:v>Boundary authorName</x:v>
      </x:c>
      <x:c r="F107" s="3" t="str">
        <x:v>Boundary — POST BACKEND /api/admin/news: authorName Min+1 (3)</x:v>
      </x:c>
      <x:c r="G107" s="3" t="str">
        <x:v>POST BACKEND /api/admin/news: authorName Min+1 (3)</x:v>
      </x:c>
      <x:c r="H107" s="3" t="str">
        <x:v>NEWS-001</x:v>
      </x:c>
      <x:c r="I107" s="3" t="str">
        <x:v>QTV có quyền tương ứng</x:v>
      </x:c>
      <x:c r="J107" s="3" t="str">
        <x:v>Boundary</x:v>
      </x:c>
      <x:c r="K107" s="3" t="str">
        <x:v>Medium</x:v>
      </x:c>
      <x:c r="L107" s="3" t="str">
        <x:v>Medium</x:v>
      </x:c>
      <x:c r="M107" s="3" t="str">
        <x:v>Môi trường QA cô lập, DB/MinIO sẵn sàng; dữ liệu fixture đã tạo. Đăng nhập tài khoản ACTIVE, mustChangePassword=false.</x:v>
      </x:c>
      <x:c r="N107" s="3" t="str">
        <x:v>"a" lặp 3 lần, không có khoảng trắng. Fixture NEWS</x:v>
      </x:c>
      <x:c r="O107" s="3" t="str">
        <x:v>1. Chuẩn bị fixture NEWS, các trường khác hợp lệ và ID/slug mới
2. Thay riêng authorName theo Test Data
3. Gửi POST BACKEND /api/admin/news
4. Kiểm tra response và DB</x:v>
      </x:c>
      <x:c r="P107" s="3" t="str">
        <x:v>Qua validation độ dài authorName; HTTP 201; trường authorName được lưu đúng 3 ký tự.</x:v>
      </x:c>
      <x:c r="Q107" s="11" t="str"/>
      <x:c r="R107" s="8" t="str">
        <x:v>NOT RUN</x:v>
      </x:c>
      <x:c r="S107" s="11" t="str">
        <x:v>QA/UAT — cần điền URL/build</x:v>
      </x:c>
      <x:c r="T107" s="11" t="str">
        <x:v>Cần điền phiên bản thực</x:v>
      </x:c>
      <x:c r="U107" s="11" t="str"/>
      <x:c r="V107" s="12" t="str"/>
      <x:c r="W107" s="11" t="str"/>
      <x:c r="X107" s="11" t="str"/>
      <x:c r="Y107" s="3" t="str">
        <x:v>Nguồn: backend/src/modules/cms/cms.routes.ts:63. Độ dài JS/Zod dùng UTF-16; fixture ASCII để cô lập boundary. Optional min=0: Min−1 không áp dụng vì không có độ dài âm.</x:v>
      </x:c>
    </x:row>
    <x:row r="108" ht="62" customHeight="1">
      <x:c r="A108" s="3" t="n">
        <x:v>107</x:v>
      </x:c>
      <x:c r="B108" s="3" t="str">
        <x:v>TC_NEWS_046</x:v>
      </x:c>
      <x:c r="C108" s="3" t="str">
        <x:v>NEWS</x:v>
      </x:c>
      <x:c r="D108" s="3" t="str">
        <x:v>Boundary authorName</x:v>
      </x:c>
      <x:c r="E108" s="3" t="str">
        <x:v>Boundary authorName</x:v>
      </x:c>
      <x:c r="F108" s="3" t="str">
        <x:v>Boundary — POST BACKEND /api/admin/news: authorName Max−1 (119)</x:v>
      </x:c>
      <x:c r="G108" s="3" t="str">
        <x:v>POST BACKEND /api/admin/news: authorName Max−1 (119)</x:v>
      </x:c>
      <x:c r="H108" s="3" t="str">
        <x:v>NEWS-001</x:v>
      </x:c>
      <x:c r="I108" s="3" t="str">
        <x:v>QTV có quyền tương ứng</x:v>
      </x:c>
      <x:c r="J108" s="3" t="str">
        <x:v>Boundary</x:v>
      </x:c>
      <x:c r="K108" s="3" t="str">
        <x:v>Medium</x:v>
      </x:c>
      <x:c r="L108" s="3" t="str">
        <x:v>Medium</x:v>
      </x:c>
      <x:c r="M108" s="3" t="str">
        <x:v>Môi trường QA cô lập, DB/MinIO sẵn sàng; dữ liệu fixture đã tạo. Đăng nhập tài khoản ACTIVE, mustChangePassword=false.</x:v>
      </x:c>
      <x:c r="N108" s="3" t="str">
        <x:v>"a" lặp 119 lần, không có khoảng trắng. Fixture NEWS</x:v>
      </x:c>
      <x:c r="O108" s="3" t="str">
        <x:v>1. Chuẩn bị fixture NEWS, các trường khác hợp lệ và ID/slug mới
2. Thay riêng authorName theo Test Data
3. Gửi POST BACKEND /api/admin/news
4. Kiểm tra response và DB</x:v>
      </x:c>
      <x:c r="P108" s="3" t="str">
        <x:v>Qua validation độ dài authorName; HTTP 201; trường authorName được lưu đúng 119 ký tự.</x:v>
      </x:c>
      <x:c r="Q108" s="11" t="str"/>
      <x:c r="R108" s="8" t="str">
        <x:v>NOT RUN</x:v>
      </x:c>
      <x:c r="S108" s="11" t="str">
        <x:v>QA/UAT — cần điền URL/build</x:v>
      </x:c>
      <x:c r="T108" s="11" t="str">
        <x:v>Cần điền phiên bản thực</x:v>
      </x:c>
      <x:c r="U108" s="11" t="str"/>
      <x:c r="V108" s="12" t="str"/>
      <x:c r="W108" s="11" t="str"/>
      <x:c r="X108" s="11" t="str"/>
      <x:c r="Y108" s="3" t="str">
        <x:v>Nguồn: backend/src/modules/cms/cms.routes.ts:63. Độ dài JS/Zod dùng UTF-16; fixture ASCII để cô lập boundary. Optional min=0: Min−1 không áp dụng vì không có độ dài âm.</x:v>
      </x:c>
    </x:row>
    <x:row r="109" ht="62" customHeight="1">
      <x:c r="A109" s="3" t="n">
        <x:v>108</x:v>
      </x:c>
      <x:c r="B109" s="3" t="str">
        <x:v>TC_NEWS_047</x:v>
      </x:c>
      <x:c r="C109" s="3" t="str">
        <x:v>NEWS</x:v>
      </x:c>
      <x:c r="D109" s="3" t="str">
        <x:v>Boundary authorName</x:v>
      </x:c>
      <x:c r="E109" s="3" t="str">
        <x:v>Boundary authorName</x:v>
      </x:c>
      <x:c r="F109" s="3" t="str">
        <x:v>Boundary — POST BACKEND /api/admin/news: authorName Max (120)</x:v>
      </x:c>
      <x:c r="G109" s="3" t="str">
        <x:v>POST BACKEND /api/admin/news: authorName Max (120)</x:v>
      </x:c>
      <x:c r="H109" s="3" t="str">
        <x:v>NEWS-001</x:v>
      </x:c>
      <x:c r="I109" s="3" t="str">
        <x:v>QTV có quyền tương ứng</x:v>
      </x:c>
      <x:c r="J109" s="3" t="str">
        <x:v>Boundary</x:v>
      </x:c>
      <x:c r="K109" s="3" t="str">
        <x:v>Medium</x:v>
      </x:c>
      <x:c r="L109" s="3" t="str">
        <x:v>Medium</x:v>
      </x:c>
      <x:c r="M109" s="3" t="str">
        <x:v>Môi trường QA cô lập, DB/MinIO sẵn sàng; dữ liệu fixture đã tạo. Đăng nhập tài khoản ACTIVE, mustChangePassword=false.</x:v>
      </x:c>
      <x:c r="N109" s="3" t="str">
        <x:v>"a" lặp 120 lần, không có khoảng trắng. Fixture NEWS</x:v>
      </x:c>
      <x:c r="O109" s="3" t="str">
        <x:v>1. Chuẩn bị fixture NEWS, các trường khác hợp lệ và ID/slug mới
2. Thay riêng authorName theo Test Data
3. Gửi POST BACKEND /api/admin/news
4. Kiểm tra response và DB</x:v>
      </x:c>
      <x:c r="P109" s="3" t="str">
        <x:v>Qua validation độ dài authorName; HTTP 201; trường authorName được lưu đúng 120 ký tự.</x:v>
      </x:c>
      <x:c r="Q109" s="11" t="str"/>
      <x:c r="R109" s="8" t="str">
        <x:v>NOT RUN</x:v>
      </x:c>
      <x:c r="S109" s="11" t="str">
        <x:v>QA/UAT — cần điền URL/build</x:v>
      </x:c>
      <x:c r="T109" s="11" t="str">
        <x:v>Cần điền phiên bản thực</x:v>
      </x:c>
      <x:c r="U109" s="11" t="str"/>
      <x:c r="V109" s="12" t="str"/>
      <x:c r="W109" s="11" t="str"/>
      <x:c r="X109" s="11" t="str"/>
      <x:c r="Y109" s="3" t="str">
        <x:v>Nguồn: backend/src/modules/cms/cms.routes.ts:63. Độ dài JS/Zod dùng UTF-16; fixture ASCII để cô lập boundary. Optional min=0: Min−1 không áp dụng vì không có độ dài âm.</x:v>
      </x:c>
    </x:row>
    <x:row r="110" ht="62" customHeight="1">
      <x:c r="A110" s="3" t="n">
        <x:v>109</x:v>
      </x:c>
      <x:c r="B110" s="3" t="str">
        <x:v>TC_NEWS_048</x:v>
      </x:c>
      <x:c r="C110" s="3" t="str">
        <x:v>NEWS</x:v>
      </x:c>
      <x:c r="D110" s="3" t="str">
        <x:v>Boundary authorName</x:v>
      </x:c>
      <x:c r="E110" s="3" t="str">
        <x:v>Boundary authorName</x:v>
      </x:c>
      <x:c r="F110" s="3" t="str">
        <x:v>Boundary — POST BACKEND /api/admin/news: authorName Max+1 (121)</x:v>
      </x:c>
      <x:c r="G110" s="3" t="str">
        <x:v>POST BACKEND /api/admin/news: authorName Max+1 (121)</x:v>
      </x:c>
      <x:c r="H110" s="3" t="str">
        <x:v>NEWS-001</x:v>
      </x:c>
      <x:c r="I110" s="3" t="str">
        <x:v>QTV có quyền tương ứng</x:v>
      </x:c>
      <x:c r="J110" s="3" t="str">
        <x:v>Boundary</x:v>
      </x:c>
      <x:c r="K110" s="3" t="str">
        <x:v>Medium</x:v>
      </x:c>
      <x:c r="L110" s="3" t="str">
        <x:v>Medium</x:v>
      </x:c>
      <x:c r="M110" s="3" t="str">
        <x:v>Môi trường QA cô lập, DB/MinIO sẵn sàng; dữ liệu fixture đã tạo. Đăng nhập tài khoản ACTIVE, mustChangePassword=false.</x:v>
      </x:c>
      <x:c r="N110" s="3" t="str">
        <x:v>"a" lặp 121 lần, không có khoảng trắng. Fixture NEWS</x:v>
      </x:c>
      <x:c r="O110" s="3" t="str">
        <x:v>1. Chuẩn bị fixture NEWS, các trường khác hợp lệ và ID/slug mới
2. Thay riêng authorName theo Test Data
3. Gửi POST BACKEND /api/admin/news
4. Kiểm tra response và DB</x:v>
      </x:c>
      <x:c r="P110" s="3" t="str">
        <x:v>Từ chối độ dài authorName=121; HTTP 400 kỳ vọng, không đổi DB. Nếu CMS/Zod.parse trả 500, ghi defect hợp đồng lỗi.</x:v>
      </x:c>
      <x:c r="Q110" s="11" t="str"/>
      <x:c r="R110" s="8" t="str">
        <x:v>NOT RUN</x:v>
      </x:c>
      <x:c r="S110" s="11" t="str">
        <x:v>QA/UAT — cần điền URL/build</x:v>
      </x:c>
      <x:c r="T110" s="11" t="str">
        <x:v>Cần điền phiên bản thực</x:v>
      </x:c>
      <x:c r="U110" s="11" t="str"/>
      <x:c r="V110" s="12" t="str"/>
      <x:c r="W110" s="11" t="str"/>
      <x:c r="X110" s="11" t="str"/>
      <x:c r="Y110" s="3" t="str">
        <x:v>Nguồn: backend/src/modules/cms/cms.routes.ts:63. Độ dài JS/Zod dùng UTF-16; fixture ASCII để cô lập boundary. Optional min=0: Min−1 không áp dụng vì không có độ dài âm.</x:v>
      </x:c>
    </x:row>
    <x:row r="111" ht="62" customHeight="1">
      <x:c r="A111" s="3" t="n">
        <x:v>110</x:v>
      </x:c>
      <x:c r="B111" s="3" t="str">
        <x:v>TC_NEWS_049</x:v>
      </x:c>
      <x:c r="C111" s="3" t="str">
        <x:v>NEWS</x:v>
      </x:c>
      <x:c r="D111" s="3" t="str">
        <x:v>Boundary excerpt</x:v>
      </x:c>
      <x:c r="E111" s="3" t="str">
        <x:v>Boundary excerpt</x:v>
      </x:c>
      <x:c r="F111" s="3" t="str">
        <x:v>Boundary — POST BACKEND /api/admin/news: excerpt Min−1 (9)</x:v>
      </x:c>
      <x:c r="G111" s="3" t="str">
        <x:v>POST BACKEND /api/admin/news: excerpt Min−1 (9)</x:v>
      </x:c>
      <x:c r="H111" s="3" t="str">
        <x:v>NEWS-001</x:v>
      </x:c>
      <x:c r="I111" s="3" t="str">
        <x:v>QTV có quyền tương ứng</x:v>
      </x:c>
      <x:c r="J111" s="3" t="str">
        <x:v>Boundary</x:v>
      </x:c>
      <x:c r="K111" s="3" t="str">
        <x:v>Medium</x:v>
      </x:c>
      <x:c r="L111" s="3" t="str">
        <x:v>Medium</x:v>
      </x:c>
      <x:c r="M111" s="3" t="str">
        <x:v>Môi trường QA cô lập, DB/MinIO sẵn sàng; dữ liệu fixture đã tạo. Đăng nhập tài khoản ACTIVE, mustChangePassword=false.</x:v>
      </x:c>
      <x:c r="N111" s="3" t="str">
        <x:v>"a" lặp 9 lần, không có khoảng trắng. Fixture NEWS</x:v>
      </x:c>
      <x:c r="O111" s="3" t="str">
        <x:v>1. Chuẩn bị fixture NEWS, các trường khác hợp lệ và ID/slug mới
2. Thay riêng excerpt theo Test Data
3. Gửi POST BACKEND /api/admin/news
4. Kiểm tra response và DB</x:v>
      </x:c>
      <x:c r="P111" s="3" t="str">
        <x:v>Từ chối độ dài excerpt=9; HTTP 400 kỳ vọng, không đổi DB. Nếu CMS/Zod.parse trả 500, ghi defect hợp đồng lỗi.</x:v>
      </x:c>
      <x:c r="Q111" s="11" t="str"/>
      <x:c r="R111" s="8" t="str">
        <x:v>NOT RUN</x:v>
      </x:c>
      <x:c r="S111" s="11" t="str">
        <x:v>QA/UAT — cần điền URL/build</x:v>
      </x:c>
      <x:c r="T111" s="11" t="str">
        <x:v>Cần điền phiên bản thực</x:v>
      </x:c>
      <x:c r="U111" s="11" t="str"/>
      <x:c r="V111" s="12" t="str"/>
      <x:c r="W111" s="11" t="str"/>
      <x:c r="X111" s="11" t="str"/>
      <x:c r="Y111" s="3" t="str">
        <x:v>Nguồn: backend/src/modules/cms/cms.routes.ts:63. Độ dài JS/Zod dùng UTF-16; fixture ASCII để cô lập boundary. Optional min=0: Min−1 không áp dụng vì không có độ dài âm.</x:v>
      </x:c>
    </x:row>
    <x:row r="112" ht="62" customHeight="1">
      <x:c r="A112" s="3" t="n">
        <x:v>111</x:v>
      </x:c>
      <x:c r="B112" s="3" t="str">
        <x:v>TC_NEWS_050</x:v>
      </x:c>
      <x:c r="C112" s="3" t="str">
        <x:v>NEWS</x:v>
      </x:c>
      <x:c r="D112" s="3" t="str">
        <x:v>Boundary excerpt</x:v>
      </x:c>
      <x:c r="E112" s="3" t="str">
        <x:v>Boundary excerpt</x:v>
      </x:c>
      <x:c r="F112" s="3" t="str">
        <x:v>Boundary — POST BACKEND /api/admin/news: excerpt Min (10)</x:v>
      </x:c>
      <x:c r="G112" s="3" t="str">
        <x:v>POST BACKEND /api/admin/news: excerpt Min (10)</x:v>
      </x:c>
      <x:c r="H112" s="3" t="str">
        <x:v>NEWS-001</x:v>
      </x:c>
      <x:c r="I112" s="3" t="str">
        <x:v>QTV có quyền tương ứng</x:v>
      </x:c>
      <x:c r="J112" s="3" t="str">
        <x:v>Boundary</x:v>
      </x:c>
      <x:c r="K112" s="3" t="str">
        <x:v>Medium</x:v>
      </x:c>
      <x:c r="L112" s="3" t="str">
        <x:v>Medium</x:v>
      </x:c>
      <x:c r="M112" s="3" t="str">
        <x:v>Môi trường QA cô lập, DB/MinIO sẵn sàng; dữ liệu fixture đã tạo. Đăng nhập tài khoản ACTIVE, mustChangePassword=false.</x:v>
      </x:c>
      <x:c r="N112" s="3" t="str">
        <x:v>"a" lặp 10 lần, không có khoảng trắng. Fixture NEWS</x:v>
      </x:c>
      <x:c r="O112" s="3" t="str">
        <x:v>1. Chuẩn bị fixture NEWS, các trường khác hợp lệ và ID/slug mới
2. Thay riêng excerpt theo Test Data
3. Gửi POST BACKEND /api/admin/news
4. Kiểm tra response và DB</x:v>
      </x:c>
      <x:c r="P112" s="3" t="str">
        <x:v>Qua validation độ dài excerpt; HTTP 201; trường excerpt được lưu đúng 10 ký tự.</x:v>
      </x:c>
      <x:c r="Q112" s="11" t="str"/>
      <x:c r="R112" s="8" t="str">
        <x:v>NOT RUN</x:v>
      </x:c>
      <x:c r="S112" s="11" t="str">
        <x:v>QA/UAT — cần điền URL/build</x:v>
      </x:c>
      <x:c r="T112" s="11" t="str">
        <x:v>Cần điền phiên bản thực</x:v>
      </x:c>
      <x:c r="U112" s="11" t="str"/>
      <x:c r="V112" s="12" t="str"/>
      <x:c r="W112" s="11" t="str"/>
      <x:c r="X112" s="11" t="str"/>
      <x:c r="Y112" s="3" t="str">
        <x:v>Nguồn: backend/src/modules/cms/cms.routes.ts:63. Độ dài JS/Zod dùng UTF-16; fixture ASCII để cô lập boundary. Optional min=0: Min−1 không áp dụng vì không có độ dài âm.</x:v>
      </x:c>
    </x:row>
    <x:row r="113" ht="62" customHeight="1">
      <x:c r="A113" s="3" t="n">
        <x:v>112</x:v>
      </x:c>
      <x:c r="B113" s="3" t="str">
        <x:v>TC_NEWS_051</x:v>
      </x:c>
      <x:c r="C113" s="3" t="str">
        <x:v>NEWS</x:v>
      </x:c>
      <x:c r="D113" s="3" t="str">
        <x:v>Boundary excerpt</x:v>
      </x:c>
      <x:c r="E113" s="3" t="str">
        <x:v>Boundary excerpt</x:v>
      </x:c>
      <x:c r="F113" s="3" t="str">
        <x:v>Boundary — POST BACKEND /api/admin/news: excerpt Min+1 (11)</x:v>
      </x:c>
      <x:c r="G113" s="3" t="str">
        <x:v>POST BACKEND /api/admin/news: excerpt Min+1 (11)</x:v>
      </x:c>
      <x:c r="H113" s="3" t="str">
        <x:v>NEWS-001</x:v>
      </x:c>
      <x:c r="I113" s="3" t="str">
        <x:v>QTV có quyền tương ứng</x:v>
      </x:c>
      <x:c r="J113" s="3" t="str">
        <x:v>Boundary</x:v>
      </x:c>
      <x:c r="K113" s="3" t="str">
        <x:v>Medium</x:v>
      </x:c>
      <x:c r="L113" s="3" t="str">
        <x:v>Medium</x:v>
      </x:c>
      <x:c r="M113" s="3" t="str">
        <x:v>Môi trường QA cô lập, DB/MinIO sẵn sàng; dữ liệu fixture đã tạo. Đăng nhập tài khoản ACTIVE, mustChangePassword=false.</x:v>
      </x:c>
      <x:c r="N113" s="3" t="str">
        <x:v>"a" lặp 11 lần, không có khoảng trắng. Fixture NEWS</x:v>
      </x:c>
      <x:c r="O113" s="3" t="str">
        <x:v>1. Chuẩn bị fixture NEWS, các trường khác hợp lệ và ID/slug mới
2. Thay riêng excerpt theo Test Data
3. Gửi POST BACKEND /api/admin/news
4. Kiểm tra response và DB</x:v>
      </x:c>
      <x:c r="P113" s="3" t="str">
        <x:v>Qua validation độ dài excerpt; HTTP 201; trường excerpt được lưu đúng 11 ký tự.</x:v>
      </x:c>
      <x:c r="Q113" s="11" t="str"/>
      <x:c r="R113" s="8" t="str">
        <x:v>NOT RUN</x:v>
      </x:c>
      <x:c r="S113" s="11" t="str">
        <x:v>QA/UAT — cần điền URL/build</x:v>
      </x:c>
      <x:c r="T113" s="11" t="str">
        <x:v>Cần điền phiên bản thực</x:v>
      </x:c>
      <x:c r="U113" s="11" t="str"/>
      <x:c r="V113" s="12" t="str"/>
      <x:c r="W113" s="11" t="str"/>
      <x:c r="X113" s="11" t="str"/>
      <x:c r="Y113" s="3" t="str">
        <x:v>Nguồn: backend/src/modules/cms/cms.routes.ts:63. Độ dài JS/Zod dùng UTF-16; fixture ASCII để cô lập boundary. Optional min=0: Min−1 không áp dụng vì không có độ dài âm.</x:v>
      </x:c>
    </x:row>
    <x:row r="114" ht="62" customHeight="1">
      <x:c r="A114" s="3" t="n">
        <x:v>113</x:v>
      </x:c>
      <x:c r="B114" s="3" t="str">
        <x:v>TC_NEWS_052</x:v>
      </x:c>
      <x:c r="C114" s="3" t="str">
        <x:v>NEWS</x:v>
      </x:c>
      <x:c r="D114" s="3" t="str">
        <x:v>Boundary excerpt</x:v>
      </x:c>
      <x:c r="E114" s="3" t="str">
        <x:v>Boundary excerpt</x:v>
      </x:c>
      <x:c r="F114" s="3" t="str">
        <x:v>Boundary — POST BACKEND /api/admin/news: excerpt Max−1 (999)</x:v>
      </x:c>
      <x:c r="G114" s="3" t="str">
        <x:v>POST BACKEND /api/admin/news: excerpt Max−1 (999)</x:v>
      </x:c>
      <x:c r="H114" s="3" t="str">
        <x:v>NEWS-001</x:v>
      </x:c>
      <x:c r="I114" s="3" t="str">
        <x:v>QTV có quyền tương ứng</x:v>
      </x:c>
      <x:c r="J114" s="3" t="str">
        <x:v>Boundary</x:v>
      </x:c>
      <x:c r="K114" s="3" t="str">
        <x:v>Medium</x:v>
      </x:c>
      <x:c r="L114" s="3" t="str">
        <x:v>Medium</x:v>
      </x:c>
      <x:c r="M114" s="3" t="str">
        <x:v>Môi trường QA cô lập, DB/MinIO sẵn sàng; dữ liệu fixture đã tạo. Đăng nhập tài khoản ACTIVE, mustChangePassword=false.</x:v>
      </x:c>
      <x:c r="N114" s="3" t="str">
        <x:v>"a" lặp 999 lần, không có khoảng trắng. Fixture NEWS</x:v>
      </x:c>
      <x:c r="O114" s="3" t="str">
        <x:v>1. Chuẩn bị fixture NEWS, các trường khác hợp lệ và ID/slug mới
2. Thay riêng excerpt theo Test Data
3. Gửi POST BACKEND /api/admin/news
4. Kiểm tra response và DB</x:v>
      </x:c>
      <x:c r="P114" s="3" t="str">
        <x:v>Qua validation độ dài excerpt; HTTP 201; trường excerpt được lưu đúng 999 ký tự.</x:v>
      </x:c>
      <x:c r="Q114" s="11" t="str"/>
      <x:c r="R114" s="8" t="str">
        <x:v>NOT RUN</x:v>
      </x:c>
      <x:c r="S114" s="11" t="str">
        <x:v>QA/UAT — cần điền URL/build</x:v>
      </x:c>
      <x:c r="T114" s="11" t="str">
        <x:v>Cần điền phiên bản thực</x:v>
      </x:c>
      <x:c r="U114" s="11" t="str"/>
      <x:c r="V114" s="12" t="str"/>
      <x:c r="W114" s="11" t="str"/>
      <x:c r="X114" s="11" t="str"/>
      <x:c r="Y114" s="3" t="str">
        <x:v>Nguồn: backend/src/modules/cms/cms.routes.ts:63. Độ dài JS/Zod dùng UTF-16; fixture ASCII để cô lập boundary. Optional min=0: Min−1 không áp dụng vì không có độ dài âm.</x:v>
      </x:c>
    </x:row>
    <x:row r="115" ht="62" customHeight="1">
      <x:c r="A115" s="3" t="n">
        <x:v>114</x:v>
      </x:c>
      <x:c r="B115" s="3" t="str">
        <x:v>TC_NEWS_053</x:v>
      </x:c>
      <x:c r="C115" s="3" t="str">
        <x:v>NEWS</x:v>
      </x:c>
      <x:c r="D115" s="3" t="str">
        <x:v>Boundary excerpt</x:v>
      </x:c>
      <x:c r="E115" s="3" t="str">
        <x:v>Boundary excerpt</x:v>
      </x:c>
      <x:c r="F115" s="3" t="str">
        <x:v>Boundary — POST BACKEND /api/admin/news: excerpt Max (1000)</x:v>
      </x:c>
      <x:c r="G115" s="3" t="str">
        <x:v>POST BACKEND /api/admin/news: excerpt Max (1000)</x:v>
      </x:c>
      <x:c r="H115" s="3" t="str">
        <x:v>NEWS-001</x:v>
      </x:c>
      <x:c r="I115" s="3" t="str">
        <x:v>QTV có quyền tương ứng</x:v>
      </x:c>
      <x:c r="J115" s="3" t="str">
        <x:v>Boundary</x:v>
      </x:c>
      <x:c r="K115" s="3" t="str">
        <x:v>Medium</x:v>
      </x:c>
      <x:c r="L115" s="3" t="str">
        <x:v>Medium</x:v>
      </x:c>
      <x:c r="M115" s="3" t="str">
        <x:v>Môi trường QA cô lập, DB/MinIO sẵn sàng; dữ liệu fixture đã tạo. Đăng nhập tài khoản ACTIVE, mustChangePassword=false.</x:v>
      </x:c>
      <x:c r="N115" s="3" t="str">
        <x:v>"a" lặp 1000 lần, không có khoảng trắng. Fixture NEWS</x:v>
      </x:c>
      <x:c r="O115" s="3" t="str">
        <x:v>1. Chuẩn bị fixture NEWS, các trường khác hợp lệ và ID/slug mới
2. Thay riêng excerpt theo Test Data
3. Gửi POST BACKEND /api/admin/news
4. Kiểm tra response và DB</x:v>
      </x:c>
      <x:c r="P115" s="3" t="str">
        <x:v>Qua validation độ dài excerpt; HTTP 201; trường excerpt được lưu đúng 1000 ký tự.</x:v>
      </x:c>
      <x:c r="Q115" s="11" t="str"/>
      <x:c r="R115" s="8" t="str">
        <x:v>NOT RUN</x:v>
      </x:c>
      <x:c r="S115" s="11" t="str">
        <x:v>QA/UAT — cần điền URL/build</x:v>
      </x:c>
      <x:c r="T115" s="11" t="str">
        <x:v>Cần điền phiên bản thực</x:v>
      </x:c>
      <x:c r="U115" s="11" t="str"/>
      <x:c r="V115" s="12" t="str"/>
      <x:c r="W115" s="11" t="str"/>
      <x:c r="X115" s="11" t="str"/>
      <x:c r="Y115" s="3" t="str">
        <x:v>Nguồn: backend/src/modules/cms/cms.routes.ts:63. Độ dài JS/Zod dùng UTF-16; fixture ASCII để cô lập boundary. Optional min=0: Min−1 không áp dụng vì không có độ dài âm.</x:v>
      </x:c>
    </x:row>
    <x:row r="116" ht="62" customHeight="1">
      <x:c r="A116" s="3" t="n">
        <x:v>115</x:v>
      </x:c>
      <x:c r="B116" s="3" t="str">
        <x:v>TC_NEWS_054</x:v>
      </x:c>
      <x:c r="C116" s="3" t="str">
        <x:v>NEWS</x:v>
      </x:c>
      <x:c r="D116" s="3" t="str">
        <x:v>Boundary excerpt</x:v>
      </x:c>
      <x:c r="E116" s="3" t="str">
        <x:v>Boundary excerpt</x:v>
      </x:c>
      <x:c r="F116" s="3" t="str">
        <x:v>Boundary — POST BACKEND /api/admin/news: excerpt Max+1 (1001)</x:v>
      </x:c>
      <x:c r="G116" s="3" t="str">
        <x:v>POST BACKEND /api/admin/news: excerpt Max+1 (1001)</x:v>
      </x:c>
      <x:c r="H116" s="3" t="str">
        <x:v>NEWS-001</x:v>
      </x:c>
      <x:c r="I116" s="3" t="str">
        <x:v>QTV có quyền tương ứng</x:v>
      </x:c>
      <x:c r="J116" s="3" t="str">
        <x:v>Boundary</x:v>
      </x:c>
      <x:c r="K116" s="3" t="str">
        <x:v>Medium</x:v>
      </x:c>
      <x:c r="L116" s="3" t="str">
        <x:v>Medium</x:v>
      </x:c>
      <x:c r="M116" s="3" t="str">
        <x:v>Môi trường QA cô lập, DB/MinIO sẵn sàng; dữ liệu fixture đã tạo. Đăng nhập tài khoản ACTIVE, mustChangePassword=false.</x:v>
      </x:c>
      <x:c r="N116" s="3" t="str">
        <x:v>"a" lặp 1001 lần, không có khoảng trắng. Fixture NEWS</x:v>
      </x:c>
      <x:c r="O116" s="3" t="str">
        <x:v>1. Chuẩn bị fixture NEWS, các trường khác hợp lệ và ID/slug mới
2. Thay riêng excerpt theo Test Data
3. Gửi POST BACKEND /api/admin/news
4. Kiểm tra response và DB</x:v>
      </x:c>
      <x:c r="P116" s="3" t="str">
        <x:v>Từ chối độ dài excerpt=1001; HTTP 400 kỳ vọng, không đổi DB. Nếu CMS/Zod.parse trả 500, ghi defect hợp đồng lỗi.</x:v>
      </x:c>
      <x:c r="Q116" s="11" t="str"/>
      <x:c r="R116" s="8" t="str">
        <x:v>NOT RUN</x:v>
      </x:c>
      <x:c r="S116" s="11" t="str">
        <x:v>QA/UAT — cần điền URL/build</x:v>
      </x:c>
      <x:c r="T116" s="11" t="str">
        <x:v>Cần điền phiên bản thực</x:v>
      </x:c>
      <x:c r="U116" s="11" t="str"/>
      <x:c r="V116" s="12" t="str"/>
      <x:c r="W116" s="11" t="str"/>
      <x:c r="X116" s="11" t="str"/>
      <x:c r="Y116" s="3" t="str">
        <x:v>Nguồn: backend/src/modules/cms/cms.routes.ts:63. Độ dài JS/Zod dùng UTF-16; fixture ASCII để cô lập boundary. Optional min=0: Min−1 không áp dụng vì không có độ dài âm.</x:v>
      </x:c>
    </x:row>
    <x:row r="117" ht="62" customHeight="1">
      <x:c r="A117" s="3" t="n">
        <x:v>116</x:v>
      </x:c>
      <x:c r="B117" s="3" t="str">
        <x:v>TC_RESOURCE_033</x:v>
      </x:c>
      <x:c r="C117" s="3" t="str">
        <x:v>RESOURCE</x:v>
      </x:c>
      <x:c r="D117" s="3" t="str">
        <x:v>Boundary title</x:v>
      </x:c>
      <x:c r="E117" s="3" t="str">
        <x:v>Boundary title</x:v>
      </x:c>
      <x:c r="F117" s="3" t="str">
        <x:v>Boundary — POST BACKEND /api/admin/resources: title Min−1 (1)</x:v>
      </x:c>
      <x:c r="G117" s="3" t="str">
        <x:v>POST BACKEND /api/admin/resources: title Min−1 (1)</x:v>
      </x:c>
      <x:c r="H117" s="3" t="str">
        <x:v>RES-001</x:v>
      </x:c>
      <x:c r="I117" s="3" t="str">
        <x:v>QTV có quyền tương ứng</x:v>
      </x:c>
      <x:c r="J117" s="3" t="str">
        <x:v>Boundary</x:v>
      </x:c>
      <x:c r="K117" s="3" t="str">
        <x:v>Medium</x:v>
      </x:c>
      <x:c r="L117" s="3" t="str">
        <x:v>Medium</x:v>
      </x:c>
      <x:c r="M117" s="3" t="str">
        <x:v>Môi trường QA cô lập, DB/MinIO sẵn sàng; dữ liệu fixture đã tạo. Đăng nhập tài khoản ACTIVE, mustChangePassword=false.</x:v>
      </x:c>
      <x:c r="N117" s="3" t="str">
        <x:v>"a" lặp 1 lần, không có khoảng trắng. Fixture RESOURCE</x:v>
      </x:c>
      <x:c r="O117" s="3" t="str">
        <x:v>1. Chuẩn bị fixture RESOURCE, các trường khác hợp lệ và ID/slug mới
2. Thay riêng title theo Test Data
3. Gửi POST BACKEND /api/admin/resources
4. Kiểm tra response và DB</x:v>
      </x:c>
      <x:c r="P117" s="3" t="str">
        <x:v>Từ chối độ dài title=1; HTTP 400 kỳ vọng, không đổi DB. Nếu CMS/Zod.parse trả 500, ghi defect hợp đồng lỗi.</x:v>
      </x:c>
      <x:c r="Q117" s="11" t="str"/>
      <x:c r="R117" s="8" t="str">
        <x:v>NOT RUN</x:v>
      </x:c>
      <x:c r="S117" s="11" t="str">
        <x:v>QA/UAT — cần điền URL/build</x:v>
      </x:c>
      <x:c r="T117" s="11" t="str">
        <x:v>Cần điền phiên bản thực</x:v>
      </x:c>
      <x:c r="U117" s="11" t="str"/>
      <x:c r="V117" s="12" t="str"/>
      <x:c r="W117" s="11" t="str"/>
      <x:c r="X117" s="11" t="str"/>
      <x:c r="Y117" s="3" t="str">
        <x:v>Nguồn: backend/src/modules/cms/cms.routes.ts:63. Độ dài JS/Zod dùng UTF-16; fixture ASCII để cô lập boundary. Optional min=0: Min−1 không áp dụng vì không có độ dài âm.</x:v>
      </x:c>
    </x:row>
    <x:row r="118" ht="62" customHeight="1">
      <x:c r="A118" s="3" t="n">
        <x:v>117</x:v>
      </x:c>
      <x:c r="B118" s="3" t="str">
        <x:v>TC_RESOURCE_034</x:v>
      </x:c>
      <x:c r="C118" s="3" t="str">
        <x:v>RESOURCE</x:v>
      </x:c>
      <x:c r="D118" s="3" t="str">
        <x:v>Boundary title</x:v>
      </x:c>
      <x:c r="E118" s="3" t="str">
        <x:v>Boundary title</x:v>
      </x:c>
      <x:c r="F118" s="3" t="str">
        <x:v>Boundary — POST BACKEND /api/admin/resources: title Min (2)</x:v>
      </x:c>
      <x:c r="G118" s="3" t="str">
        <x:v>POST BACKEND /api/admin/resources: title Min (2)</x:v>
      </x:c>
      <x:c r="H118" s="3" t="str">
        <x:v>RES-001</x:v>
      </x:c>
      <x:c r="I118" s="3" t="str">
        <x:v>QTV có quyền tương ứng</x:v>
      </x:c>
      <x:c r="J118" s="3" t="str">
        <x:v>Boundary</x:v>
      </x:c>
      <x:c r="K118" s="3" t="str">
        <x:v>Medium</x:v>
      </x:c>
      <x:c r="L118" s="3" t="str">
        <x:v>Medium</x:v>
      </x:c>
      <x:c r="M118" s="3" t="str">
        <x:v>Môi trường QA cô lập, DB/MinIO sẵn sàng; dữ liệu fixture đã tạo. Đăng nhập tài khoản ACTIVE, mustChangePassword=false.</x:v>
      </x:c>
      <x:c r="N118" s="3" t="str">
        <x:v>"a" lặp 2 lần, không có khoảng trắng. Fixture RESOURCE</x:v>
      </x:c>
      <x:c r="O118" s="3" t="str">
        <x:v>1. Chuẩn bị fixture RESOURCE, các trường khác hợp lệ và ID/slug mới
2. Thay riêng title theo Test Data
3. Gửi POST BACKEND /api/admin/resources
4. Kiểm tra response và DB</x:v>
      </x:c>
      <x:c r="P118" s="3" t="str">
        <x:v>Qua validation độ dài title; HTTP 201; trường title được lưu đúng 2 ký tự.</x:v>
      </x:c>
      <x:c r="Q118" s="11" t="str"/>
      <x:c r="R118" s="8" t="str">
        <x:v>NOT RUN</x:v>
      </x:c>
      <x:c r="S118" s="11" t="str">
        <x:v>QA/UAT — cần điền URL/build</x:v>
      </x:c>
      <x:c r="T118" s="11" t="str">
        <x:v>Cần điền phiên bản thực</x:v>
      </x:c>
      <x:c r="U118" s="11" t="str"/>
      <x:c r="V118" s="12" t="str"/>
      <x:c r="W118" s="11" t="str"/>
      <x:c r="X118" s="11" t="str"/>
      <x:c r="Y118" s="3" t="str">
        <x:v>Nguồn: backend/src/modules/cms/cms.routes.ts:63. Độ dài JS/Zod dùng UTF-16; fixture ASCII để cô lập boundary. Optional min=0: Min−1 không áp dụng vì không có độ dài âm.</x:v>
      </x:c>
    </x:row>
    <x:row r="119" ht="62" customHeight="1">
      <x:c r="A119" s="3" t="n">
        <x:v>118</x:v>
      </x:c>
      <x:c r="B119" s="3" t="str">
        <x:v>TC_RESOURCE_035</x:v>
      </x:c>
      <x:c r="C119" s="3" t="str">
        <x:v>RESOURCE</x:v>
      </x:c>
      <x:c r="D119" s="3" t="str">
        <x:v>Boundary title</x:v>
      </x:c>
      <x:c r="E119" s="3" t="str">
        <x:v>Boundary title</x:v>
      </x:c>
      <x:c r="F119" s="3" t="str">
        <x:v>Boundary — POST BACKEND /api/admin/resources: title Min+1 (3)</x:v>
      </x:c>
      <x:c r="G119" s="3" t="str">
        <x:v>POST BACKEND /api/admin/resources: title Min+1 (3)</x:v>
      </x:c>
      <x:c r="H119" s="3" t="str">
        <x:v>RES-001</x:v>
      </x:c>
      <x:c r="I119" s="3" t="str">
        <x:v>QTV có quyền tương ứng</x:v>
      </x:c>
      <x:c r="J119" s="3" t="str">
        <x:v>Boundary</x:v>
      </x:c>
      <x:c r="K119" s="3" t="str">
        <x:v>Medium</x:v>
      </x:c>
      <x:c r="L119" s="3" t="str">
        <x:v>Medium</x:v>
      </x:c>
      <x:c r="M119" s="3" t="str">
        <x:v>Môi trường QA cô lập, DB/MinIO sẵn sàng; dữ liệu fixture đã tạo. Đăng nhập tài khoản ACTIVE, mustChangePassword=false.</x:v>
      </x:c>
      <x:c r="N119" s="3" t="str">
        <x:v>"a" lặp 3 lần, không có khoảng trắng. Fixture RESOURCE</x:v>
      </x:c>
      <x:c r="O119" s="3" t="str">
        <x:v>1. Chuẩn bị fixture RESOURCE, các trường khác hợp lệ và ID/slug mới
2. Thay riêng title theo Test Data
3. Gửi POST BACKEND /api/admin/resources
4. Kiểm tra response và DB</x:v>
      </x:c>
      <x:c r="P119" s="3" t="str">
        <x:v>Qua validation độ dài title; HTTP 201; trường title được lưu đúng 3 ký tự.</x:v>
      </x:c>
      <x:c r="Q119" s="11" t="str"/>
      <x:c r="R119" s="8" t="str">
        <x:v>NOT RUN</x:v>
      </x:c>
      <x:c r="S119" s="11" t="str">
        <x:v>QA/UAT — cần điền URL/build</x:v>
      </x:c>
      <x:c r="T119" s="11" t="str">
        <x:v>Cần điền phiên bản thực</x:v>
      </x:c>
      <x:c r="U119" s="11" t="str"/>
      <x:c r="V119" s="12" t="str"/>
      <x:c r="W119" s="11" t="str"/>
      <x:c r="X119" s="11" t="str"/>
      <x:c r="Y119" s="3" t="str">
        <x:v>Nguồn: backend/src/modules/cms/cms.routes.ts:63. Độ dài JS/Zod dùng UTF-16; fixture ASCII để cô lập boundary. Optional min=0: Min−1 không áp dụng vì không có độ dài âm.</x:v>
      </x:c>
    </x:row>
    <x:row r="120" ht="62" customHeight="1">
      <x:c r="A120" s="3" t="n">
        <x:v>119</x:v>
      </x:c>
      <x:c r="B120" s="3" t="str">
        <x:v>TC_RESOURCE_036</x:v>
      </x:c>
      <x:c r="C120" s="3" t="str">
        <x:v>RESOURCE</x:v>
      </x:c>
      <x:c r="D120" s="3" t="str">
        <x:v>Boundary title</x:v>
      </x:c>
      <x:c r="E120" s="3" t="str">
        <x:v>Boundary title</x:v>
      </x:c>
      <x:c r="F120" s="3" t="str">
        <x:v>Boundary — POST BACKEND /api/admin/resources: title Max−1 (249)</x:v>
      </x:c>
      <x:c r="G120" s="3" t="str">
        <x:v>POST BACKEND /api/admin/resources: title Max−1 (249)</x:v>
      </x:c>
      <x:c r="H120" s="3" t="str">
        <x:v>RES-001</x:v>
      </x:c>
      <x:c r="I120" s="3" t="str">
        <x:v>QTV có quyền tương ứng</x:v>
      </x:c>
      <x:c r="J120" s="3" t="str">
        <x:v>Boundary</x:v>
      </x:c>
      <x:c r="K120" s="3" t="str">
        <x:v>Medium</x:v>
      </x:c>
      <x:c r="L120" s="3" t="str">
        <x:v>Medium</x:v>
      </x:c>
      <x:c r="M120" s="3" t="str">
        <x:v>Môi trường QA cô lập, DB/MinIO sẵn sàng; dữ liệu fixture đã tạo. Đăng nhập tài khoản ACTIVE, mustChangePassword=false.</x:v>
      </x:c>
      <x:c r="N120" s="3" t="str">
        <x:v>"a" lặp 249 lần, không có khoảng trắng. Fixture RESOURCE</x:v>
      </x:c>
      <x:c r="O120" s="3" t="str">
        <x:v>1. Chuẩn bị fixture RESOURCE, các trường khác hợp lệ và ID/slug mới
2. Thay riêng title theo Test Data
3. Gửi POST BACKEND /api/admin/resources
4. Kiểm tra response và DB</x:v>
      </x:c>
      <x:c r="P120" s="3" t="str">
        <x:v>Qua validation độ dài title; HTTP 201; trường title được lưu đúng 249 ký tự.</x:v>
      </x:c>
      <x:c r="Q120" s="11" t="str"/>
      <x:c r="R120" s="8" t="str">
        <x:v>NOT RUN</x:v>
      </x:c>
      <x:c r="S120" s="11" t="str">
        <x:v>QA/UAT — cần điền URL/build</x:v>
      </x:c>
      <x:c r="T120" s="11" t="str">
        <x:v>Cần điền phiên bản thực</x:v>
      </x:c>
      <x:c r="U120" s="11" t="str"/>
      <x:c r="V120" s="12" t="str"/>
      <x:c r="W120" s="11" t="str"/>
      <x:c r="X120" s="11" t="str"/>
      <x:c r="Y120" s="3" t="str">
        <x:v>Nguồn: backend/src/modules/cms/cms.routes.ts:63. Độ dài JS/Zod dùng UTF-16; fixture ASCII để cô lập boundary. Optional min=0: Min−1 không áp dụng vì không có độ dài âm.</x:v>
      </x:c>
    </x:row>
    <x:row r="121" ht="62" customHeight="1">
      <x:c r="A121" s="3" t="n">
        <x:v>120</x:v>
      </x:c>
      <x:c r="B121" s="3" t="str">
        <x:v>TC_RESOURCE_037</x:v>
      </x:c>
      <x:c r="C121" s="3" t="str">
        <x:v>RESOURCE</x:v>
      </x:c>
      <x:c r="D121" s="3" t="str">
        <x:v>Boundary title</x:v>
      </x:c>
      <x:c r="E121" s="3" t="str">
        <x:v>Boundary title</x:v>
      </x:c>
      <x:c r="F121" s="3" t="str">
        <x:v>Boundary — POST BACKEND /api/admin/resources: title Max (250)</x:v>
      </x:c>
      <x:c r="G121" s="3" t="str">
        <x:v>POST BACKEND /api/admin/resources: title Max (250)</x:v>
      </x:c>
      <x:c r="H121" s="3" t="str">
        <x:v>RES-001</x:v>
      </x:c>
      <x:c r="I121" s="3" t="str">
        <x:v>QTV có quyền tương ứng</x:v>
      </x:c>
      <x:c r="J121" s="3" t="str">
        <x:v>Boundary</x:v>
      </x:c>
      <x:c r="K121" s="3" t="str">
        <x:v>Medium</x:v>
      </x:c>
      <x:c r="L121" s="3" t="str">
        <x:v>Medium</x:v>
      </x:c>
      <x:c r="M121" s="3" t="str">
        <x:v>Môi trường QA cô lập, DB/MinIO sẵn sàng; dữ liệu fixture đã tạo. Đăng nhập tài khoản ACTIVE, mustChangePassword=false.</x:v>
      </x:c>
      <x:c r="N121" s="3" t="str">
        <x:v>"a" lặp 250 lần, không có khoảng trắng. Fixture RESOURCE</x:v>
      </x:c>
      <x:c r="O121" s="3" t="str">
        <x:v>1. Chuẩn bị fixture RESOURCE, các trường khác hợp lệ và ID/slug mới
2. Thay riêng title theo Test Data
3. Gửi POST BACKEND /api/admin/resources
4. Kiểm tra response và DB</x:v>
      </x:c>
      <x:c r="P121" s="3" t="str">
        <x:v>Qua validation độ dài title; HTTP 201; trường title được lưu đúng 250 ký tự.</x:v>
      </x:c>
      <x:c r="Q121" s="11" t="str"/>
      <x:c r="R121" s="8" t="str">
        <x:v>NOT RUN</x:v>
      </x:c>
      <x:c r="S121" s="11" t="str">
        <x:v>QA/UAT — cần điền URL/build</x:v>
      </x:c>
      <x:c r="T121" s="11" t="str">
        <x:v>Cần điền phiên bản thực</x:v>
      </x:c>
      <x:c r="U121" s="11" t="str"/>
      <x:c r="V121" s="12" t="str"/>
      <x:c r="W121" s="11" t="str"/>
      <x:c r="X121" s="11" t="str"/>
      <x:c r="Y121" s="3" t="str">
        <x:v>Nguồn: backend/src/modules/cms/cms.routes.ts:63. Độ dài JS/Zod dùng UTF-16; fixture ASCII để cô lập boundary. Optional min=0: Min−1 không áp dụng vì không có độ dài âm.</x:v>
      </x:c>
    </x:row>
    <x:row r="122" ht="62" customHeight="1">
      <x:c r="A122" s="3" t="n">
        <x:v>121</x:v>
      </x:c>
      <x:c r="B122" s="3" t="str">
        <x:v>TC_RESOURCE_038</x:v>
      </x:c>
      <x:c r="C122" s="3" t="str">
        <x:v>RESOURCE</x:v>
      </x:c>
      <x:c r="D122" s="3" t="str">
        <x:v>Boundary title</x:v>
      </x:c>
      <x:c r="E122" s="3" t="str">
        <x:v>Boundary title</x:v>
      </x:c>
      <x:c r="F122" s="3" t="str">
        <x:v>Boundary — POST BACKEND /api/admin/resources: title Max+1 (251)</x:v>
      </x:c>
      <x:c r="G122" s="3" t="str">
        <x:v>POST BACKEND /api/admin/resources: title Max+1 (251)</x:v>
      </x:c>
      <x:c r="H122" s="3" t="str">
        <x:v>RES-001</x:v>
      </x:c>
      <x:c r="I122" s="3" t="str">
        <x:v>QTV có quyền tương ứng</x:v>
      </x:c>
      <x:c r="J122" s="3" t="str">
        <x:v>Boundary</x:v>
      </x:c>
      <x:c r="K122" s="3" t="str">
        <x:v>Medium</x:v>
      </x:c>
      <x:c r="L122" s="3" t="str">
        <x:v>Medium</x:v>
      </x:c>
      <x:c r="M122" s="3" t="str">
        <x:v>Môi trường QA cô lập, DB/MinIO sẵn sàng; dữ liệu fixture đã tạo. Đăng nhập tài khoản ACTIVE, mustChangePassword=false.</x:v>
      </x:c>
      <x:c r="N122" s="3" t="str">
        <x:v>"a" lặp 251 lần, không có khoảng trắng. Fixture RESOURCE</x:v>
      </x:c>
      <x:c r="O122" s="3" t="str">
        <x:v>1. Chuẩn bị fixture RESOURCE, các trường khác hợp lệ và ID/slug mới
2. Thay riêng title theo Test Data
3. Gửi POST BACKEND /api/admin/resources
4. Kiểm tra response và DB</x:v>
      </x:c>
      <x:c r="P122" s="3" t="str">
        <x:v>Từ chối độ dài title=251; HTTP 400 kỳ vọng, không đổi DB. Nếu CMS/Zod.parse trả 500, ghi defect hợp đồng lỗi.</x:v>
      </x:c>
      <x:c r="Q122" s="11" t="str"/>
      <x:c r="R122" s="8" t="str">
        <x:v>NOT RUN</x:v>
      </x:c>
      <x:c r="S122" s="11" t="str">
        <x:v>QA/UAT — cần điền URL/build</x:v>
      </x:c>
      <x:c r="T122" s="11" t="str">
        <x:v>Cần điền phiên bản thực</x:v>
      </x:c>
      <x:c r="U122" s="11" t="str"/>
      <x:c r="V122" s="12" t="str"/>
      <x:c r="W122" s="11" t="str"/>
      <x:c r="X122" s="11" t="str"/>
      <x:c r="Y122" s="3" t="str">
        <x:v>Nguồn: backend/src/modules/cms/cms.routes.ts:63. Độ dài JS/Zod dùng UTF-16; fixture ASCII để cô lập boundary. Optional min=0: Min−1 không áp dụng vì không có độ dài âm.</x:v>
      </x:c>
    </x:row>
    <x:row r="123" ht="62" customHeight="1">
      <x:c r="A123" s="3" t="n">
        <x:v>122</x:v>
      </x:c>
      <x:c r="B123" s="3" t="str">
        <x:v>TC_RESOURCE_039</x:v>
      </x:c>
      <x:c r="C123" s="3" t="str">
        <x:v>RESOURCE</x:v>
      </x:c>
      <x:c r="D123" s="3" t="str">
        <x:v>Boundary description</x:v>
      </x:c>
      <x:c r="E123" s="3" t="str">
        <x:v>Boundary description</x:v>
      </x:c>
      <x:c r="F123" s="3" t="str">
        <x:v>Boundary — POST BACKEND /api/admin/resources: description Min (0)</x:v>
      </x:c>
      <x:c r="G123" s="3" t="str">
        <x:v>POST BACKEND /api/admin/resources: description Min (0)</x:v>
      </x:c>
      <x:c r="H123" s="3" t="str">
        <x:v>RES-001</x:v>
      </x:c>
      <x:c r="I123" s="3" t="str">
        <x:v>QTV có quyền tương ứng</x:v>
      </x:c>
      <x:c r="J123" s="3" t="str">
        <x:v>Boundary</x:v>
      </x:c>
      <x:c r="K123" s="3" t="str">
        <x:v>Medium</x:v>
      </x:c>
      <x:c r="L123" s="3" t="str">
        <x:v>Medium</x:v>
      </x:c>
      <x:c r="M123" s="3" t="str">
        <x:v>Môi trường QA cô lập, DB/MinIO sẵn sàng; dữ liệu fixture đã tạo. Đăng nhập tài khoản ACTIVE, mustChangePassword=false.</x:v>
      </x:c>
      <x:c r="N123" s="3" t="str">
        <x:v>"a" lặp 0 lần, không có khoảng trắng. Fixture RESOURCE</x:v>
      </x:c>
      <x:c r="O123" s="3" t="str">
        <x:v>1. Chuẩn bị fixture RESOURCE, các trường khác hợp lệ và ID/slug mới
2. Thay riêng description theo Test Data
3. Gửi POST BACKEND /api/admin/resources
4. Kiểm tra response và DB</x:v>
      </x:c>
      <x:c r="P123" s="3" t="str">
        <x:v>Qua validation độ dài description; HTTP 201; trường description được lưu đúng 0 ký tự.</x:v>
      </x:c>
      <x:c r="Q123" s="11" t="str"/>
      <x:c r="R123" s="8" t="str">
        <x:v>NOT RUN</x:v>
      </x:c>
      <x:c r="S123" s="11" t="str">
        <x:v>QA/UAT — cần điền URL/build</x:v>
      </x:c>
      <x:c r="T123" s="11" t="str">
        <x:v>Cần điền phiên bản thực</x:v>
      </x:c>
      <x:c r="U123" s="11" t="str"/>
      <x:c r="V123" s="12" t="str"/>
      <x:c r="W123" s="11" t="str"/>
      <x:c r="X123" s="11" t="str"/>
      <x:c r="Y123" s="3" t="str">
        <x:v>Nguồn: backend/src/modules/cms/cms.routes.ts:70. Độ dài JS/Zod dùng UTF-16; fixture ASCII để cô lập boundary. Optional min=0: Min−1 không áp dụng vì không có độ dài âm.</x:v>
      </x:c>
    </x:row>
    <x:row r="124" ht="62" customHeight="1">
      <x:c r="A124" s="3" t="n">
        <x:v>123</x:v>
      </x:c>
      <x:c r="B124" s="3" t="str">
        <x:v>TC_RESOURCE_040</x:v>
      </x:c>
      <x:c r="C124" s="3" t="str">
        <x:v>RESOURCE</x:v>
      </x:c>
      <x:c r="D124" s="3" t="str">
        <x:v>Boundary description</x:v>
      </x:c>
      <x:c r="E124" s="3" t="str">
        <x:v>Boundary description</x:v>
      </x:c>
      <x:c r="F124" s="3" t="str">
        <x:v>Boundary — POST BACKEND /api/admin/resources: description Min+1 (1)</x:v>
      </x:c>
      <x:c r="G124" s="3" t="str">
        <x:v>POST BACKEND /api/admin/resources: description Min+1 (1)</x:v>
      </x:c>
      <x:c r="H124" s="3" t="str">
        <x:v>RES-001</x:v>
      </x:c>
      <x:c r="I124" s="3" t="str">
        <x:v>QTV có quyền tương ứng</x:v>
      </x:c>
      <x:c r="J124" s="3" t="str">
        <x:v>Boundary</x:v>
      </x:c>
      <x:c r="K124" s="3" t="str">
        <x:v>Medium</x:v>
      </x:c>
      <x:c r="L124" s="3" t="str">
        <x:v>Medium</x:v>
      </x:c>
      <x:c r="M124" s="3" t="str">
        <x:v>Môi trường QA cô lập, DB/MinIO sẵn sàng; dữ liệu fixture đã tạo. Đăng nhập tài khoản ACTIVE, mustChangePassword=false.</x:v>
      </x:c>
      <x:c r="N124" s="3" t="str">
        <x:v>"a" lặp 1 lần, không có khoảng trắng. Fixture RESOURCE</x:v>
      </x:c>
      <x:c r="O124" s="3" t="str">
        <x:v>1. Chuẩn bị fixture RESOURCE, các trường khác hợp lệ và ID/slug mới
2. Thay riêng description theo Test Data
3. Gửi POST BACKEND /api/admin/resources
4. Kiểm tra response và DB</x:v>
      </x:c>
      <x:c r="P124" s="3" t="str">
        <x:v>Qua validation độ dài description; HTTP 201; trường description được lưu đúng 1 ký tự.</x:v>
      </x:c>
      <x:c r="Q124" s="11" t="str"/>
      <x:c r="R124" s="8" t="str">
        <x:v>NOT RUN</x:v>
      </x:c>
      <x:c r="S124" s="11" t="str">
        <x:v>QA/UAT — cần điền URL/build</x:v>
      </x:c>
      <x:c r="T124" s="11" t="str">
        <x:v>Cần điền phiên bản thực</x:v>
      </x:c>
      <x:c r="U124" s="11" t="str"/>
      <x:c r="V124" s="12" t="str"/>
      <x:c r="W124" s="11" t="str"/>
      <x:c r="X124" s="11" t="str"/>
      <x:c r="Y124" s="3" t="str">
        <x:v>Nguồn: backend/src/modules/cms/cms.routes.ts:70. Độ dài JS/Zod dùng UTF-16; fixture ASCII để cô lập boundary. Optional min=0: Min−1 không áp dụng vì không có độ dài âm.</x:v>
      </x:c>
    </x:row>
    <x:row r="125" ht="62" customHeight="1">
      <x:c r="A125" s="3" t="n">
        <x:v>124</x:v>
      </x:c>
      <x:c r="B125" s="3" t="str">
        <x:v>TC_RESOURCE_041</x:v>
      </x:c>
      <x:c r="C125" s="3" t="str">
        <x:v>RESOURCE</x:v>
      </x:c>
      <x:c r="D125" s="3" t="str">
        <x:v>Boundary description</x:v>
      </x:c>
      <x:c r="E125" s="3" t="str">
        <x:v>Boundary description</x:v>
      </x:c>
      <x:c r="F125" s="3" t="str">
        <x:v>Boundary — POST BACKEND /api/admin/resources: description Max−1 (1999)</x:v>
      </x:c>
      <x:c r="G125" s="3" t="str">
        <x:v>POST BACKEND /api/admin/resources: description Max−1 (1999)</x:v>
      </x:c>
      <x:c r="H125" s="3" t="str">
        <x:v>RES-001</x:v>
      </x:c>
      <x:c r="I125" s="3" t="str">
        <x:v>QTV có quyền tương ứng</x:v>
      </x:c>
      <x:c r="J125" s="3" t="str">
        <x:v>Boundary</x:v>
      </x:c>
      <x:c r="K125" s="3" t="str">
        <x:v>Medium</x:v>
      </x:c>
      <x:c r="L125" s="3" t="str">
        <x:v>Medium</x:v>
      </x:c>
      <x:c r="M125" s="3" t="str">
        <x:v>Môi trường QA cô lập, DB/MinIO sẵn sàng; dữ liệu fixture đã tạo. Đăng nhập tài khoản ACTIVE, mustChangePassword=false.</x:v>
      </x:c>
      <x:c r="N125" s="3" t="str">
        <x:v>"a" lặp 1999 lần, không có khoảng trắng. Fixture RESOURCE</x:v>
      </x:c>
      <x:c r="O125" s="3" t="str">
        <x:v>1. Chuẩn bị fixture RESOURCE, các trường khác hợp lệ và ID/slug mới
2. Thay riêng description theo Test Data
3. Gửi POST BACKEND /api/admin/resources
4. Kiểm tra response và DB</x:v>
      </x:c>
      <x:c r="P125" s="3" t="str">
        <x:v>Qua validation độ dài description; HTTP 201; trường description được lưu đúng 1999 ký tự.</x:v>
      </x:c>
      <x:c r="Q125" s="11" t="str"/>
      <x:c r="R125" s="8" t="str">
        <x:v>NOT RUN</x:v>
      </x:c>
      <x:c r="S125" s="11" t="str">
        <x:v>QA/UAT — cần điền URL/build</x:v>
      </x:c>
      <x:c r="T125" s="11" t="str">
        <x:v>Cần điền phiên bản thực</x:v>
      </x:c>
      <x:c r="U125" s="11" t="str"/>
      <x:c r="V125" s="12" t="str"/>
      <x:c r="W125" s="11" t="str"/>
      <x:c r="X125" s="11" t="str"/>
      <x:c r="Y125" s="3" t="str">
        <x:v>Nguồn: backend/src/modules/cms/cms.routes.ts:70. Độ dài JS/Zod dùng UTF-16; fixture ASCII để cô lập boundary. Optional min=0: Min−1 không áp dụng vì không có độ dài âm.</x:v>
      </x:c>
    </x:row>
    <x:row r="126" ht="62" customHeight="1">
      <x:c r="A126" s="3" t="n">
        <x:v>125</x:v>
      </x:c>
      <x:c r="B126" s="3" t="str">
        <x:v>TC_RESOURCE_042</x:v>
      </x:c>
      <x:c r="C126" s="3" t="str">
        <x:v>RESOURCE</x:v>
      </x:c>
      <x:c r="D126" s="3" t="str">
        <x:v>Boundary description</x:v>
      </x:c>
      <x:c r="E126" s="3" t="str">
        <x:v>Boundary description</x:v>
      </x:c>
      <x:c r="F126" s="3" t="str">
        <x:v>Boundary — POST BACKEND /api/admin/resources: description Max (2000)</x:v>
      </x:c>
      <x:c r="G126" s="3" t="str">
        <x:v>POST BACKEND /api/admin/resources: description Max (2000)</x:v>
      </x:c>
      <x:c r="H126" s="3" t="str">
        <x:v>RES-001</x:v>
      </x:c>
      <x:c r="I126" s="3" t="str">
        <x:v>QTV có quyền tương ứng</x:v>
      </x:c>
      <x:c r="J126" s="3" t="str">
        <x:v>Boundary</x:v>
      </x:c>
      <x:c r="K126" s="3" t="str">
        <x:v>Medium</x:v>
      </x:c>
      <x:c r="L126" s="3" t="str">
        <x:v>Medium</x:v>
      </x:c>
      <x:c r="M126" s="3" t="str">
        <x:v>Môi trường QA cô lập, DB/MinIO sẵn sàng; dữ liệu fixture đã tạo. Đăng nhập tài khoản ACTIVE, mustChangePassword=false.</x:v>
      </x:c>
      <x:c r="N126" s="3" t="str">
        <x:v>"a" lặp 2000 lần, không có khoảng trắng. Fixture RESOURCE</x:v>
      </x:c>
      <x:c r="O126" s="3" t="str">
        <x:v>1. Chuẩn bị fixture RESOURCE, các trường khác hợp lệ và ID/slug mới
2. Thay riêng description theo Test Data
3. Gửi POST BACKEND /api/admin/resources
4. Kiểm tra response và DB</x:v>
      </x:c>
      <x:c r="P126" s="3" t="str">
        <x:v>Qua validation độ dài description; HTTP 201; trường description được lưu đúng 2000 ký tự.</x:v>
      </x:c>
      <x:c r="Q126" s="11" t="str"/>
      <x:c r="R126" s="8" t="str">
        <x:v>NOT RUN</x:v>
      </x:c>
      <x:c r="S126" s="11" t="str">
        <x:v>QA/UAT — cần điền URL/build</x:v>
      </x:c>
      <x:c r="T126" s="11" t="str">
        <x:v>Cần điền phiên bản thực</x:v>
      </x:c>
      <x:c r="U126" s="11" t="str"/>
      <x:c r="V126" s="12" t="str"/>
      <x:c r="W126" s="11" t="str"/>
      <x:c r="X126" s="11" t="str"/>
      <x:c r="Y126" s="3" t="str">
        <x:v>Nguồn: backend/src/modules/cms/cms.routes.ts:70. Độ dài JS/Zod dùng UTF-16; fixture ASCII để cô lập boundary. Optional min=0: Min−1 không áp dụng vì không có độ dài âm.</x:v>
      </x:c>
    </x:row>
    <x:row r="127" ht="62" customHeight="1">
      <x:c r="A127" s="3" t="n">
        <x:v>126</x:v>
      </x:c>
      <x:c r="B127" s="3" t="str">
        <x:v>TC_RESOURCE_043</x:v>
      </x:c>
      <x:c r="C127" s="3" t="str">
        <x:v>RESOURCE</x:v>
      </x:c>
      <x:c r="D127" s="3" t="str">
        <x:v>Boundary description</x:v>
      </x:c>
      <x:c r="E127" s="3" t="str">
        <x:v>Boundary description</x:v>
      </x:c>
      <x:c r="F127" s="3" t="str">
        <x:v>Boundary — POST BACKEND /api/admin/resources: description Max+1 (2001)</x:v>
      </x:c>
      <x:c r="G127" s="3" t="str">
        <x:v>POST BACKEND /api/admin/resources: description Max+1 (2001)</x:v>
      </x:c>
      <x:c r="H127" s="3" t="str">
        <x:v>RES-001</x:v>
      </x:c>
      <x:c r="I127" s="3" t="str">
        <x:v>QTV có quyền tương ứng</x:v>
      </x:c>
      <x:c r="J127" s="3" t="str">
        <x:v>Boundary</x:v>
      </x:c>
      <x:c r="K127" s="3" t="str">
        <x:v>Medium</x:v>
      </x:c>
      <x:c r="L127" s="3" t="str">
        <x:v>Medium</x:v>
      </x:c>
      <x:c r="M127" s="3" t="str">
        <x:v>Môi trường QA cô lập, DB/MinIO sẵn sàng; dữ liệu fixture đã tạo. Đăng nhập tài khoản ACTIVE, mustChangePassword=false.</x:v>
      </x:c>
      <x:c r="N127" s="3" t="str">
        <x:v>"a" lặp 2001 lần, không có khoảng trắng. Fixture RESOURCE</x:v>
      </x:c>
      <x:c r="O127" s="3" t="str">
        <x:v>1. Chuẩn bị fixture RESOURCE, các trường khác hợp lệ và ID/slug mới
2. Thay riêng description theo Test Data
3. Gửi POST BACKEND /api/admin/resources
4. Kiểm tra response và DB</x:v>
      </x:c>
      <x:c r="P127" s="3" t="str">
        <x:v>Từ chối độ dài description=2001; HTTP 400 kỳ vọng, không đổi DB. Nếu CMS/Zod.parse trả 500, ghi defect hợp đồng lỗi.</x:v>
      </x:c>
      <x:c r="Q127" s="11" t="str"/>
      <x:c r="R127" s="8" t="str">
        <x:v>NOT RUN</x:v>
      </x:c>
      <x:c r="S127" s="11" t="str">
        <x:v>QA/UAT — cần điền URL/build</x:v>
      </x:c>
      <x:c r="T127" s="11" t="str">
        <x:v>Cần điền phiên bản thực</x:v>
      </x:c>
      <x:c r="U127" s="11" t="str"/>
      <x:c r="V127" s="12" t="str"/>
      <x:c r="W127" s="11" t="str"/>
      <x:c r="X127" s="11" t="str"/>
      <x:c r="Y127" s="3" t="str">
        <x:v>Nguồn: backend/src/modules/cms/cms.routes.ts:70. Độ dài JS/Zod dùng UTF-16; fixture ASCII để cô lập boundary. Optional min=0: Min−1 không áp dụng vì không có độ dài âm.</x:v>
      </x:c>
    </x:row>
    <x:row r="128" ht="75" customHeight="1">
      <x:c r="A128" s="3" t="n">
        <x:v>127</x:v>
      </x:c>
      <x:c r="B128" s="3" t="str">
        <x:v>TC_RESOURCE_044</x:v>
      </x:c>
      <x:c r="C128" s="3" t="str">
        <x:v>RESOURCE</x:v>
      </x:c>
      <x:c r="D128" s="3" t="str">
        <x:v>Boundary documentNumber</x:v>
      </x:c>
      <x:c r="E128" s="3" t="str">
        <x:v>Boundary documentNumber</x:v>
      </x:c>
      <x:c r="F128" s="3" t="str">
        <x:v>Boundary — POST BACKEND /api/admin/resources: documentNumber Min (0)</x:v>
      </x:c>
      <x:c r="G128" s="3" t="str">
        <x:v>POST BACKEND /api/admin/resources: documentNumber Min (0)</x:v>
      </x:c>
      <x:c r="H128" s="3" t="str">
        <x:v>RES-001</x:v>
      </x:c>
      <x:c r="I128" s="3" t="str">
        <x:v>QTV có quyền tương ứng</x:v>
      </x:c>
      <x:c r="J128" s="3" t="str">
        <x:v>Boundary</x:v>
      </x:c>
      <x:c r="K128" s="3" t="str">
        <x:v>Medium</x:v>
      </x:c>
      <x:c r="L128" s="3" t="str">
        <x:v>Medium</x:v>
      </x:c>
      <x:c r="M128" s="3" t="str">
        <x:v>Môi trường QA cô lập, DB/MinIO sẵn sàng; dữ liệu fixture đã tạo. Đăng nhập tài khoản ACTIVE, mustChangePassword=false.</x:v>
      </x:c>
      <x:c r="N128" s="3" t="str">
        <x:v>"a" lặp 0 lần, không có khoảng trắng. Fixture RESOURCE_BROCHURE</x:v>
      </x:c>
      <x:c r="O128" s="3" t="str">
        <x:v>1. Chuẩn bị fixture RESOURCE_BROCHURE, các trường khác hợp lệ và ID/slug mới
2. Thay riêng documentNumber theo Test Data
3. Gửi POST BACKEND /api/admin/resources
4. Kiểm tra response và DB</x:v>
      </x:c>
      <x:c r="P128" s="3" t="str">
        <x:v>Qua validation độ dài documentNumber; HTTP 201; trường documentNumber được lưu đúng 0 ký tự.</x:v>
      </x:c>
      <x:c r="Q128" s="11" t="str"/>
      <x:c r="R128" s="8" t="str">
        <x:v>NOT RUN</x:v>
      </x:c>
      <x:c r="S128" s="11" t="str">
        <x:v>QA/UAT — cần điền URL/build</x:v>
      </x:c>
      <x:c r="T128" s="11" t="str">
        <x:v>Cần điền phiên bản thực</x:v>
      </x:c>
      <x:c r="U128" s="11" t="str"/>
      <x:c r="V128" s="12" t="str"/>
      <x:c r="W128" s="11" t="str"/>
      <x:c r="X128" s="11" t="str"/>
      <x:c r="Y128" s="3" t="str">
        <x:v>Nguồn: backend/src/modules/cms/cms.routes.ts:74. Độ dài JS/Zod dùng UTF-16; fixture ASCII để cô lập boundary. Optional min=0: Min−1 không áp dụng vì không có độ dài âm.</x:v>
      </x:c>
    </x:row>
    <x:row r="129" ht="75" customHeight="1">
      <x:c r="A129" s="3" t="n">
        <x:v>128</x:v>
      </x:c>
      <x:c r="B129" s="3" t="str">
        <x:v>TC_RESOURCE_045</x:v>
      </x:c>
      <x:c r="C129" s="3" t="str">
        <x:v>RESOURCE</x:v>
      </x:c>
      <x:c r="D129" s="3" t="str">
        <x:v>Boundary documentNumber</x:v>
      </x:c>
      <x:c r="E129" s="3" t="str">
        <x:v>Boundary documentNumber</x:v>
      </x:c>
      <x:c r="F129" s="3" t="str">
        <x:v>Boundary — POST BACKEND /api/admin/resources: documentNumber Min+1 (1)</x:v>
      </x:c>
      <x:c r="G129" s="3" t="str">
        <x:v>POST BACKEND /api/admin/resources: documentNumber Min+1 (1)</x:v>
      </x:c>
      <x:c r="H129" s="3" t="str">
        <x:v>RES-001</x:v>
      </x:c>
      <x:c r="I129" s="3" t="str">
        <x:v>QTV có quyền tương ứng</x:v>
      </x:c>
      <x:c r="J129" s="3" t="str">
        <x:v>Boundary</x:v>
      </x:c>
      <x:c r="K129" s="3" t="str">
        <x:v>Medium</x:v>
      </x:c>
      <x:c r="L129" s="3" t="str">
        <x:v>Medium</x:v>
      </x:c>
      <x:c r="M129" s="3" t="str">
        <x:v>Môi trường QA cô lập, DB/MinIO sẵn sàng; dữ liệu fixture đã tạo. Đăng nhập tài khoản ACTIVE, mustChangePassword=false.</x:v>
      </x:c>
      <x:c r="N129" s="3" t="str">
        <x:v>"a" lặp 1 lần, không có khoảng trắng. Fixture RESOURCE_BROCHURE</x:v>
      </x:c>
      <x:c r="O129" s="3" t="str">
        <x:v>1. Chuẩn bị fixture RESOURCE_BROCHURE, các trường khác hợp lệ và ID/slug mới
2. Thay riêng documentNumber theo Test Data
3. Gửi POST BACKEND /api/admin/resources
4. Kiểm tra response và DB</x:v>
      </x:c>
      <x:c r="P129" s="3" t="str">
        <x:v>Qua validation độ dài documentNumber; HTTP 201; trường documentNumber được lưu đúng 1 ký tự.</x:v>
      </x:c>
      <x:c r="Q129" s="11" t="str"/>
      <x:c r="R129" s="8" t="str">
        <x:v>NOT RUN</x:v>
      </x:c>
      <x:c r="S129" s="11" t="str">
        <x:v>QA/UAT — cần điền URL/build</x:v>
      </x:c>
      <x:c r="T129" s="11" t="str">
        <x:v>Cần điền phiên bản thực</x:v>
      </x:c>
      <x:c r="U129" s="11" t="str"/>
      <x:c r="V129" s="12" t="str"/>
      <x:c r="W129" s="11" t="str"/>
      <x:c r="X129" s="11" t="str"/>
      <x:c r="Y129" s="3" t="str">
        <x:v>Nguồn: backend/src/modules/cms/cms.routes.ts:74. Độ dài JS/Zod dùng UTF-16; fixture ASCII để cô lập boundary. Optional min=0: Min−1 không áp dụng vì không có độ dài âm.</x:v>
      </x:c>
    </x:row>
    <x:row r="130" ht="75" customHeight="1">
      <x:c r="A130" s="3" t="n">
        <x:v>129</x:v>
      </x:c>
      <x:c r="B130" s="3" t="str">
        <x:v>TC_RESOURCE_046</x:v>
      </x:c>
      <x:c r="C130" s="3" t="str">
        <x:v>RESOURCE</x:v>
      </x:c>
      <x:c r="D130" s="3" t="str">
        <x:v>Boundary documentNumber</x:v>
      </x:c>
      <x:c r="E130" s="3" t="str">
        <x:v>Boundary documentNumber</x:v>
      </x:c>
      <x:c r="F130" s="3" t="str">
        <x:v>Boundary — POST BACKEND /api/admin/resources: documentNumber Max−1 (99)</x:v>
      </x:c>
      <x:c r="G130" s="3" t="str">
        <x:v>POST BACKEND /api/admin/resources: documentNumber Max−1 (99)</x:v>
      </x:c>
      <x:c r="H130" s="3" t="str">
        <x:v>RES-001</x:v>
      </x:c>
      <x:c r="I130" s="3" t="str">
        <x:v>QTV có quyền tương ứng</x:v>
      </x:c>
      <x:c r="J130" s="3" t="str">
        <x:v>Boundary</x:v>
      </x:c>
      <x:c r="K130" s="3" t="str">
        <x:v>Medium</x:v>
      </x:c>
      <x:c r="L130" s="3" t="str">
        <x:v>Medium</x:v>
      </x:c>
      <x:c r="M130" s="3" t="str">
        <x:v>Môi trường QA cô lập, DB/MinIO sẵn sàng; dữ liệu fixture đã tạo. Đăng nhập tài khoản ACTIVE, mustChangePassword=false.</x:v>
      </x:c>
      <x:c r="N130" s="3" t="str">
        <x:v>"a" lặp 99 lần, không có khoảng trắng. Fixture RESOURCE_BROCHURE</x:v>
      </x:c>
      <x:c r="O130" s="3" t="str">
        <x:v>1. Chuẩn bị fixture RESOURCE_BROCHURE, các trường khác hợp lệ và ID/slug mới
2. Thay riêng documentNumber theo Test Data
3. Gửi POST BACKEND /api/admin/resources
4. Kiểm tra response và DB</x:v>
      </x:c>
      <x:c r="P130" s="3" t="str">
        <x:v>Qua validation độ dài documentNumber; HTTP 201; trường documentNumber được lưu đúng 99 ký tự.</x:v>
      </x:c>
      <x:c r="Q130" s="11" t="str"/>
      <x:c r="R130" s="8" t="str">
        <x:v>NOT RUN</x:v>
      </x:c>
      <x:c r="S130" s="11" t="str">
        <x:v>QA/UAT — cần điền URL/build</x:v>
      </x:c>
      <x:c r="T130" s="11" t="str">
        <x:v>Cần điền phiên bản thực</x:v>
      </x:c>
      <x:c r="U130" s="11" t="str"/>
      <x:c r="V130" s="12" t="str"/>
      <x:c r="W130" s="11" t="str"/>
      <x:c r="X130" s="11" t="str"/>
      <x:c r="Y130" s="3" t="str">
        <x:v>Nguồn: backend/src/modules/cms/cms.routes.ts:74. Độ dài JS/Zod dùng UTF-16; fixture ASCII để cô lập boundary. Optional min=0: Min−1 không áp dụng vì không có độ dài âm.</x:v>
      </x:c>
    </x:row>
    <x:row r="131" ht="75" customHeight="1">
      <x:c r="A131" s="3" t="n">
        <x:v>130</x:v>
      </x:c>
      <x:c r="B131" s="3" t="str">
        <x:v>TC_RESOURCE_047</x:v>
      </x:c>
      <x:c r="C131" s="3" t="str">
        <x:v>RESOURCE</x:v>
      </x:c>
      <x:c r="D131" s="3" t="str">
        <x:v>Boundary documentNumber</x:v>
      </x:c>
      <x:c r="E131" s="3" t="str">
        <x:v>Boundary documentNumber</x:v>
      </x:c>
      <x:c r="F131" s="3" t="str">
        <x:v>Boundary — POST BACKEND /api/admin/resources: documentNumber Max (100)</x:v>
      </x:c>
      <x:c r="G131" s="3" t="str">
        <x:v>POST BACKEND /api/admin/resources: documentNumber Max (100)</x:v>
      </x:c>
      <x:c r="H131" s="3" t="str">
        <x:v>RES-001</x:v>
      </x:c>
      <x:c r="I131" s="3" t="str">
        <x:v>QTV có quyền tương ứng</x:v>
      </x:c>
      <x:c r="J131" s="3" t="str">
        <x:v>Boundary</x:v>
      </x:c>
      <x:c r="K131" s="3" t="str">
        <x:v>Medium</x:v>
      </x:c>
      <x:c r="L131" s="3" t="str">
        <x:v>Medium</x:v>
      </x:c>
      <x:c r="M131" s="3" t="str">
        <x:v>Môi trường QA cô lập, DB/MinIO sẵn sàng; dữ liệu fixture đã tạo. Đăng nhập tài khoản ACTIVE, mustChangePassword=false.</x:v>
      </x:c>
      <x:c r="N131" s="3" t="str">
        <x:v>"a" lặp 100 lần, không có khoảng trắng. Fixture RESOURCE_BROCHURE</x:v>
      </x:c>
      <x:c r="O131" s="3" t="str">
        <x:v>1. Chuẩn bị fixture RESOURCE_BROCHURE, các trường khác hợp lệ và ID/slug mới
2. Thay riêng documentNumber theo Test Data
3. Gửi POST BACKEND /api/admin/resources
4. Kiểm tra response và DB</x:v>
      </x:c>
      <x:c r="P131" s="3" t="str">
        <x:v>Qua validation độ dài documentNumber; HTTP 201; trường documentNumber được lưu đúng 100 ký tự.</x:v>
      </x:c>
      <x:c r="Q131" s="11" t="str"/>
      <x:c r="R131" s="8" t="str">
        <x:v>NOT RUN</x:v>
      </x:c>
      <x:c r="S131" s="11" t="str">
        <x:v>QA/UAT — cần điền URL/build</x:v>
      </x:c>
      <x:c r="T131" s="11" t="str">
        <x:v>Cần điền phiên bản thực</x:v>
      </x:c>
      <x:c r="U131" s="11" t="str"/>
      <x:c r="V131" s="12" t="str"/>
      <x:c r="W131" s="11" t="str"/>
      <x:c r="X131" s="11" t="str"/>
      <x:c r="Y131" s="3" t="str">
        <x:v>Nguồn: backend/src/modules/cms/cms.routes.ts:74. Độ dài JS/Zod dùng UTF-16; fixture ASCII để cô lập boundary. Optional min=0: Min−1 không áp dụng vì không có độ dài âm.</x:v>
      </x:c>
    </x:row>
    <x:row r="132" ht="75" customHeight="1">
      <x:c r="A132" s="3" t="n">
        <x:v>131</x:v>
      </x:c>
      <x:c r="B132" s="3" t="str">
        <x:v>TC_RESOURCE_048</x:v>
      </x:c>
      <x:c r="C132" s="3" t="str">
        <x:v>RESOURCE</x:v>
      </x:c>
      <x:c r="D132" s="3" t="str">
        <x:v>Boundary documentNumber</x:v>
      </x:c>
      <x:c r="E132" s="3" t="str">
        <x:v>Boundary documentNumber</x:v>
      </x:c>
      <x:c r="F132" s="3" t="str">
        <x:v>Boundary — POST BACKEND /api/admin/resources: documentNumber Max+1 (101)</x:v>
      </x:c>
      <x:c r="G132" s="3" t="str">
        <x:v>POST BACKEND /api/admin/resources: documentNumber Max+1 (101)</x:v>
      </x:c>
      <x:c r="H132" s="3" t="str">
        <x:v>RES-001</x:v>
      </x:c>
      <x:c r="I132" s="3" t="str">
        <x:v>QTV có quyền tương ứng</x:v>
      </x:c>
      <x:c r="J132" s="3" t="str">
        <x:v>Boundary</x:v>
      </x:c>
      <x:c r="K132" s="3" t="str">
        <x:v>Medium</x:v>
      </x:c>
      <x:c r="L132" s="3" t="str">
        <x:v>Medium</x:v>
      </x:c>
      <x:c r="M132" s="3" t="str">
        <x:v>Môi trường QA cô lập, DB/MinIO sẵn sàng; dữ liệu fixture đã tạo. Đăng nhập tài khoản ACTIVE, mustChangePassword=false.</x:v>
      </x:c>
      <x:c r="N132" s="3" t="str">
        <x:v>"a" lặp 101 lần, không có khoảng trắng. Fixture RESOURCE_BROCHURE</x:v>
      </x:c>
      <x:c r="O132" s="3" t="str">
        <x:v>1. Chuẩn bị fixture RESOURCE_BROCHURE, các trường khác hợp lệ và ID/slug mới
2. Thay riêng documentNumber theo Test Data
3. Gửi POST BACKEND /api/admin/resources
4. Kiểm tra response và DB</x:v>
      </x:c>
      <x:c r="P132" s="3" t="str">
        <x:v>Từ chối độ dài documentNumber=101; HTTP 400 kỳ vọng, không đổi DB. Nếu CMS/Zod.parse trả 500, ghi defect hợp đồng lỗi.</x:v>
      </x:c>
      <x:c r="Q132" s="11" t="str"/>
      <x:c r="R132" s="8" t="str">
        <x:v>NOT RUN</x:v>
      </x:c>
      <x:c r="S132" s="11" t="str">
        <x:v>QA/UAT — cần điền URL/build</x:v>
      </x:c>
      <x:c r="T132" s="11" t="str">
        <x:v>Cần điền phiên bản thực</x:v>
      </x:c>
      <x:c r="U132" s="11" t="str"/>
      <x:c r="V132" s="12" t="str"/>
      <x:c r="W132" s="11" t="str"/>
      <x:c r="X132" s="11" t="str"/>
      <x:c r="Y132" s="3" t="str">
        <x:v>Nguồn: backend/src/modules/cms/cms.routes.ts:74. Độ dài JS/Zod dùng UTF-16; fixture ASCII để cô lập boundary. Optional min=0: Min−1 không áp dụng vì không có độ dài âm.</x:v>
      </x:c>
    </x:row>
    <x:row r="133" ht="75" customHeight="1">
      <x:c r="A133" s="3" t="n">
        <x:v>132</x:v>
      </x:c>
      <x:c r="B133" s="3" t="str">
        <x:v>TC_RESOURCE_049</x:v>
      </x:c>
      <x:c r="C133" s="3" t="str">
        <x:v>RESOURCE</x:v>
      </x:c>
      <x:c r="D133" s="3" t="str">
        <x:v>Boundary issuingOrganization</x:v>
      </x:c>
      <x:c r="E133" s="3" t="str">
        <x:v>Boundary issuingOrganization</x:v>
      </x:c>
      <x:c r="F133" s="3" t="str">
        <x:v>Boundary — POST BACKEND /api/admin/resources: issuingOrganization Min (0)</x:v>
      </x:c>
      <x:c r="G133" s="3" t="str">
        <x:v>POST BACKEND /api/admin/resources: issuingOrganization Min (0)</x:v>
      </x:c>
      <x:c r="H133" s="3" t="str">
        <x:v>RES-001</x:v>
      </x:c>
      <x:c r="I133" s="3" t="str">
        <x:v>QTV có quyền tương ứng</x:v>
      </x:c>
      <x:c r="J133" s="3" t="str">
        <x:v>Boundary</x:v>
      </x:c>
      <x:c r="K133" s="3" t="str">
        <x:v>Medium</x:v>
      </x:c>
      <x:c r="L133" s="3" t="str">
        <x:v>Medium</x:v>
      </x:c>
      <x:c r="M133" s="3" t="str">
        <x:v>Môi trường QA cô lập, DB/MinIO sẵn sàng; dữ liệu fixture đã tạo. Đăng nhập tài khoản ACTIVE, mustChangePassword=false.</x:v>
      </x:c>
      <x:c r="N133" s="3" t="str">
        <x:v>"a" lặp 0 lần, không có khoảng trắng. Fixture RESOURCE_BROCHURE</x:v>
      </x:c>
      <x:c r="O133" s="3" t="str">
        <x:v>1. Chuẩn bị fixture RESOURCE_BROCHURE, các trường khác hợp lệ và ID/slug mới
2. Thay riêng issuingOrganization theo Test Data
3. Gửi POST BACKEND /api/admin/resources
4. Kiểm tra response và DB</x:v>
      </x:c>
      <x:c r="P133" s="3" t="str">
        <x:v>Qua validation độ dài issuingOrganization; HTTP 201; trường issuingOrganization được lưu đúng 0 ký tự.</x:v>
      </x:c>
      <x:c r="Q133" s="11" t="str"/>
      <x:c r="R133" s="8" t="str">
        <x:v>NOT RUN</x:v>
      </x:c>
      <x:c r="S133" s="11" t="str">
        <x:v>QA/UAT — cần điền URL/build</x:v>
      </x:c>
      <x:c r="T133" s="11" t="str">
        <x:v>Cần điền phiên bản thực</x:v>
      </x:c>
      <x:c r="U133" s="11" t="str"/>
      <x:c r="V133" s="12" t="str"/>
      <x:c r="W133" s="11" t="str"/>
      <x:c r="X133" s="11" t="str"/>
      <x:c r="Y133" s="3" t="str">
        <x:v>Nguồn: backend/src/modules/cms/cms.routes.ts:76. Độ dài JS/Zod dùng UTF-16; fixture ASCII để cô lập boundary. Optional min=0: Min−1 không áp dụng vì không có độ dài âm.</x:v>
      </x:c>
    </x:row>
    <x:row r="134" ht="75" customHeight="1">
      <x:c r="A134" s="3" t="n">
        <x:v>133</x:v>
      </x:c>
      <x:c r="B134" s="3" t="str">
        <x:v>TC_RESOURCE_050</x:v>
      </x:c>
      <x:c r="C134" s="3" t="str">
        <x:v>RESOURCE</x:v>
      </x:c>
      <x:c r="D134" s="3" t="str">
        <x:v>Boundary issuingOrganization</x:v>
      </x:c>
      <x:c r="E134" s="3" t="str">
        <x:v>Boundary issuingOrganization</x:v>
      </x:c>
      <x:c r="F134" s="3" t="str">
        <x:v>Boundary — POST BACKEND /api/admin/resources: issuingOrganization Min+1 (1)</x:v>
      </x:c>
      <x:c r="G134" s="3" t="str">
        <x:v>POST BACKEND /api/admin/resources: issuingOrganization Min+1 (1)</x:v>
      </x:c>
      <x:c r="H134" s="3" t="str">
        <x:v>RES-001</x:v>
      </x:c>
      <x:c r="I134" s="3" t="str">
        <x:v>QTV có quyền tương ứng</x:v>
      </x:c>
      <x:c r="J134" s="3" t="str">
        <x:v>Boundary</x:v>
      </x:c>
      <x:c r="K134" s="3" t="str">
        <x:v>Medium</x:v>
      </x:c>
      <x:c r="L134" s="3" t="str">
        <x:v>Medium</x:v>
      </x:c>
      <x:c r="M134" s="3" t="str">
        <x:v>Môi trường QA cô lập, DB/MinIO sẵn sàng; dữ liệu fixture đã tạo. Đăng nhập tài khoản ACTIVE, mustChangePassword=false.</x:v>
      </x:c>
      <x:c r="N134" s="3" t="str">
        <x:v>"a" lặp 1 lần, không có khoảng trắng. Fixture RESOURCE_BROCHURE</x:v>
      </x:c>
      <x:c r="O134" s="3" t="str">
        <x:v>1. Chuẩn bị fixture RESOURCE_BROCHURE, các trường khác hợp lệ và ID/slug mới
2. Thay riêng issuingOrganization theo Test Data
3. Gửi POST BACKEND /api/admin/resources
4. Kiểm tra response và DB</x:v>
      </x:c>
      <x:c r="P134" s="3" t="str">
        <x:v>Qua validation độ dài issuingOrganization; HTTP 201; trường issuingOrganization được lưu đúng 1 ký tự.</x:v>
      </x:c>
      <x:c r="Q134" s="11" t="str"/>
      <x:c r="R134" s="8" t="str">
        <x:v>NOT RUN</x:v>
      </x:c>
      <x:c r="S134" s="11" t="str">
        <x:v>QA/UAT — cần điền URL/build</x:v>
      </x:c>
      <x:c r="T134" s="11" t="str">
        <x:v>Cần điền phiên bản thực</x:v>
      </x:c>
      <x:c r="U134" s="11" t="str"/>
      <x:c r="V134" s="12" t="str"/>
      <x:c r="W134" s="11" t="str"/>
      <x:c r="X134" s="11" t="str"/>
      <x:c r="Y134" s="3" t="str">
        <x:v>Nguồn: backend/src/modules/cms/cms.routes.ts:76. Độ dài JS/Zod dùng UTF-16; fixture ASCII để cô lập boundary. Optional min=0: Min−1 không áp dụng vì không có độ dài âm.</x:v>
      </x:c>
    </x:row>
    <x:row r="135" ht="75" customHeight="1">
      <x:c r="A135" s="3" t="n">
        <x:v>134</x:v>
      </x:c>
      <x:c r="B135" s="3" t="str">
        <x:v>TC_RESOURCE_051</x:v>
      </x:c>
      <x:c r="C135" s="3" t="str">
        <x:v>RESOURCE</x:v>
      </x:c>
      <x:c r="D135" s="3" t="str">
        <x:v>Boundary issuingOrganization</x:v>
      </x:c>
      <x:c r="E135" s="3" t="str">
        <x:v>Boundary issuingOrganization</x:v>
      </x:c>
      <x:c r="F135" s="3" t="str">
        <x:v>Boundary — POST BACKEND /api/admin/resources: issuingOrganization Max−1 (249)</x:v>
      </x:c>
      <x:c r="G135" s="3" t="str">
        <x:v>POST BACKEND /api/admin/resources: issuingOrganization Max−1 (249)</x:v>
      </x:c>
      <x:c r="H135" s="3" t="str">
        <x:v>RES-001</x:v>
      </x:c>
      <x:c r="I135" s="3" t="str">
        <x:v>QTV có quyền tương ứng</x:v>
      </x:c>
      <x:c r="J135" s="3" t="str">
        <x:v>Boundary</x:v>
      </x:c>
      <x:c r="K135" s="3" t="str">
        <x:v>Medium</x:v>
      </x:c>
      <x:c r="L135" s="3" t="str">
        <x:v>Medium</x:v>
      </x:c>
      <x:c r="M135" s="3" t="str">
        <x:v>Môi trường QA cô lập, DB/MinIO sẵn sàng; dữ liệu fixture đã tạo. Đăng nhập tài khoản ACTIVE, mustChangePassword=false.</x:v>
      </x:c>
      <x:c r="N135" s="3" t="str">
        <x:v>"a" lặp 249 lần, không có khoảng trắng. Fixture RESOURCE_BROCHURE</x:v>
      </x:c>
      <x:c r="O135" s="3" t="str">
        <x:v>1. Chuẩn bị fixture RESOURCE_BROCHURE, các trường khác hợp lệ và ID/slug mới
2. Thay riêng issuingOrganization theo Test Data
3. Gửi POST BACKEND /api/admin/resources
4. Kiểm tra response và DB</x:v>
      </x:c>
      <x:c r="P135" s="3" t="str">
        <x:v>Qua validation độ dài issuingOrganization; HTTP 201; trường issuingOrganization được lưu đúng 249 ký tự.</x:v>
      </x:c>
      <x:c r="Q135" s="11" t="str"/>
      <x:c r="R135" s="8" t="str">
        <x:v>NOT RUN</x:v>
      </x:c>
      <x:c r="S135" s="11" t="str">
        <x:v>QA/UAT — cần điền URL/build</x:v>
      </x:c>
      <x:c r="T135" s="11" t="str">
        <x:v>Cần điền phiên bản thực</x:v>
      </x:c>
      <x:c r="U135" s="11" t="str"/>
      <x:c r="V135" s="12" t="str"/>
      <x:c r="W135" s="11" t="str"/>
      <x:c r="X135" s="11" t="str"/>
      <x:c r="Y135" s="3" t="str">
        <x:v>Nguồn: backend/src/modules/cms/cms.routes.ts:76. Độ dài JS/Zod dùng UTF-16; fixture ASCII để cô lập boundary. Optional min=0: Min−1 không áp dụng vì không có độ dài âm.</x:v>
      </x:c>
    </x:row>
    <x:row r="136" ht="75" customHeight="1">
      <x:c r="A136" s="3" t="n">
        <x:v>135</x:v>
      </x:c>
      <x:c r="B136" s="3" t="str">
        <x:v>TC_RESOURCE_052</x:v>
      </x:c>
      <x:c r="C136" s="3" t="str">
        <x:v>RESOURCE</x:v>
      </x:c>
      <x:c r="D136" s="3" t="str">
        <x:v>Boundary issuingOrganization</x:v>
      </x:c>
      <x:c r="E136" s="3" t="str">
        <x:v>Boundary issuingOrganization</x:v>
      </x:c>
      <x:c r="F136" s="3" t="str">
        <x:v>Boundary — POST BACKEND /api/admin/resources: issuingOrganization Max (250)</x:v>
      </x:c>
      <x:c r="G136" s="3" t="str">
        <x:v>POST BACKEND /api/admin/resources: issuingOrganization Max (250)</x:v>
      </x:c>
      <x:c r="H136" s="3" t="str">
        <x:v>RES-001</x:v>
      </x:c>
      <x:c r="I136" s="3" t="str">
        <x:v>QTV có quyền tương ứng</x:v>
      </x:c>
      <x:c r="J136" s="3" t="str">
        <x:v>Boundary</x:v>
      </x:c>
      <x:c r="K136" s="3" t="str">
        <x:v>Medium</x:v>
      </x:c>
      <x:c r="L136" s="3" t="str">
        <x:v>Medium</x:v>
      </x:c>
      <x:c r="M136" s="3" t="str">
        <x:v>Môi trường QA cô lập, DB/MinIO sẵn sàng; dữ liệu fixture đã tạo. Đăng nhập tài khoản ACTIVE, mustChangePassword=false.</x:v>
      </x:c>
      <x:c r="N136" s="3" t="str">
        <x:v>"a" lặp 250 lần, không có khoảng trắng. Fixture RESOURCE_BROCHURE</x:v>
      </x:c>
      <x:c r="O136" s="3" t="str">
        <x:v>1. Chuẩn bị fixture RESOURCE_BROCHURE, các trường khác hợp lệ và ID/slug mới
2. Thay riêng issuingOrganization theo Test Data
3. Gửi POST BACKEND /api/admin/resources
4. Kiểm tra response và DB</x:v>
      </x:c>
      <x:c r="P136" s="3" t="str">
        <x:v>Qua validation độ dài issuingOrganization; HTTP 201; trường issuingOrganization được lưu đúng 250 ký tự.</x:v>
      </x:c>
      <x:c r="Q136" s="11" t="str"/>
      <x:c r="R136" s="8" t="str">
        <x:v>NOT RUN</x:v>
      </x:c>
      <x:c r="S136" s="11" t="str">
        <x:v>QA/UAT — cần điền URL/build</x:v>
      </x:c>
      <x:c r="T136" s="11" t="str">
        <x:v>Cần điền phiên bản thực</x:v>
      </x:c>
      <x:c r="U136" s="11" t="str"/>
      <x:c r="V136" s="12" t="str"/>
      <x:c r="W136" s="11" t="str"/>
      <x:c r="X136" s="11" t="str"/>
      <x:c r="Y136" s="3" t="str">
        <x:v>Nguồn: backend/src/modules/cms/cms.routes.ts:76. Độ dài JS/Zod dùng UTF-16; fixture ASCII để cô lập boundary. Optional min=0: Min−1 không áp dụng vì không có độ dài âm.</x:v>
      </x:c>
    </x:row>
    <x:row r="137" ht="75" customHeight="1">
      <x:c r="A137" s="3" t="n">
        <x:v>136</x:v>
      </x:c>
      <x:c r="B137" s="3" t="str">
        <x:v>TC_RESOURCE_053</x:v>
      </x:c>
      <x:c r="C137" s="3" t="str">
        <x:v>RESOURCE</x:v>
      </x:c>
      <x:c r="D137" s="3" t="str">
        <x:v>Boundary issuingOrganization</x:v>
      </x:c>
      <x:c r="E137" s="3" t="str">
        <x:v>Boundary issuingOrganization</x:v>
      </x:c>
      <x:c r="F137" s="3" t="str">
        <x:v>Boundary — POST BACKEND /api/admin/resources: issuingOrganization Max+1 (251)</x:v>
      </x:c>
      <x:c r="G137" s="3" t="str">
        <x:v>POST BACKEND /api/admin/resources: issuingOrganization Max+1 (251)</x:v>
      </x:c>
      <x:c r="H137" s="3" t="str">
        <x:v>RES-001</x:v>
      </x:c>
      <x:c r="I137" s="3" t="str">
        <x:v>QTV có quyền tương ứng</x:v>
      </x:c>
      <x:c r="J137" s="3" t="str">
        <x:v>Boundary</x:v>
      </x:c>
      <x:c r="K137" s="3" t="str">
        <x:v>Medium</x:v>
      </x:c>
      <x:c r="L137" s="3" t="str">
        <x:v>Medium</x:v>
      </x:c>
      <x:c r="M137" s="3" t="str">
        <x:v>Môi trường QA cô lập, DB/MinIO sẵn sàng; dữ liệu fixture đã tạo. Đăng nhập tài khoản ACTIVE, mustChangePassword=false.</x:v>
      </x:c>
      <x:c r="N137" s="3" t="str">
        <x:v>"a" lặp 251 lần, không có khoảng trắng. Fixture RESOURCE_BROCHURE</x:v>
      </x:c>
      <x:c r="O137" s="3" t="str">
        <x:v>1. Chuẩn bị fixture RESOURCE_BROCHURE, các trường khác hợp lệ và ID/slug mới
2. Thay riêng issuingOrganization theo Test Data
3. Gửi POST BACKEND /api/admin/resources
4. Kiểm tra response và DB</x:v>
      </x:c>
      <x:c r="P137" s="3" t="str">
        <x:v>Từ chối độ dài issuingOrganization=251; HTTP 400 kỳ vọng, không đổi DB. Nếu CMS/Zod.parse trả 500, ghi defect hợp đồng lỗi.</x:v>
      </x:c>
      <x:c r="Q137" s="11" t="str"/>
      <x:c r="R137" s="8" t="str">
        <x:v>NOT RUN</x:v>
      </x:c>
      <x:c r="S137" s="11" t="str">
        <x:v>QA/UAT — cần điền URL/build</x:v>
      </x:c>
      <x:c r="T137" s="11" t="str">
        <x:v>Cần điền phiên bản thực</x:v>
      </x:c>
      <x:c r="U137" s="11" t="str"/>
      <x:c r="V137" s="12" t="str"/>
      <x:c r="W137" s="11" t="str"/>
      <x:c r="X137" s="11" t="str"/>
      <x:c r="Y137" s="3" t="str">
        <x:v>Nguồn: backend/src/modules/cms/cms.routes.ts:76. Độ dài JS/Zod dùng UTF-16; fixture ASCII để cô lập boundary. Optional min=0: Min−1 không áp dụng vì không có độ dài âm.</x:v>
      </x:c>
    </x:row>
    <x:row r="138" ht="62" customHeight="1">
      <x:c r="A138" s="3" t="n">
        <x:v>137</x:v>
      </x:c>
      <x:c r="B138" s="3" t="str">
        <x:v>TC_RESOURCE_054</x:v>
      </x:c>
      <x:c r="C138" s="3" t="str">
        <x:v>RESOURCE</x:v>
      </x:c>
      <x:c r="D138" s="3" t="str">
        <x:v>Boundary fileName</x:v>
      </x:c>
      <x:c r="E138" s="3" t="str">
        <x:v>Boundary fileName</x:v>
      </x:c>
      <x:c r="F138" s="3" t="str">
        <x:v>Boundary — POST BACKEND /api/admin/resources: fileName Min−1 (0)</x:v>
      </x:c>
      <x:c r="G138" s="3" t="str">
        <x:v>POST BACKEND /api/admin/resources: fileName Min−1 (0)</x:v>
      </x:c>
      <x:c r="H138" s="3" t="str">
        <x:v>RES-001</x:v>
      </x:c>
      <x:c r="I138" s="3" t="str">
        <x:v>QTV có quyền tương ứng</x:v>
      </x:c>
      <x:c r="J138" s="3" t="str">
        <x:v>Boundary</x:v>
      </x:c>
      <x:c r="K138" s="3" t="str">
        <x:v>Medium</x:v>
      </x:c>
      <x:c r="L138" s="3" t="str">
        <x:v>Medium</x:v>
      </x:c>
      <x:c r="M138" s="3" t="str">
        <x:v>Môi trường QA cô lập, DB/MinIO sẵn sàng; dữ liệu fixture đã tạo. Đăng nhập tài khoản ACTIVE, mustChangePassword=false.</x:v>
      </x:c>
      <x:c r="N138" s="3" t="str">
        <x:v>"a" lặp 0 lần, không có khoảng trắng. Fixture RESOURCE</x:v>
      </x:c>
      <x:c r="O138" s="3" t="str">
        <x:v>1. Chuẩn bị fixture RESOURCE, các trường khác hợp lệ và ID/slug mới
2. Thay riêng fileName theo Test Data
3. Gửi POST BACKEND /api/admin/resources
4. Kiểm tra response và DB</x:v>
      </x:c>
      <x:c r="P138" s="3" t="str">
        <x:v>Từ chối độ dài fileName=0; HTTP 400 kỳ vọng, không đổi DB. Nếu CMS/Zod.parse trả 500, ghi defect hợp đồng lỗi.</x:v>
      </x:c>
      <x:c r="Q138" s="11" t="str"/>
      <x:c r="R138" s="8" t="str">
        <x:v>NOT RUN</x:v>
      </x:c>
      <x:c r="S138" s="11" t="str">
        <x:v>QA/UAT — cần điền URL/build</x:v>
      </x:c>
      <x:c r="T138" s="11" t="str">
        <x:v>Cần điền phiên bản thực</x:v>
      </x:c>
      <x:c r="U138" s="11" t="str"/>
      <x:c r="V138" s="12" t="str"/>
      <x:c r="W138" s="11" t="str"/>
      <x:c r="X138" s="11" t="str"/>
      <x:c r="Y138" s="3" t="str">
        <x:v>Nguồn: backend/src/modules/cms/cms.routes.ts:78. Độ dài JS/Zod dùng UTF-16; fixture ASCII để cô lập boundary. Optional min=0: Min−1 không áp dụng vì không có độ dài âm.</x:v>
      </x:c>
    </x:row>
    <x:row r="139" ht="62" customHeight="1">
      <x:c r="A139" s="3" t="n">
        <x:v>138</x:v>
      </x:c>
      <x:c r="B139" s="3" t="str">
        <x:v>TC_RESOURCE_055</x:v>
      </x:c>
      <x:c r="C139" s="3" t="str">
        <x:v>RESOURCE</x:v>
      </x:c>
      <x:c r="D139" s="3" t="str">
        <x:v>Boundary fileName</x:v>
      </x:c>
      <x:c r="E139" s="3" t="str">
        <x:v>Boundary fileName</x:v>
      </x:c>
      <x:c r="F139" s="3" t="str">
        <x:v>Boundary — POST BACKEND /api/admin/resources: fileName Min (1)</x:v>
      </x:c>
      <x:c r="G139" s="3" t="str">
        <x:v>POST BACKEND /api/admin/resources: fileName Min (1)</x:v>
      </x:c>
      <x:c r="H139" s="3" t="str">
        <x:v>RES-001</x:v>
      </x:c>
      <x:c r="I139" s="3" t="str">
        <x:v>QTV có quyền tương ứng</x:v>
      </x:c>
      <x:c r="J139" s="3" t="str">
        <x:v>Boundary</x:v>
      </x:c>
      <x:c r="K139" s="3" t="str">
        <x:v>Medium</x:v>
      </x:c>
      <x:c r="L139" s="3" t="str">
        <x:v>Medium</x:v>
      </x:c>
      <x:c r="M139" s="3" t="str">
        <x:v>Môi trường QA cô lập, DB/MinIO sẵn sàng; dữ liệu fixture đã tạo. Đăng nhập tài khoản ACTIVE, mustChangePassword=false.</x:v>
      </x:c>
      <x:c r="N139" s="3" t="str">
        <x:v>"a" lặp 1 lần, không có khoảng trắng. Fixture RESOURCE</x:v>
      </x:c>
      <x:c r="O139" s="3" t="str">
        <x:v>1. Chuẩn bị fixture RESOURCE, các trường khác hợp lệ và ID/slug mới
2. Thay riêng fileName theo Test Data
3. Gửi POST BACKEND /api/admin/resources
4. Kiểm tra response và DB</x:v>
      </x:c>
      <x:c r="P139" s="3" t="str">
        <x:v>Qua validation độ dài fileName; HTTP 201; trường fileName được lưu đúng 1 ký tự.</x:v>
      </x:c>
      <x:c r="Q139" s="11" t="str"/>
      <x:c r="R139" s="8" t="str">
        <x:v>NOT RUN</x:v>
      </x:c>
      <x:c r="S139" s="11" t="str">
        <x:v>QA/UAT — cần điền URL/build</x:v>
      </x:c>
      <x:c r="T139" s="11" t="str">
        <x:v>Cần điền phiên bản thực</x:v>
      </x:c>
      <x:c r="U139" s="11" t="str"/>
      <x:c r="V139" s="12" t="str"/>
      <x:c r="W139" s="11" t="str"/>
      <x:c r="X139" s="11" t="str"/>
      <x:c r="Y139" s="3" t="str">
        <x:v>Nguồn: backend/src/modules/cms/cms.routes.ts:78. Độ dài JS/Zod dùng UTF-16; fixture ASCII để cô lập boundary. Optional min=0: Min−1 không áp dụng vì không có độ dài âm.</x:v>
      </x:c>
    </x:row>
    <x:row r="140" ht="62" customHeight="1">
      <x:c r="A140" s="3" t="n">
        <x:v>139</x:v>
      </x:c>
      <x:c r="B140" s="3" t="str">
        <x:v>TC_RESOURCE_056</x:v>
      </x:c>
      <x:c r="C140" s="3" t="str">
        <x:v>RESOURCE</x:v>
      </x:c>
      <x:c r="D140" s="3" t="str">
        <x:v>Boundary fileName</x:v>
      </x:c>
      <x:c r="E140" s="3" t="str">
        <x:v>Boundary fileName</x:v>
      </x:c>
      <x:c r="F140" s="3" t="str">
        <x:v>Boundary — POST BACKEND /api/admin/resources: fileName Min+1 (2)</x:v>
      </x:c>
      <x:c r="G140" s="3" t="str">
        <x:v>POST BACKEND /api/admin/resources: fileName Min+1 (2)</x:v>
      </x:c>
      <x:c r="H140" s="3" t="str">
        <x:v>RES-001</x:v>
      </x:c>
      <x:c r="I140" s="3" t="str">
        <x:v>QTV có quyền tương ứng</x:v>
      </x:c>
      <x:c r="J140" s="3" t="str">
        <x:v>Boundary</x:v>
      </x:c>
      <x:c r="K140" s="3" t="str">
        <x:v>Medium</x:v>
      </x:c>
      <x:c r="L140" s="3" t="str">
        <x:v>Medium</x:v>
      </x:c>
      <x:c r="M140" s="3" t="str">
        <x:v>Môi trường QA cô lập, DB/MinIO sẵn sàng; dữ liệu fixture đã tạo. Đăng nhập tài khoản ACTIVE, mustChangePassword=false.</x:v>
      </x:c>
      <x:c r="N140" s="3" t="str">
        <x:v>"a" lặp 2 lần, không có khoảng trắng. Fixture RESOURCE</x:v>
      </x:c>
      <x:c r="O140" s="3" t="str">
        <x:v>1. Chuẩn bị fixture RESOURCE, các trường khác hợp lệ và ID/slug mới
2. Thay riêng fileName theo Test Data
3. Gửi POST BACKEND /api/admin/resources
4. Kiểm tra response và DB</x:v>
      </x:c>
      <x:c r="P140" s="3" t="str">
        <x:v>Qua validation độ dài fileName; HTTP 201; trường fileName được lưu đúng 2 ký tự.</x:v>
      </x:c>
      <x:c r="Q140" s="11" t="str"/>
      <x:c r="R140" s="8" t="str">
        <x:v>NOT RUN</x:v>
      </x:c>
      <x:c r="S140" s="11" t="str">
        <x:v>QA/UAT — cần điền URL/build</x:v>
      </x:c>
      <x:c r="T140" s="11" t="str">
        <x:v>Cần điền phiên bản thực</x:v>
      </x:c>
      <x:c r="U140" s="11" t="str"/>
      <x:c r="V140" s="12" t="str"/>
      <x:c r="W140" s="11" t="str"/>
      <x:c r="X140" s="11" t="str"/>
      <x:c r="Y140" s="3" t="str">
        <x:v>Nguồn: backend/src/modules/cms/cms.routes.ts:78. Độ dài JS/Zod dùng UTF-16; fixture ASCII để cô lập boundary. Optional min=0: Min−1 không áp dụng vì không có độ dài âm.</x:v>
      </x:c>
    </x:row>
    <x:row r="141" ht="62" customHeight="1">
      <x:c r="A141" s="3" t="n">
        <x:v>140</x:v>
      </x:c>
      <x:c r="B141" s="3" t="str">
        <x:v>TC_RESOURCE_057</x:v>
      </x:c>
      <x:c r="C141" s="3" t="str">
        <x:v>RESOURCE</x:v>
      </x:c>
      <x:c r="D141" s="3" t="str">
        <x:v>Boundary fileName</x:v>
      </x:c>
      <x:c r="E141" s="3" t="str">
        <x:v>Boundary fileName</x:v>
      </x:c>
      <x:c r="F141" s="3" t="str">
        <x:v>Boundary — POST BACKEND /api/admin/resources: fileName Max−1 (254)</x:v>
      </x:c>
      <x:c r="G141" s="3" t="str">
        <x:v>POST BACKEND /api/admin/resources: fileName Max−1 (254)</x:v>
      </x:c>
      <x:c r="H141" s="3" t="str">
        <x:v>RES-001</x:v>
      </x:c>
      <x:c r="I141" s="3" t="str">
        <x:v>QTV có quyền tương ứng</x:v>
      </x:c>
      <x:c r="J141" s="3" t="str">
        <x:v>Boundary</x:v>
      </x:c>
      <x:c r="K141" s="3" t="str">
        <x:v>Medium</x:v>
      </x:c>
      <x:c r="L141" s="3" t="str">
        <x:v>Medium</x:v>
      </x:c>
      <x:c r="M141" s="3" t="str">
        <x:v>Môi trường QA cô lập, DB/MinIO sẵn sàng; dữ liệu fixture đã tạo. Đăng nhập tài khoản ACTIVE, mustChangePassword=false.</x:v>
      </x:c>
      <x:c r="N141" s="3" t="str">
        <x:v>"a" lặp 254 lần, không có khoảng trắng. Fixture RESOURCE</x:v>
      </x:c>
      <x:c r="O141" s="3" t="str">
        <x:v>1. Chuẩn bị fixture RESOURCE, các trường khác hợp lệ và ID/slug mới
2. Thay riêng fileName theo Test Data
3. Gửi POST BACKEND /api/admin/resources
4. Kiểm tra response và DB</x:v>
      </x:c>
      <x:c r="P141" s="3" t="str">
        <x:v>Qua validation độ dài fileName; HTTP 201; trường fileName được lưu đúng 254 ký tự.</x:v>
      </x:c>
      <x:c r="Q141" s="11" t="str"/>
      <x:c r="R141" s="8" t="str">
        <x:v>NOT RUN</x:v>
      </x:c>
      <x:c r="S141" s="11" t="str">
        <x:v>QA/UAT — cần điền URL/build</x:v>
      </x:c>
      <x:c r="T141" s="11" t="str">
        <x:v>Cần điền phiên bản thực</x:v>
      </x:c>
      <x:c r="U141" s="11" t="str"/>
      <x:c r="V141" s="12" t="str"/>
      <x:c r="W141" s="11" t="str"/>
      <x:c r="X141" s="11" t="str"/>
      <x:c r="Y141" s="3" t="str">
        <x:v>Nguồn: backend/src/modules/cms/cms.routes.ts:78. Độ dài JS/Zod dùng UTF-16; fixture ASCII để cô lập boundary. Optional min=0: Min−1 không áp dụng vì không có độ dài âm.</x:v>
      </x:c>
    </x:row>
    <x:row r="142" ht="62" customHeight="1">
      <x:c r="A142" s="3" t="n">
        <x:v>141</x:v>
      </x:c>
      <x:c r="B142" s="3" t="str">
        <x:v>TC_RESOURCE_058</x:v>
      </x:c>
      <x:c r="C142" s="3" t="str">
        <x:v>RESOURCE</x:v>
      </x:c>
      <x:c r="D142" s="3" t="str">
        <x:v>Boundary fileName</x:v>
      </x:c>
      <x:c r="E142" s="3" t="str">
        <x:v>Boundary fileName</x:v>
      </x:c>
      <x:c r="F142" s="3" t="str">
        <x:v>Boundary — POST BACKEND /api/admin/resources: fileName Max (255)</x:v>
      </x:c>
      <x:c r="G142" s="3" t="str">
        <x:v>POST BACKEND /api/admin/resources: fileName Max (255)</x:v>
      </x:c>
      <x:c r="H142" s="3" t="str">
        <x:v>RES-001</x:v>
      </x:c>
      <x:c r="I142" s="3" t="str">
        <x:v>QTV có quyền tương ứng</x:v>
      </x:c>
      <x:c r="J142" s="3" t="str">
        <x:v>Boundary</x:v>
      </x:c>
      <x:c r="K142" s="3" t="str">
        <x:v>Medium</x:v>
      </x:c>
      <x:c r="L142" s="3" t="str">
        <x:v>Medium</x:v>
      </x:c>
      <x:c r="M142" s="3" t="str">
        <x:v>Môi trường QA cô lập, DB/MinIO sẵn sàng; dữ liệu fixture đã tạo. Đăng nhập tài khoản ACTIVE, mustChangePassword=false.</x:v>
      </x:c>
      <x:c r="N142" s="3" t="str">
        <x:v>"a" lặp 255 lần, không có khoảng trắng. Fixture RESOURCE</x:v>
      </x:c>
      <x:c r="O142" s="3" t="str">
        <x:v>1. Chuẩn bị fixture RESOURCE, các trường khác hợp lệ và ID/slug mới
2. Thay riêng fileName theo Test Data
3. Gửi POST BACKEND /api/admin/resources
4. Kiểm tra response và DB</x:v>
      </x:c>
      <x:c r="P142" s="3" t="str">
        <x:v>Qua validation độ dài fileName; HTTP 201; trường fileName được lưu đúng 255 ký tự.</x:v>
      </x:c>
      <x:c r="Q142" s="11" t="str"/>
      <x:c r="R142" s="8" t="str">
        <x:v>NOT RUN</x:v>
      </x:c>
      <x:c r="S142" s="11" t="str">
        <x:v>QA/UAT — cần điền URL/build</x:v>
      </x:c>
      <x:c r="T142" s="11" t="str">
        <x:v>Cần điền phiên bản thực</x:v>
      </x:c>
      <x:c r="U142" s="11" t="str"/>
      <x:c r="V142" s="12" t="str"/>
      <x:c r="W142" s="11" t="str"/>
      <x:c r="X142" s="11" t="str"/>
      <x:c r="Y142" s="3" t="str">
        <x:v>Nguồn: backend/src/modules/cms/cms.routes.ts:78. Độ dài JS/Zod dùng UTF-16; fixture ASCII để cô lập boundary. Optional min=0: Min−1 không áp dụng vì không có độ dài âm.</x:v>
      </x:c>
    </x:row>
    <x:row r="143" ht="62" customHeight="1">
      <x:c r="A143" s="3" t="n">
        <x:v>142</x:v>
      </x:c>
      <x:c r="B143" s="3" t="str">
        <x:v>TC_RESOURCE_059</x:v>
      </x:c>
      <x:c r="C143" s="3" t="str">
        <x:v>RESOURCE</x:v>
      </x:c>
      <x:c r="D143" s="3" t="str">
        <x:v>Boundary fileName</x:v>
      </x:c>
      <x:c r="E143" s="3" t="str">
        <x:v>Boundary fileName</x:v>
      </x:c>
      <x:c r="F143" s="3" t="str">
        <x:v>Boundary — POST BACKEND /api/admin/resources: fileName Max+1 (256)</x:v>
      </x:c>
      <x:c r="G143" s="3" t="str">
        <x:v>POST BACKEND /api/admin/resources: fileName Max+1 (256)</x:v>
      </x:c>
      <x:c r="H143" s="3" t="str">
        <x:v>RES-001</x:v>
      </x:c>
      <x:c r="I143" s="3" t="str">
        <x:v>QTV có quyền tương ứng</x:v>
      </x:c>
      <x:c r="J143" s="3" t="str">
        <x:v>Boundary</x:v>
      </x:c>
      <x:c r="K143" s="3" t="str">
        <x:v>Medium</x:v>
      </x:c>
      <x:c r="L143" s="3" t="str">
        <x:v>Medium</x:v>
      </x:c>
      <x:c r="M143" s="3" t="str">
        <x:v>Môi trường QA cô lập, DB/MinIO sẵn sàng; dữ liệu fixture đã tạo. Đăng nhập tài khoản ACTIVE, mustChangePassword=false.</x:v>
      </x:c>
      <x:c r="N143" s="3" t="str">
        <x:v>"a" lặp 256 lần, không có khoảng trắng. Fixture RESOURCE</x:v>
      </x:c>
      <x:c r="O143" s="3" t="str">
        <x:v>1. Chuẩn bị fixture RESOURCE, các trường khác hợp lệ và ID/slug mới
2. Thay riêng fileName theo Test Data
3. Gửi POST BACKEND /api/admin/resources
4. Kiểm tra response và DB</x:v>
      </x:c>
      <x:c r="P143" s="3" t="str">
        <x:v>Từ chối độ dài fileName=256; HTTP 400 kỳ vọng, không đổi DB. Nếu CMS/Zod.parse trả 500, ghi defect hợp đồng lỗi.</x:v>
      </x:c>
      <x:c r="Q143" s="11" t="str"/>
      <x:c r="R143" s="8" t="str">
        <x:v>NOT RUN</x:v>
      </x:c>
      <x:c r="S143" s="11" t="str">
        <x:v>QA/UAT — cần điền URL/build</x:v>
      </x:c>
      <x:c r="T143" s="11" t="str">
        <x:v>Cần điền phiên bản thực</x:v>
      </x:c>
      <x:c r="U143" s="11" t="str"/>
      <x:c r="V143" s="12" t="str"/>
      <x:c r="W143" s="11" t="str"/>
      <x:c r="X143" s="11" t="str"/>
      <x:c r="Y143" s="3" t="str">
        <x:v>Nguồn: backend/src/modules/cms/cms.routes.ts:78. Độ dài JS/Zod dùng UTF-16; fixture ASCII để cô lập boundary. Optional min=0: Min−1 không áp dụng vì không có độ dài âm.</x:v>
      </x:c>
    </x:row>
    <x:row r="144" ht="62" customHeight="1">
      <x:c r="A144" s="3" t="n">
        <x:v>143</x:v>
      </x:c>
      <x:c r="B144" s="3" t="str">
        <x:v>TC_RESOURCE_060</x:v>
      </x:c>
      <x:c r="C144" s="3" t="str">
        <x:v>RESOURCE</x:v>
      </x:c>
      <x:c r="D144" s="3" t="str">
        <x:v>Boundary name</x:v>
      </x:c>
      <x:c r="E144" s="3" t="str">
        <x:v>Boundary name</x:v>
      </x:c>
      <x:c r="F144" s="3" t="str">
        <x:v>Boundary — POST BACKEND /api/admin/resource-categories: name Min−1 (0)</x:v>
      </x:c>
      <x:c r="G144" s="3" t="str">
        <x:v>POST BACKEND /api/admin/resource-categories: name Min−1 (0)</x:v>
      </x:c>
      <x:c r="H144" s="3" t="str">
        <x:v>RES-002</x:v>
      </x:c>
      <x:c r="I144" s="3" t="str">
        <x:v>QTV có quyền tương ứng</x:v>
      </x:c>
      <x:c r="J144" s="3" t="str">
        <x:v>Boundary</x:v>
      </x:c>
      <x:c r="K144" s="3" t="str">
        <x:v>Medium</x:v>
      </x:c>
      <x:c r="L144" s="3" t="str">
        <x:v>Medium</x:v>
      </x:c>
      <x:c r="M144" s="3" t="str">
        <x:v>Môi trường QA cô lập, DB/MinIO sẵn sàng; dữ liệu fixture đã tạo. Đăng nhập tài khoản ACTIVE, mustChangePassword=false.</x:v>
      </x:c>
      <x:c r="N144" s="3" t="str">
        <x:v>"a" lặp 0 lần, không có khoảng trắng. Fixture CATEGORY</x:v>
      </x:c>
      <x:c r="O144" s="3" t="str">
        <x:v>1. Chuẩn bị fixture CATEGORY, các trường khác hợp lệ và ID/slug mới
2. Thay riêng name theo Test Data
3. Gửi POST BACKEND /api/admin/resource-categories
4. Kiểm tra response và DB</x:v>
      </x:c>
      <x:c r="P144" s="3" t="str">
        <x:v>Từ chối độ dài name=0; HTTP 400 kỳ vọng, không đổi DB. Nếu CMS/Zod.parse trả 500, ghi defect hợp đồng lỗi.</x:v>
      </x:c>
      <x:c r="Q144" s="11" t="str"/>
      <x:c r="R144" s="8" t="str">
        <x:v>NOT RUN</x:v>
      </x:c>
      <x:c r="S144" s="11" t="str">
        <x:v>QA/UAT — cần điền URL/build</x:v>
      </x:c>
      <x:c r="T144" s="11" t="str">
        <x:v>Cần điền phiên bản thực</x:v>
      </x:c>
      <x:c r="U144" s="11" t="str"/>
      <x:c r="V144" s="12" t="str"/>
      <x:c r="W144" s="11" t="str"/>
      <x:c r="X144" s="11" t="str"/>
      <x:c r="Y144" s="3" t="str">
        <x:v>Nguồn: backend/src/modules/cms/cms.routes.ts:90. Độ dài JS/Zod dùng UTF-16; fixture ASCII để cô lập boundary. Optional min=0: Min−1 không áp dụng vì không có độ dài âm.</x:v>
      </x:c>
    </x:row>
    <x:row r="145" ht="62" customHeight="1">
      <x:c r="A145" s="3" t="n">
        <x:v>144</x:v>
      </x:c>
      <x:c r="B145" s="3" t="str">
        <x:v>TC_RESOURCE_061</x:v>
      </x:c>
      <x:c r="C145" s="3" t="str">
        <x:v>RESOURCE</x:v>
      </x:c>
      <x:c r="D145" s="3" t="str">
        <x:v>Boundary name</x:v>
      </x:c>
      <x:c r="E145" s="3" t="str">
        <x:v>Boundary name</x:v>
      </x:c>
      <x:c r="F145" s="3" t="str">
        <x:v>Boundary — POST BACKEND /api/admin/resource-categories: name Min (1)</x:v>
      </x:c>
      <x:c r="G145" s="3" t="str">
        <x:v>POST BACKEND /api/admin/resource-categories: name Min (1)</x:v>
      </x:c>
      <x:c r="H145" s="3" t="str">
        <x:v>RES-002</x:v>
      </x:c>
      <x:c r="I145" s="3" t="str">
        <x:v>QTV có quyền tương ứng</x:v>
      </x:c>
      <x:c r="J145" s="3" t="str">
        <x:v>Boundary</x:v>
      </x:c>
      <x:c r="K145" s="3" t="str">
        <x:v>Medium</x:v>
      </x:c>
      <x:c r="L145" s="3" t="str">
        <x:v>Medium</x:v>
      </x:c>
      <x:c r="M145" s="3" t="str">
        <x:v>Môi trường QA cô lập, DB/MinIO sẵn sàng; dữ liệu fixture đã tạo. Đăng nhập tài khoản ACTIVE, mustChangePassword=false.</x:v>
      </x:c>
      <x:c r="N145" s="3" t="str">
        <x:v>"a" lặp 1 lần, không có khoảng trắng. Fixture CATEGORY</x:v>
      </x:c>
      <x:c r="O145" s="3" t="str">
        <x:v>1. Chuẩn bị fixture CATEGORY, các trường khác hợp lệ và ID/slug mới
2. Thay riêng name theo Test Data
3. Gửi POST BACKEND /api/admin/resource-categories
4. Kiểm tra response và DB</x:v>
      </x:c>
      <x:c r="P145" s="3" t="str">
        <x:v>Qua validation độ dài name; HTTP 201; trường name được lưu đúng 1 ký tự.</x:v>
      </x:c>
      <x:c r="Q145" s="11" t="str"/>
      <x:c r="R145" s="8" t="str">
        <x:v>NOT RUN</x:v>
      </x:c>
      <x:c r="S145" s="11" t="str">
        <x:v>QA/UAT — cần điền URL/build</x:v>
      </x:c>
      <x:c r="T145" s="11" t="str">
        <x:v>Cần điền phiên bản thực</x:v>
      </x:c>
      <x:c r="U145" s="11" t="str"/>
      <x:c r="V145" s="12" t="str"/>
      <x:c r="W145" s="11" t="str"/>
      <x:c r="X145" s="11" t="str"/>
      <x:c r="Y145" s="3" t="str">
        <x:v>Nguồn: backend/src/modules/cms/cms.routes.ts:90. Độ dài JS/Zod dùng UTF-16; fixture ASCII để cô lập boundary. Optional min=0: Min−1 không áp dụng vì không có độ dài âm.</x:v>
      </x:c>
    </x:row>
    <x:row r="146" ht="62" customHeight="1">
      <x:c r="A146" s="3" t="n">
        <x:v>145</x:v>
      </x:c>
      <x:c r="B146" s="3" t="str">
        <x:v>TC_RESOURCE_062</x:v>
      </x:c>
      <x:c r="C146" s="3" t="str">
        <x:v>RESOURCE</x:v>
      </x:c>
      <x:c r="D146" s="3" t="str">
        <x:v>Boundary name</x:v>
      </x:c>
      <x:c r="E146" s="3" t="str">
        <x:v>Boundary name</x:v>
      </x:c>
      <x:c r="F146" s="3" t="str">
        <x:v>Boundary — POST BACKEND /api/admin/resource-categories: name Min+1 (2)</x:v>
      </x:c>
      <x:c r="G146" s="3" t="str">
        <x:v>POST BACKEND /api/admin/resource-categories: name Min+1 (2)</x:v>
      </x:c>
      <x:c r="H146" s="3" t="str">
        <x:v>RES-002</x:v>
      </x:c>
      <x:c r="I146" s="3" t="str">
        <x:v>QTV có quyền tương ứng</x:v>
      </x:c>
      <x:c r="J146" s="3" t="str">
        <x:v>Boundary</x:v>
      </x:c>
      <x:c r="K146" s="3" t="str">
        <x:v>Medium</x:v>
      </x:c>
      <x:c r="L146" s="3" t="str">
        <x:v>Medium</x:v>
      </x:c>
      <x:c r="M146" s="3" t="str">
        <x:v>Môi trường QA cô lập, DB/MinIO sẵn sàng; dữ liệu fixture đã tạo. Đăng nhập tài khoản ACTIVE, mustChangePassword=false.</x:v>
      </x:c>
      <x:c r="N146" s="3" t="str">
        <x:v>"a" lặp 2 lần, không có khoảng trắng. Fixture CATEGORY</x:v>
      </x:c>
      <x:c r="O146" s="3" t="str">
        <x:v>1. Chuẩn bị fixture CATEGORY, các trường khác hợp lệ và ID/slug mới
2. Thay riêng name theo Test Data
3. Gửi POST BACKEND /api/admin/resource-categories
4. Kiểm tra response và DB</x:v>
      </x:c>
      <x:c r="P146" s="3" t="str">
        <x:v>Qua validation độ dài name; HTTP 201; trường name được lưu đúng 2 ký tự.</x:v>
      </x:c>
      <x:c r="Q146" s="11" t="str"/>
      <x:c r="R146" s="8" t="str">
        <x:v>NOT RUN</x:v>
      </x:c>
      <x:c r="S146" s="11" t="str">
        <x:v>QA/UAT — cần điền URL/build</x:v>
      </x:c>
      <x:c r="T146" s="11" t="str">
        <x:v>Cần điền phiên bản thực</x:v>
      </x:c>
      <x:c r="U146" s="11" t="str"/>
      <x:c r="V146" s="12" t="str"/>
      <x:c r="W146" s="11" t="str"/>
      <x:c r="X146" s="11" t="str"/>
      <x:c r="Y146" s="3" t="str">
        <x:v>Nguồn: backend/src/modules/cms/cms.routes.ts:90. Độ dài JS/Zod dùng UTF-16; fixture ASCII để cô lập boundary. Optional min=0: Min−1 không áp dụng vì không có độ dài âm.</x:v>
      </x:c>
    </x:row>
    <x:row r="147" ht="62" customHeight="1">
      <x:c r="A147" s="3" t="n">
        <x:v>146</x:v>
      </x:c>
      <x:c r="B147" s="3" t="str">
        <x:v>TC_RESOURCE_063</x:v>
      </x:c>
      <x:c r="C147" s="3" t="str">
        <x:v>RESOURCE</x:v>
      </x:c>
      <x:c r="D147" s="3" t="str">
        <x:v>Boundary name</x:v>
      </x:c>
      <x:c r="E147" s="3" t="str">
        <x:v>Boundary name</x:v>
      </x:c>
      <x:c r="F147" s="3" t="str">
        <x:v>Boundary — POST BACKEND /api/admin/resource-categories: name Max−1 (119)</x:v>
      </x:c>
      <x:c r="G147" s="3" t="str">
        <x:v>POST BACKEND /api/admin/resource-categories: name Max−1 (119)</x:v>
      </x:c>
      <x:c r="H147" s="3" t="str">
        <x:v>RES-002</x:v>
      </x:c>
      <x:c r="I147" s="3" t="str">
        <x:v>QTV có quyền tương ứng</x:v>
      </x:c>
      <x:c r="J147" s="3" t="str">
        <x:v>Boundary</x:v>
      </x:c>
      <x:c r="K147" s="3" t="str">
        <x:v>Medium</x:v>
      </x:c>
      <x:c r="L147" s="3" t="str">
        <x:v>Medium</x:v>
      </x:c>
      <x:c r="M147" s="3" t="str">
        <x:v>Môi trường QA cô lập, DB/MinIO sẵn sàng; dữ liệu fixture đã tạo. Đăng nhập tài khoản ACTIVE, mustChangePassword=false.</x:v>
      </x:c>
      <x:c r="N147" s="3" t="str">
        <x:v>"a" lặp 119 lần, không có khoảng trắng. Fixture CATEGORY</x:v>
      </x:c>
      <x:c r="O147" s="3" t="str">
        <x:v>1. Chuẩn bị fixture CATEGORY, các trường khác hợp lệ và ID/slug mới
2. Thay riêng name theo Test Data
3. Gửi POST BACKEND /api/admin/resource-categories
4. Kiểm tra response và DB</x:v>
      </x:c>
      <x:c r="P147" s="3" t="str">
        <x:v>Qua validation độ dài name; HTTP 201; trường name được lưu đúng 119 ký tự.</x:v>
      </x:c>
      <x:c r="Q147" s="11" t="str"/>
      <x:c r="R147" s="8" t="str">
        <x:v>NOT RUN</x:v>
      </x:c>
      <x:c r="S147" s="11" t="str">
        <x:v>QA/UAT — cần điền URL/build</x:v>
      </x:c>
      <x:c r="T147" s="11" t="str">
        <x:v>Cần điền phiên bản thực</x:v>
      </x:c>
      <x:c r="U147" s="11" t="str"/>
      <x:c r="V147" s="12" t="str"/>
      <x:c r="W147" s="11" t="str"/>
      <x:c r="X147" s="11" t="str"/>
      <x:c r="Y147" s="3" t="str">
        <x:v>Nguồn: backend/src/modules/cms/cms.routes.ts:90. Độ dài JS/Zod dùng UTF-16; fixture ASCII để cô lập boundary. Optional min=0: Min−1 không áp dụng vì không có độ dài âm.</x:v>
      </x:c>
    </x:row>
    <x:row r="148" ht="62" customHeight="1">
      <x:c r="A148" s="3" t="n">
        <x:v>147</x:v>
      </x:c>
      <x:c r="B148" s="3" t="str">
        <x:v>TC_RESOURCE_064</x:v>
      </x:c>
      <x:c r="C148" s="3" t="str">
        <x:v>RESOURCE</x:v>
      </x:c>
      <x:c r="D148" s="3" t="str">
        <x:v>Boundary name</x:v>
      </x:c>
      <x:c r="E148" s="3" t="str">
        <x:v>Boundary name</x:v>
      </x:c>
      <x:c r="F148" s="3" t="str">
        <x:v>Boundary — POST BACKEND /api/admin/resource-categories: name Max (120)</x:v>
      </x:c>
      <x:c r="G148" s="3" t="str">
        <x:v>POST BACKEND /api/admin/resource-categories: name Max (120)</x:v>
      </x:c>
      <x:c r="H148" s="3" t="str">
        <x:v>RES-002</x:v>
      </x:c>
      <x:c r="I148" s="3" t="str">
        <x:v>QTV có quyền tương ứng</x:v>
      </x:c>
      <x:c r="J148" s="3" t="str">
        <x:v>Boundary</x:v>
      </x:c>
      <x:c r="K148" s="3" t="str">
        <x:v>Medium</x:v>
      </x:c>
      <x:c r="L148" s="3" t="str">
        <x:v>Medium</x:v>
      </x:c>
      <x:c r="M148" s="3" t="str">
        <x:v>Môi trường QA cô lập, DB/MinIO sẵn sàng; dữ liệu fixture đã tạo. Đăng nhập tài khoản ACTIVE, mustChangePassword=false.</x:v>
      </x:c>
      <x:c r="N148" s="3" t="str">
        <x:v>"a" lặp 120 lần, không có khoảng trắng. Fixture CATEGORY</x:v>
      </x:c>
      <x:c r="O148" s="3" t="str">
        <x:v>1. Chuẩn bị fixture CATEGORY, các trường khác hợp lệ và ID/slug mới
2. Thay riêng name theo Test Data
3. Gửi POST BACKEND /api/admin/resource-categories
4. Kiểm tra response và DB</x:v>
      </x:c>
      <x:c r="P148" s="3" t="str">
        <x:v>Qua validation độ dài name; HTTP 201; trường name được lưu đúng 120 ký tự.</x:v>
      </x:c>
      <x:c r="Q148" s="11" t="str"/>
      <x:c r="R148" s="8" t="str">
        <x:v>NOT RUN</x:v>
      </x:c>
      <x:c r="S148" s="11" t="str">
        <x:v>QA/UAT — cần điền URL/build</x:v>
      </x:c>
      <x:c r="T148" s="11" t="str">
        <x:v>Cần điền phiên bản thực</x:v>
      </x:c>
      <x:c r="U148" s="11" t="str"/>
      <x:c r="V148" s="12" t="str"/>
      <x:c r="W148" s="11" t="str"/>
      <x:c r="X148" s="11" t="str"/>
      <x:c r="Y148" s="3" t="str">
        <x:v>Nguồn: backend/src/modules/cms/cms.routes.ts:90. Độ dài JS/Zod dùng UTF-16; fixture ASCII để cô lập boundary. Optional min=0: Min−1 không áp dụng vì không có độ dài âm.</x:v>
      </x:c>
    </x:row>
    <x:row r="149" ht="62" customHeight="1">
      <x:c r="A149" s="3" t="n">
        <x:v>148</x:v>
      </x:c>
      <x:c r="B149" s="3" t="str">
        <x:v>TC_RESOURCE_065</x:v>
      </x:c>
      <x:c r="C149" s="3" t="str">
        <x:v>RESOURCE</x:v>
      </x:c>
      <x:c r="D149" s="3" t="str">
        <x:v>Boundary name</x:v>
      </x:c>
      <x:c r="E149" s="3" t="str">
        <x:v>Boundary name</x:v>
      </x:c>
      <x:c r="F149" s="3" t="str">
        <x:v>Boundary — POST BACKEND /api/admin/resource-categories: name Max+1 (121)</x:v>
      </x:c>
      <x:c r="G149" s="3" t="str">
        <x:v>POST BACKEND /api/admin/resource-categories: name Max+1 (121)</x:v>
      </x:c>
      <x:c r="H149" s="3" t="str">
        <x:v>RES-002</x:v>
      </x:c>
      <x:c r="I149" s="3" t="str">
        <x:v>QTV có quyền tương ứng</x:v>
      </x:c>
      <x:c r="J149" s="3" t="str">
        <x:v>Boundary</x:v>
      </x:c>
      <x:c r="K149" s="3" t="str">
        <x:v>Medium</x:v>
      </x:c>
      <x:c r="L149" s="3" t="str">
        <x:v>Medium</x:v>
      </x:c>
      <x:c r="M149" s="3" t="str">
        <x:v>Môi trường QA cô lập, DB/MinIO sẵn sàng; dữ liệu fixture đã tạo. Đăng nhập tài khoản ACTIVE, mustChangePassword=false.</x:v>
      </x:c>
      <x:c r="N149" s="3" t="str">
        <x:v>"a" lặp 121 lần, không có khoảng trắng. Fixture CATEGORY</x:v>
      </x:c>
      <x:c r="O149" s="3" t="str">
        <x:v>1. Chuẩn bị fixture CATEGORY, các trường khác hợp lệ và ID/slug mới
2. Thay riêng name theo Test Data
3. Gửi POST BACKEND /api/admin/resource-categories
4. Kiểm tra response và DB</x:v>
      </x:c>
      <x:c r="P149" s="3" t="str">
        <x:v>Từ chối độ dài name=121; HTTP 400 kỳ vọng, không đổi DB. Nếu CMS/Zod.parse trả 500, ghi defect hợp đồng lỗi.</x:v>
      </x:c>
      <x:c r="Q149" s="11" t="str"/>
      <x:c r="R149" s="8" t="str">
        <x:v>NOT RUN</x:v>
      </x:c>
      <x:c r="S149" s="11" t="str">
        <x:v>QA/UAT — cần điền URL/build</x:v>
      </x:c>
      <x:c r="T149" s="11" t="str">
        <x:v>Cần điền phiên bản thực</x:v>
      </x:c>
      <x:c r="U149" s="11" t="str"/>
      <x:c r="V149" s="12" t="str"/>
      <x:c r="W149" s="11" t="str"/>
      <x:c r="X149" s="11" t="str"/>
      <x:c r="Y149" s="3" t="str">
        <x:v>Nguồn: backend/src/modules/cms/cms.routes.ts:90. Độ dài JS/Zod dùng UTF-16; fixture ASCII để cô lập boundary. Optional min=0: Min−1 không áp dụng vì không có độ dài âm.</x:v>
      </x:c>
    </x:row>
    <x:row r="150" ht="62" customHeight="1">
      <x:c r="A150" s="3" t="n">
        <x:v>149</x:v>
      </x:c>
      <x:c r="B150" s="3" t="str">
        <x:v>TC_SITE_001</x:v>
      </x:c>
      <x:c r="C150" s="3" t="str">
        <x:v>SITE</x:v>
      </x:c>
      <x:c r="D150" s="3" t="str">
        <x:v>Boundary key</x:v>
      </x:c>
      <x:c r="E150" s="3" t="str">
        <x:v>Boundary key</x:v>
      </x:c>
      <x:c r="F150" s="3" t="str">
        <x:v>Boundary — POST BACKEND /api/admin/site-content: key Min−1 (1)</x:v>
      </x:c>
      <x:c r="G150" s="3" t="str">
        <x:v>POST BACKEND /api/admin/site-content: key Min−1 (1)</x:v>
      </x:c>
      <x:c r="H150" s="3" t="str">
        <x:v>SITE-001</x:v>
      </x:c>
      <x:c r="I150" s="3" t="str">
        <x:v>QTV có quyền tương ứng</x:v>
      </x:c>
      <x:c r="J150" s="3" t="str">
        <x:v>Boundary</x:v>
      </x:c>
      <x:c r="K150" s="3" t="str">
        <x:v>Medium</x:v>
      </x:c>
      <x:c r="L150" s="3" t="str">
        <x:v>Medium</x:v>
      </x:c>
      <x:c r="M150" s="3" t="str">
        <x:v>Môi trường QA cô lập, DB/MinIO sẵn sàng; dữ liệu fixture đã tạo. Đăng nhập tài khoản ACTIVE, mustChangePassword=false.</x:v>
      </x:c>
      <x:c r="N150" s="3" t="str">
        <x:v>"a" lặp 1 lần, không có khoảng trắng. Fixture SITE</x:v>
      </x:c>
      <x:c r="O150" s="3" t="str">
        <x:v>1. Chuẩn bị fixture SITE, các trường khác hợp lệ và ID/slug mới
2. Thay riêng key theo Test Data
3. Gửi POST BACKEND /api/admin/site-content
4. Kiểm tra response và DB</x:v>
      </x:c>
      <x:c r="P150" s="3" t="str">
        <x:v>Từ chối độ dài key=1; HTTP 400 kỳ vọng, không đổi DB. Nếu CMS/Zod.parse trả 500, ghi defect hợp đồng lỗi.</x:v>
      </x:c>
      <x:c r="Q150" s="11" t="str"/>
      <x:c r="R150" s="8" t="str">
        <x:v>NOT RUN</x:v>
      </x:c>
      <x:c r="S150" s="11" t="str">
        <x:v>QA/UAT — cần điền URL/build</x:v>
      </x:c>
      <x:c r="T150" s="11" t="str">
        <x:v>Cần điền phiên bản thực</x:v>
      </x:c>
      <x:c r="U150" s="11" t="str"/>
      <x:c r="V150" s="12" t="str"/>
      <x:c r="W150" s="11" t="str"/>
      <x:c r="X150" s="11" t="str"/>
      <x:c r="Y150" s="3" t="str">
        <x:v>Nguồn: backend/src/modules/cms/cms.routes.ts:91. Độ dài JS/Zod dùng UTF-16; fixture ASCII để cô lập boundary. Optional min=0: Min−1 không áp dụng vì không có độ dài âm.</x:v>
      </x:c>
    </x:row>
    <x:row r="151" ht="62" customHeight="1">
      <x:c r="A151" s="3" t="n">
        <x:v>150</x:v>
      </x:c>
      <x:c r="B151" s="3" t="str">
        <x:v>TC_SITE_002</x:v>
      </x:c>
      <x:c r="C151" s="3" t="str">
        <x:v>SITE</x:v>
      </x:c>
      <x:c r="D151" s="3" t="str">
        <x:v>Boundary key</x:v>
      </x:c>
      <x:c r="E151" s="3" t="str">
        <x:v>Boundary key</x:v>
      </x:c>
      <x:c r="F151" s="3" t="str">
        <x:v>Boundary — POST BACKEND /api/admin/site-content: key Min (2)</x:v>
      </x:c>
      <x:c r="G151" s="3" t="str">
        <x:v>POST BACKEND /api/admin/site-content: key Min (2)</x:v>
      </x:c>
      <x:c r="H151" s="3" t="str">
        <x:v>SITE-001</x:v>
      </x:c>
      <x:c r="I151" s="3" t="str">
        <x:v>QTV có quyền tương ứng</x:v>
      </x:c>
      <x:c r="J151" s="3" t="str">
        <x:v>Boundary</x:v>
      </x:c>
      <x:c r="K151" s="3" t="str">
        <x:v>Medium</x:v>
      </x:c>
      <x:c r="L151" s="3" t="str">
        <x:v>Medium</x:v>
      </x:c>
      <x:c r="M151" s="3" t="str">
        <x:v>Môi trường QA cô lập, DB/MinIO sẵn sàng; dữ liệu fixture đã tạo. Đăng nhập tài khoản ACTIVE, mustChangePassword=false.</x:v>
      </x:c>
      <x:c r="N151" s="3" t="str">
        <x:v>"a" lặp 2 lần, không có khoảng trắng. Fixture SITE</x:v>
      </x:c>
      <x:c r="O151" s="3" t="str">
        <x:v>1. Chuẩn bị fixture SITE, các trường khác hợp lệ và ID/slug mới
2. Thay riêng key theo Test Data
3. Gửi POST BACKEND /api/admin/site-content
4. Kiểm tra response và DB</x:v>
      </x:c>
      <x:c r="P151" s="3" t="str">
        <x:v>Qua validation độ dài key; HTTP 200; trường key được lưu đúng 2 ký tự.</x:v>
      </x:c>
      <x:c r="Q151" s="11" t="str"/>
      <x:c r="R151" s="8" t="str">
        <x:v>NOT RUN</x:v>
      </x:c>
      <x:c r="S151" s="11" t="str">
        <x:v>QA/UAT — cần điền URL/build</x:v>
      </x:c>
      <x:c r="T151" s="11" t="str">
        <x:v>Cần điền phiên bản thực</x:v>
      </x:c>
      <x:c r="U151" s="11" t="str"/>
      <x:c r="V151" s="12" t="str"/>
      <x:c r="W151" s="11" t="str"/>
      <x:c r="X151" s="11" t="str"/>
      <x:c r="Y151" s="3" t="str">
        <x:v>Nguồn: backend/src/modules/cms/cms.routes.ts:91. Độ dài JS/Zod dùng UTF-16; fixture ASCII để cô lập boundary. Optional min=0: Min−1 không áp dụng vì không có độ dài âm.</x:v>
      </x:c>
    </x:row>
    <x:row r="152" ht="62" customHeight="1">
      <x:c r="A152" s="3" t="n">
        <x:v>151</x:v>
      </x:c>
      <x:c r="B152" s="3" t="str">
        <x:v>TC_SITE_003</x:v>
      </x:c>
      <x:c r="C152" s="3" t="str">
        <x:v>SITE</x:v>
      </x:c>
      <x:c r="D152" s="3" t="str">
        <x:v>Boundary key</x:v>
      </x:c>
      <x:c r="E152" s="3" t="str">
        <x:v>Boundary key</x:v>
      </x:c>
      <x:c r="F152" s="3" t="str">
        <x:v>Boundary — POST BACKEND /api/admin/site-content: key Min+1 (3)</x:v>
      </x:c>
      <x:c r="G152" s="3" t="str">
        <x:v>POST BACKEND /api/admin/site-content: key Min+1 (3)</x:v>
      </x:c>
      <x:c r="H152" s="3" t="str">
        <x:v>SITE-001</x:v>
      </x:c>
      <x:c r="I152" s="3" t="str">
        <x:v>QTV có quyền tương ứng</x:v>
      </x:c>
      <x:c r="J152" s="3" t="str">
        <x:v>Boundary</x:v>
      </x:c>
      <x:c r="K152" s="3" t="str">
        <x:v>Medium</x:v>
      </x:c>
      <x:c r="L152" s="3" t="str">
        <x:v>Medium</x:v>
      </x:c>
      <x:c r="M152" s="3" t="str">
        <x:v>Môi trường QA cô lập, DB/MinIO sẵn sàng; dữ liệu fixture đã tạo. Đăng nhập tài khoản ACTIVE, mustChangePassword=false.</x:v>
      </x:c>
      <x:c r="N152" s="3" t="str">
        <x:v>"a" lặp 3 lần, không có khoảng trắng. Fixture SITE</x:v>
      </x:c>
      <x:c r="O152" s="3" t="str">
        <x:v>1. Chuẩn bị fixture SITE, các trường khác hợp lệ và ID/slug mới
2. Thay riêng key theo Test Data
3. Gửi POST BACKEND /api/admin/site-content
4. Kiểm tra response và DB</x:v>
      </x:c>
      <x:c r="P152" s="3" t="str">
        <x:v>Qua validation độ dài key; HTTP 200; trường key được lưu đúng 3 ký tự.</x:v>
      </x:c>
      <x:c r="Q152" s="11" t="str"/>
      <x:c r="R152" s="8" t="str">
        <x:v>NOT RUN</x:v>
      </x:c>
      <x:c r="S152" s="11" t="str">
        <x:v>QA/UAT — cần điền URL/build</x:v>
      </x:c>
      <x:c r="T152" s="11" t="str">
        <x:v>Cần điền phiên bản thực</x:v>
      </x:c>
      <x:c r="U152" s="11" t="str"/>
      <x:c r="V152" s="12" t="str"/>
      <x:c r="W152" s="11" t="str"/>
      <x:c r="X152" s="11" t="str"/>
      <x:c r="Y152" s="3" t="str">
        <x:v>Nguồn: backend/src/modules/cms/cms.routes.ts:91. Độ dài JS/Zod dùng UTF-16; fixture ASCII để cô lập boundary. Optional min=0: Min−1 không áp dụng vì không có độ dài âm.</x:v>
      </x:c>
    </x:row>
    <x:row r="153" ht="62" customHeight="1">
      <x:c r="A153" s="3" t="n">
        <x:v>152</x:v>
      </x:c>
      <x:c r="B153" s="3" t="str">
        <x:v>TC_SITE_004</x:v>
      </x:c>
      <x:c r="C153" s="3" t="str">
        <x:v>SITE</x:v>
      </x:c>
      <x:c r="D153" s="3" t="str">
        <x:v>Boundary key</x:v>
      </x:c>
      <x:c r="E153" s="3" t="str">
        <x:v>Boundary key</x:v>
      </x:c>
      <x:c r="F153" s="3" t="str">
        <x:v>Boundary — POST BACKEND /api/admin/site-content: key Max−1 (189)</x:v>
      </x:c>
      <x:c r="G153" s="3" t="str">
        <x:v>POST BACKEND /api/admin/site-content: key Max−1 (189)</x:v>
      </x:c>
      <x:c r="H153" s="3" t="str">
        <x:v>SITE-001</x:v>
      </x:c>
      <x:c r="I153" s="3" t="str">
        <x:v>QTV có quyền tương ứng</x:v>
      </x:c>
      <x:c r="J153" s="3" t="str">
        <x:v>Boundary</x:v>
      </x:c>
      <x:c r="K153" s="3" t="str">
        <x:v>Medium</x:v>
      </x:c>
      <x:c r="L153" s="3" t="str">
        <x:v>Medium</x:v>
      </x:c>
      <x:c r="M153" s="3" t="str">
        <x:v>Môi trường QA cô lập, DB/MinIO sẵn sàng; dữ liệu fixture đã tạo. Đăng nhập tài khoản ACTIVE, mustChangePassword=false.</x:v>
      </x:c>
      <x:c r="N153" s="3" t="str">
        <x:v>"a" lặp 189 lần, không có khoảng trắng. Fixture SITE</x:v>
      </x:c>
      <x:c r="O153" s="3" t="str">
        <x:v>1. Chuẩn bị fixture SITE, các trường khác hợp lệ và ID/slug mới
2. Thay riêng key theo Test Data
3. Gửi POST BACKEND /api/admin/site-content
4. Kiểm tra response và DB</x:v>
      </x:c>
      <x:c r="P153" s="3" t="str">
        <x:v>Qua validation độ dài key; HTTP 200; trường key được lưu đúng 189 ký tự.</x:v>
      </x:c>
      <x:c r="Q153" s="11" t="str"/>
      <x:c r="R153" s="8" t="str">
        <x:v>NOT RUN</x:v>
      </x:c>
      <x:c r="S153" s="11" t="str">
        <x:v>QA/UAT — cần điền URL/build</x:v>
      </x:c>
      <x:c r="T153" s="11" t="str">
        <x:v>Cần điền phiên bản thực</x:v>
      </x:c>
      <x:c r="U153" s="11" t="str"/>
      <x:c r="V153" s="12" t="str"/>
      <x:c r="W153" s="11" t="str"/>
      <x:c r="X153" s="11" t="str"/>
      <x:c r="Y153" s="3" t="str">
        <x:v>Nguồn: backend/src/modules/cms/cms.routes.ts:91. Độ dài JS/Zod dùng UTF-16; fixture ASCII để cô lập boundary. Optional min=0: Min−1 không áp dụng vì không có độ dài âm.</x:v>
      </x:c>
    </x:row>
    <x:row r="154" ht="62" customHeight="1">
      <x:c r="A154" s="3" t="n">
        <x:v>153</x:v>
      </x:c>
      <x:c r="B154" s="3" t="str">
        <x:v>TC_SITE_005</x:v>
      </x:c>
      <x:c r="C154" s="3" t="str">
        <x:v>SITE</x:v>
      </x:c>
      <x:c r="D154" s="3" t="str">
        <x:v>Boundary key</x:v>
      </x:c>
      <x:c r="E154" s="3" t="str">
        <x:v>Boundary key</x:v>
      </x:c>
      <x:c r="F154" s="3" t="str">
        <x:v>Boundary — POST BACKEND /api/admin/site-content: key Max (190)</x:v>
      </x:c>
      <x:c r="G154" s="3" t="str">
        <x:v>POST BACKEND /api/admin/site-content: key Max (190)</x:v>
      </x:c>
      <x:c r="H154" s="3" t="str">
        <x:v>SITE-001</x:v>
      </x:c>
      <x:c r="I154" s="3" t="str">
        <x:v>QTV có quyền tương ứng</x:v>
      </x:c>
      <x:c r="J154" s="3" t="str">
        <x:v>Boundary</x:v>
      </x:c>
      <x:c r="K154" s="3" t="str">
        <x:v>Medium</x:v>
      </x:c>
      <x:c r="L154" s="3" t="str">
        <x:v>Medium</x:v>
      </x:c>
      <x:c r="M154" s="3" t="str">
        <x:v>Môi trường QA cô lập, DB/MinIO sẵn sàng; dữ liệu fixture đã tạo. Đăng nhập tài khoản ACTIVE, mustChangePassword=false.</x:v>
      </x:c>
      <x:c r="N154" s="3" t="str">
        <x:v>"a" lặp 190 lần, không có khoảng trắng. Fixture SITE</x:v>
      </x:c>
      <x:c r="O154" s="3" t="str">
        <x:v>1. Chuẩn bị fixture SITE, các trường khác hợp lệ và ID/slug mới
2. Thay riêng key theo Test Data
3. Gửi POST BACKEND /api/admin/site-content
4. Kiểm tra response và DB</x:v>
      </x:c>
      <x:c r="P154" s="3" t="str">
        <x:v>Qua validation độ dài key; HTTP 200; trường key được lưu đúng 190 ký tự.</x:v>
      </x:c>
      <x:c r="Q154" s="11" t="str"/>
      <x:c r="R154" s="8" t="str">
        <x:v>NOT RUN</x:v>
      </x:c>
      <x:c r="S154" s="11" t="str">
        <x:v>QA/UAT — cần điền URL/build</x:v>
      </x:c>
      <x:c r="T154" s="11" t="str">
        <x:v>Cần điền phiên bản thực</x:v>
      </x:c>
      <x:c r="U154" s="11" t="str"/>
      <x:c r="V154" s="12" t="str"/>
      <x:c r="W154" s="11" t="str"/>
      <x:c r="X154" s="11" t="str"/>
      <x:c r="Y154" s="3" t="str">
        <x:v>Nguồn: backend/src/modules/cms/cms.routes.ts:91. Độ dài JS/Zod dùng UTF-16; fixture ASCII để cô lập boundary. Optional min=0: Min−1 không áp dụng vì không có độ dài âm.</x:v>
      </x:c>
    </x:row>
    <x:row r="155" ht="62" customHeight="1">
      <x:c r="A155" s="3" t="n">
        <x:v>154</x:v>
      </x:c>
      <x:c r="B155" s="3" t="str">
        <x:v>TC_SITE_006</x:v>
      </x:c>
      <x:c r="C155" s="3" t="str">
        <x:v>SITE</x:v>
      </x:c>
      <x:c r="D155" s="3" t="str">
        <x:v>Boundary key</x:v>
      </x:c>
      <x:c r="E155" s="3" t="str">
        <x:v>Boundary key</x:v>
      </x:c>
      <x:c r="F155" s="3" t="str">
        <x:v>Boundary — POST BACKEND /api/admin/site-content: key Max+1 (191)</x:v>
      </x:c>
      <x:c r="G155" s="3" t="str">
        <x:v>POST BACKEND /api/admin/site-content: key Max+1 (191)</x:v>
      </x:c>
      <x:c r="H155" s="3" t="str">
        <x:v>SITE-001</x:v>
      </x:c>
      <x:c r="I155" s="3" t="str">
        <x:v>QTV có quyền tương ứng</x:v>
      </x:c>
      <x:c r="J155" s="3" t="str">
        <x:v>Boundary</x:v>
      </x:c>
      <x:c r="K155" s="3" t="str">
        <x:v>Medium</x:v>
      </x:c>
      <x:c r="L155" s="3" t="str">
        <x:v>Medium</x:v>
      </x:c>
      <x:c r="M155" s="3" t="str">
        <x:v>Môi trường QA cô lập, DB/MinIO sẵn sàng; dữ liệu fixture đã tạo. Đăng nhập tài khoản ACTIVE, mustChangePassword=false.</x:v>
      </x:c>
      <x:c r="N155" s="3" t="str">
        <x:v>"a" lặp 191 lần, không có khoảng trắng. Fixture SITE</x:v>
      </x:c>
      <x:c r="O155" s="3" t="str">
        <x:v>1. Chuẩn bị fixture SITE, các trường khác hợp lệ và ID/slug mới
2. Thay riêng key theo Test Data
3. Gửi POST BACKEND /api/admin/site-content
4. Kiểm tra response và DB</x:v>
      </x:c>
      <x:c r="P155" s="3" t="str">
        <x:v>Từ chối độ dài key=191; HTTP 400 kỳ vọng, không đổi DB. Nếu CMS/Zod.parse trả 500, ghi defect hợp đồng lỗi.</x:v>
      </x:c>
      <x:c r="Q155" s="11" t="str"/>
      <x:c r="R155" s="8" t="str">
        <x:v>NOT RUN</x:v>
      </x:c>
      <x:c r="S155" s="11" t="str">
        <x:v>QA/UAT — cần điền URL/build</x:v>
      </x:c>
      <x:c r="T155" s="11" t="str">
        <x:v>Cần điền phiên bản thực</x:v>
      </x:c>
      <x:c r="U155" s="11" t="str"/>
      <x:c r="V155" s="12" t="str"/>
      <x:c r="W155" s="11" t="str"/>
      <x:c r="X155" s="11" t="str"/>
      <x:c r="Y155" s="3" t="str">
        <x:v>Nguồn: backend/src/modules/cms/cms.routes.ts:91. Độ dài JS/Zod dùng UTF-16; fixture ASCII để cô lập boundary. Optional min=0: Min−1 không áp dụng vì không có độ dài âm.</x:v>
      </x:c>
    </x:row>
    <x:row r="156" ht="62" customHeight="1">
      <x:c r="A156" s="3" t="n">
        <x:v>155</x:v>
      </x:c>
      <x:c r="B156" s="3" t="str">
        <x:v>TC_SITE_007</x:v>
      </x:c>
      <x:c r="C156" s="3" t="str">
        <x:v>SITE</x:v>
      </x:c>
      <x:c r="D156" s="3" t="str">
        <x:v>Boundary section</x:v>
      </x:c>
      <x:c r="E156" s="3" t="str">
        <x:v>Boundary section</x:v>
      </x:c>
      <x:c r="F156" s="3" t="str">
        <x:v>Boundary — POST BACKEND /api/admin/site-content: section Min−1 (0)</x:v>
      </x:c>
      <x:c r="G156" s="3" t="str">
        <x:v>POST BACKEND /api/admin/site-content: section Min−1 (0)</x:v>
      </x:c>
      <x:c r="H156" s="3" t="str">
        <x:v>SITE-001</x:v>
      </x:c>
      <x:c r="I156" s="3" t="str">
        <x:v>QTV có quyền tương ứng</x:v>
      </x:c>
      <x:c r="J156" s="3" t="str">
        <x:v>Boundary</x:v>
      </x:c>
      <x:c r="K156" s="3" t="str">
        <x:v>Medium</x:v>
      </x:c>
      <x:c r="L156" s="3" t="str">
        <x:v>Medium</x:v>
      </x:c>
      <x:c r="M156" s="3" t="str">
        <x:v>Môi trường QA cô lập, DB/MinIO sẵn sàng; dữ liệu fixture đã tạo. Đăng nhập tài khoản ACTIVE, mustChangePassword=false.</x:v>
      </x:c>
      <x:c r="N156" s="3" t="str">
        <x:v>"a" lặp 0 lần, không có khoảng trắng. Fixture SITE</x:v>
      </x:c>
      <x:c r="O156" s="3" t="str">
        <x:v>1. Chuẩn bị fixture SITE, các trường khác hợp lệ và ID/slug mới
2. Thay riêng section theo Test Data
3. Gửi POST BACKEND /api/admin/site-content
4. Kiểm tra response và DB</x:v>
      </x:c>
      <x:c r="P156" s="3" t="str">
        <x:v>Từ chối độ dài section=0; HTTP 400 kỳ vọng, không đổi DB. Nếu CMS/Zod.parse trả 500, ghi defect hợp đồng lỗi.</x:v>
      </x:c>
      <x:c r="Q156" s="11" t="str"/>
      <x:c r="R156" s="8" t="str">
        <x:v>NOT RUN</x:v>
      </x:c>
      <x:c r="S156" s="11" t="str">
        <x:v>QA/UAT — cần điền URL/build</x:v>
      </x:c>
      <x:c r="T156" s="11" t="str">
        <x:v>Cần điền phiên bản thực</x:v>
      </x:c>
      <x:c r="U156" s="11" t="str"/>
      <x:c r="V156" s="12" t="str"/>
      <x:c r="W156" s="11" t="str"/>
      <x:c r="X156" s="11" t="str"/>
      <x:c r="Y156" s="3" t="str">
        <x:v>Nguồn: backend/src/modules/cms/cms.routes.ts:91. Độ dài JS/Zod dùng UTF-16; fixture ASCII để cô lập boundary. Optional min=0: Min−1 không áp dụng vì không có độ dài âm.</x:v>
      </x:c>
    </x:row>
    <x:row r="157" ht="62" customHeight="1">
      <x:c r="A157" s="3" t="n">
        <x:v>156</x:v>
      </x:c>
      <x:c r="B157" s="3" t="str">
        <x:v>TC_SITE_008</x:v>
      </x:c>
      <x:c r="C157" s="3" t="str">
        <x:v>SITE</x:v>
      </x:c>
      <x:c r="D157" s="3" t="str">
        <x:v>Boundary section</x:v>
      </x:c>
      <x:c r="E157" s="3" t="str">
        <x:v>Boundary section</x:v>
      </x:c>
      <x:c r="F157" s="3" t="str">
        <x:v>Boundary — POST BACKEND /api/admin/site-content: section Min (1)</x:v>
      </x:c>
      <x:c r="G157" s="3" t="str">
        <x:v>POST BACKEND /api/admin/site-content: section Min (1)</x:v>
      </x:c>
      <x:c r="H157" s="3" t="str">
        <x:v>SITE-001</x:v>
      </x:c>
      <x:c r="I157" s="3" t="str">
        <x:v>QTV có quyền tương ứng</x:v>
      </x:c>
      <x:c r="J157" s="3" t="str">
        <x:v>Boundary</x:v>
      </x:c>
      <x:c r="K157" s="3" t="str">
        <x:v>Medium</x:v>
      </x:c>
      <x:c r="L157" s="3" t="str">
        <x:v>Medium</x:v>
      </x:c>
      <x:c r="M157" s="3" t="str">
        <x:v>Môi trường QA cô lập, DB/MinIO sẵn sàng; dữ liệu fixture đã tạo. Đăng nhập tài khoản ACTIVE, mustChangePassword=false.</x:v>
      </x:c>
      <x:c r="N157" s="3" t="str">
        <x:v>"a" lặp 1 lần, không có khoảng trắng. Fixture SITE</x:v>
      </x:c>
      <x:c r="O157" s="3" t="str">
        <x:v>1. Chuẩn bị fixture SITE, các trường khác hợp lệ và ID/slug mới
2. Thay riêng section theo Test Data
3. Gửi POST BACKEND /api/admin/site-content
4. Kiểm tra response và DB</x:v>
      </x:c>
      <x:c r="P157" s="3" t="str">
        <x:v>Qua validation độ dài section; HTTP 200; trường section được lưu đúng 1 ký tự.</x:v>
      </x:c>
      <x:c r="Q157" s="11" t="str"/>
      <x:c r="R157" s="8" t="str">
        <x:v>NOT RUN</x:v>
      </x:c>
      <x:c r="S157" s="11" t="str">
        <x:v>QA/UAT — cần điền URL/build</x:v>
      </x:c>
      <x:c r="T157" s="11" t="str">
        <x:v>Cần điền phiên bản thực</x:v>
      </x:c>
      <x:c r="U157" s="11" t="str"/>
      <x:c r="V157" s="12" t="str"/>
      <x:c r="W157" s="11" t="str"/>
      <x:c r="X157" s="11" t="str"/>
      <x:c r="Y157" s="3" t="str">
        <x:v>Nguồn: backend/src/modules/cms/cms.routes.ts:91. Độ dài JS/Zod dùng UTF-16; fixture ASCII để cô lập boundary. Optional min=0: Min−1 không áp dụng vì không có độ dài âm.</x:v>
      </x:c>
    </x:row>
    <x:row r="158" ht="62" customHeight="1">
      <x:c r="A158" s="3" t="n">
        <x:v>157</x:v>
      </x:c>
      <x:c r="B158" s="3" t="str">
        <x:v>TC_SITE_009</x:v>
      </x:c>
      <x:c r="C158" s="3" t="str">
        <x:v>SITE</x:v>
      </x:c>
      <x:c r="D158" s="3" t="str">
        <x:v>Boundary section</x:v>
      </x:c>
      <x:c r="E158" s="3" t="str">
        <x:v>Boundary section</x:v>
      </x:c>
      <x:c r="F158" s="3" t="str">
        <x:v>Boundary — POST BACKEND /api/admin/site-content: section Min+1 (2)</x:v>
      </x:c>
      <x:c r="G158" s="3" t="str">
        <x:v>POST BACKEND /api/admin/site-content: section Min+1 (2)</x:v>
      </x:c>
      <x:c r="H158" s="3" t="str">
        <x:v>SITE-001</x:v>
      </x:c>
      <x:c r="I158" s="3" t="str">
        <x:v>QTV có quyền tương ứng</x:v>
      </x:c>
      <x:c r="J158" s="3" t="str">
        <x:v>Boundary</x:v>
      </x:c>
      <x:c r="K158" s="3" t="str">
        <x:v>Medium</x:v>
      </x:c>
      <x:c r="L158" s="3" t="str">
        <x:v>Medium</x:v>
      </x:c>
      <x:c r="M158" s="3" t="str">
        <x:v>Môi trường QA cô lập, DB/MinIO sẵn sàng; dữ liệu fixture đã tạo. Đăng nhập tài khoản ACTIVE, mustChangePassword=false.</x:v>
      </x:c>
      <x:c r="N158" s="3" t="str">
        <x:v>"a" lặp 2 lần, không có khoảng trắng. Fixture SITE</x:v>
      </x:c>
      <x:c r="O158" s="3" t="str">
        <x:v>1. Chuẩn bị fixture SITE, các trường khác hợp lệ và ID/slug mới
2. Thay riêng section theo Test Data
3. Gửi POST BACKEND /api/admin/site-content
4. Kiểm tra response và DB</x:v>
      </x:c>
      <x:c r="P158" s="3" t="str">
        <x:v>Qua validation độ dài section; HTTP 200; trường section được lưu đúng 2 ký tự.</x:v>
      </x:c>
      <x:c r="Q158" s="11" t="str"/>
      <x:c r="R158" s="8" t="str">
        <x:v>NOT RUN</x:v>
      </x:c>
      <x:c r="S158" s="11" t="str">
        <x:v>QA/UAT — cần điền URL/build</x:v>
      </x:c>
      <x:c r="T158" s="11" t="str">
        <x:v>Cần điền phiên bản thực</x:v>
      </x:c>
      <x:c r="U158" s="11" t="str"/>
      <x:c r="V158" s="12" t="str"/>
      <x:c r="W158" s="11" t="str"/>
      <x:c r="X158" s="11" t="str"/>
      <x:c r="Y158" s="3" t="str">
        <x:v>Nguồn: backend/src/modules/cms/cms.routes.ts:91. Độ dài JS/Zod dùng UTF-16; fixture ASCII để cô lập boundary. Optional min=0: Min−1 không áp dụng vì không có độ dài âm.</x:v>
      </x:c>
    </x:row>
    <x:row r="159" ht="62" customHeight="1">
      <x:c r="A159" s="3" t="n">
        <x:v>158</x:v>
      </x:c>
      <x:c r="B159" s="3" t="str">
        <x:v>TC_SITE_010</x:v>
      </x:c>
      <x:c r="C159" s="3" t="str">
        <x:v>SITE</x:v>
      </x:c>
      <x:c r="D159" s="3" t="str">
        <x:v>Boundary section</x:v>
      </x:c>
      <x:c r="E159" s="3" t="str">
        <x:v>Boundary section</x:v>
      </x:c>
      <x:c r="F159" s="3" t="str">
        <x:v>Boundary — POST BACKEND /api/admin/site-content: section Max−1 (99)</x:v>
      </x:c>
      <x:c r="G159" s="3" t="str">
        <x:v>POST BACKEND /api/admin/site-content: section Max−1 (99)</x:v>
      </x:c>
      <x:c r="H159" s="3" t="str">
        <x:v>SITE-001</x:v>
      </x:c>
      <x:c r="I159" s="3" t="str">
        <x:v>QTV có quyền tương ứng</x:v>
      </x:c>
      <x:c r="J159" s="3" t="str">
        <x:v>Boundary</x:v>
      </x:c>
      <x:c r="K159" s="3" t="str">
        <x:v>Medium</x:v>
      </x:c>
      <x:c r="L159" s="3" t="str">
        <x:v>Medium</x:v>
      </x:c>
      <x:c r="M159" s="3" t="str">
        <x:v>Môi trường QA cô lập, DB/MinIO sẵn sàng; dữ liệu fixture đã tạo. Đăng nhập tài khoản ACTIVE, mustChangePassword=false.</x:v>
      </x:c>
      <x:c r="N159" s="3" t="str">
        <x:v>"a" lặp 99 lần, không có khoảng trắng. Fixture SITE</x:v>
      </x:c>
      <x:c r="O159" s="3" t="str">
        <x:v>1. Chuẩn bị fixture SITE, các trường khác hợp lệ và ID/slug mới
2. Thay riêng section theo Test Data
3. Gửi POST BACKEND /api/admin/site-content
4. Kiểm tra response và DB</x:v>
      </x:c>
      <x:c r="P159" s="3" t="str">
        <x:v>Qua validation độ dài section; HTTP 200; trường section được lưu đúng 99 ký tự.</x:v>
      </x:c>
      <x:c r="Q159" s="11" t="str"/>
      <x:c r="R159" s="8" t="str">
        <x:v>NOT RUN</x:v>
      </x:c>
      <x:c r="S159" s="11" t="str">
        <x:v>QA/UAT — cần điền URL/build</x:v>
      </x:c>
      <x:c r="T159" s="11" t="str">
        <x:v>Cần điền phiên bản thực</x:v>
      </x:c>
      <x:c r="U159" s="11" t="str"/>
      <x:c r="V159" s="12" t="str"/>
      <x:c r="W159" s="11" t="str"/>
      <x:c r="X159" s="11" t="str"/>
      <x:c r="Y159" s="3" t="str">
        <x:v>Nguồn: backend/src/modules/cms/cms.routes.ts:91. Độ dài JS/Zod dùng UTF-16; fixture ASCII để cô lập boundary. Optional min=0: Min−1 không áp dụng vì không có độ dài âm.</x:v>
      </x:c>
    </x:row>
    <x:row r="160" ht="62" customHeight="1">
      <x:c r="A160" s="3" t="n">
        <x:v>159</x:v>
      </x:c>
      <x:c r="B160" s="3" t="str">
        <x:v>TC_SITE_011</x:v>
      </x:c>
      <x:c r="C160" s="3" t="str">
        <x:v>SITE</x:v>
      </x:c>
      <x:c r="D160" s="3" t="str">
        <x:v>Boundary section</x:v>
      </x:c>
      <x:c r="E160" s="3" t="str">
        <x:v>Boundary section</x:v>
      </x:c>
      <x:c r="F160" s="3" t="str">
        <x:v>Boundary — POST BACKEND /api/admin/site-content: section Max (100)</x:v>
      </x:c>
      <x:c r="G160" s="3" t="str">
        <x:v>POST BACKEND /api/admin/site-content: section Max (100)</x:v>
      </x:c>
      <x:c r="H160" s="3" t="str">
        <x:v>SITE-001</x:v>
      </x:c>
      <x:c r="I160" s="3" t="str">
        <x:v>QTV có quyền tương ứng</x:v>
      </x:c>
      <x:c r="J160" s="3" t="str">
        <x:v>Boundary</x:v>
      </x:c>
      <x:c r="K160" s="3" t="str">
        <x:v>Medium</x:v>
      </x:c>
      <x:c r="L160" s="3" t="str">
        <x:v>Medium</x:v>
      </x:c>
      <x:c r="M160" s="3" t="str">
        <x:v>Môi trường QA cô lập, DB/MinIO sẵn sàng; dữ liệu fixture đã tạo. Đăng nhập tài khoản ACTIVE, mustChangePassword=false.</x:v>
      </x:c>
      <x:c r="N160" s="3" t="str">
        <x:v>"a" lặp 100 lần, không có khoảng trắng. Fixture SITE</x:v>
      </x:c>
      <x:c r="O160" s="3" t="str">
        <x:v>1. Chuẩn bị fixture SITE, các trường khác hợp lệ và ID/slug mới
2. Thay riêng section theo Test Data
3. Gửi POST BACKEND /api/admin/site-content
4. Kiểm tra response và DB</x:v>
      </x:c>
      <x:c r="P160" s="3" t="str">
        <x:v>Qua validation độ dài section; HTTP 200; trường section được lưu đúng 100 ký tự.</x:v>
      </x:c>
      <x:c r="Q160" s="11" t="str"/>
      <x:c r="R160" s="8" t="str">
        <x:v>NOT RUN</x:v>
      </x:c>
      <x:c r="S160" s="11" t="str">
        <x:v>QA/UAT — cần điền URL/build</x:v>
      </x:c>
      <x:c r="T160" s="11" t="str">
        <x:v>Cần điền phiên bản thực</x:v>
      </x:c>
      <x:c r="U160" s="11" t="str"/>
      <x:c r="V160" s="12" t="str"/>
      <x:c r="W160" s="11" t="str"/>
      <x:c r="X160" s="11" t="str"/>
      <x:c r="Y160" s="3" t="str">
        <x:v>Nguồn: backend/src/modules/cms/cms.routes.ts:91. Độ dài JS/Zod dùng UTF-16; fixture ASCII để cô lập boundary. Optional min=0: Min−1 không áp dụng vì không có độ dài âm.</x:v>
      </x:c>
    </x:row>
    <x:row r="161" ht="62" customHeight="1">
      <x:c r="A161" s="3" t="n">
        <x:v>160</x:v>
      </x:c>
      <x:c r="B161" s="3" t="str">
        <x:v>TC_SITE_012</x:v>
      </x:c>
      <x:c r="C161" s="3" t="str">
        <x:v>SITE</x:v>
      </x:c>
      <x:c r="D161" s="3" t="str">
        <x:v>Boundary section</x:v>
      </x:c>
      <x:c r="E161" s="3" t="str">
        <x:v>Boundary section</x:v>
      </x:c>
      <x:c r="F161" s="3" t="str">
        <x:v>Boundary — POST BACKEND /api/admin/site-content: section Max+1 (101)</x:v>
      </x:c>
      <x:c r="G161" s="3" t="str">
        <x:v>POST BACKEND /api/admin/site-content: section Max+1 (101)</x:v>
      </x:c>
      <x:c r="H161" s="3" t="str">
        <x:v>SITE-001</x:v>
      </x:c>
      <x:c r="I161" s="3" t="str">
        <x:v>QTV có quyền tương ứng</x:v>
      </x:c>
      <x:c r="J161" s="3" t="str">
        <x:v>Boundary</x:v>
      </x:c>
      <x:c r="K161" s="3" t="str">
        <x:v>Medium</x:v>
      </x:c>
      <x:c r="L161" s="3" t="str">
        <x:v>Medium</x:v>
      </x:c>
      <x:c r="M161" s="3" t="str">
        <x:v>Môi trường QA cô lập, DB/MinIO sẵn sàng; dữ liệu fixture đã tạo. Đăng nhập tài khoản ACTIVE, mustChangePassword=false.</x:v>
      </x:c>
      <x:c r="N161" s="3" t="str">
        <x:v>"a" lặp 101 lần, không có khoảng trắng. Fixture SITE</x:v>
      </x:c>
      <x:c r="O161" s="3" t="str">
        <x:v>1. Chuẩn bị fixture SITE, các trường khác hợp lệ và ID/slug mới
2. Thay riêng section theo Test Data
3. Gửi POST BACKEND /api/admin/site-content
4. Kiểm tra response và DB</x:v>
      </x:c>
      <x:c r="P161" s="3" t="str">
        <x:v>Từ chối độ dài section=101; HTTP 400 kỳ vọng, không đổi DB. Nếu CMS/Zod.parse trả 500, ghi defect hợp đồng lỗi.</x:v>
      </x:c>
      <x:c r="Q161" s="11" t="str"/>
      <x:c r="R161" s="8" t="str">
        <x:v>NOT RUN</x:v>
      </x:c>
      <x:c r="S161" s="11" t="str">
        <x:v>QA/UAT — cần điền URL/build</x:v>
      </x:c>
      <x:c r="T161" s="11" t="str">
        <x:v>Cần điền phiên bản thực</x:v>
      </x:c>
      <x:c r="U161" s="11" t="str"/>
      <x:c r="V161" s="12" t="str"/>
      <x:c r="W161" s="11" t="str"/>
      <x:c r="X161" s="11" t="str"/>
      <x:c r="Y161" s="3" t="str">
        <x:v>Nguồn: backend/src/modules/cms/cms.routes.ts:91. Độ dài JS/Zod dùng UTF-16; fixture ASCII để cô lập boundary. Optional min=0: Min−1 không áp dụng vì không có độ dài âm.</x:v>
      </x:c>
    </x:row>
    <x:row r="162" ht="62" customHeight="1">
      <x:c r="A162" s="3" t="n">
        <x:v>161</x:v>
      </x:c>
      <x:c r="B162" s="3" t="str">
        <x:v>TC_SITE_013</x:v>
      </x:c>
      <x:c r="C162" s="3" t="str">
        <x:v>SITE</x:v>
      </x:c>
      <x:c r="D162" s="3" t="str">
        <x:v>Boundary page</x:v>
      </x:c>
      <x:c r="E162" s="3" t="str">
        <x:v>Boundary page</x:v>
      </x:c>
      <x:c r="F162" s="3" t="str">
        <x:v>Boundary — POST BACKEND /api/admin/site-content: page Min−1 (0)</x:v>
      </x:c>
      <x:c r="G162" s="3" t="str">
        <x:v>POST BACKEND /api/admin/site-content: page Min−1 (0)</x:v>
      </x:c>
      <x:c r="H162" s="3" t="str">
        <x:v>SITE-001</x:v>
      </x:c>
      <x:c r="I162" s="3" t="str">
        <x:v>QTV có quyền tương ứng</x:v>
      </x:c>
      <x:c r="J162" s="3" t="str">
        <x:v>Boundary</x:v>
      </x:c>
      <x:c r="K162" s="3" t="str">
        <x:v>Medium</x:v>
      </x:c>
      <x:c r="L162" s="3" t="str">
        <x:v>Medium</x:v>
      </x:c>
      <x:c r="M162" s="3" t="str">
        <x:v>Môi trường QA cô lập, DB/MinIO sẵn sàng; dữ liệu fixture đã tạo. Đăng nhập tài khoản ACTIVE, mustChangePassword=false.</x:v>
      </x:c>
      <x:c r="N162" s="3" t="str">
        <x:v>"a" lặp 0 lần, không có khoảng trắng. Fixture SITE</x:v>
      </x:c>
      <x:c r="O162" s="3" t="str">
        <x:v>1. Chuẩn bị fixture SITE, các trường khác hợp lệ và ID/slug mới
2. Thay riêng page theo Test Data
3. Gửi POST BACKEND /api/admin/site-content
4. Kiểm tra response và DB</x:v>
      </x:c>
      <x:c r="P162" s="3" t="str">
        <x:v>Từ chối độ dài page=0; HTTP 400 kỳ vọng, không đổi DB. Nếu CMS/Zod.parse trả 500, ghi defect hợp đồng lỗi.</x:v>
      </x:c>
      <x:c r="Q162" s="11" t="str"/>
      <x:c r="R162" s="8" t="str">
        <x:v>NOT RUN</x:v>
      </x:c>
      <x:c r="S162" s="11" t="str">
        <x:v>QA/UAT — cần điền URL/build</x:v>
      </x:c>
      <x:c r="T162" s="11" t="str">
        <x:v>Cần điền phiên bản thực</x:v>
      </x:c>
      <x:c r="U162" s="11" t="str"/>
      <x:c r="V162" s="12" t="str"/>
      <x:c r="W162" s="11" t="str"/>
      <x:c r="X162" s="11" t="str"/>
      <x:c r="Y162" s="3" t="str">
        <x:v>Nguồn: backend/src/modules/cms/cms.routes.ts:91. Độ dài JS/Zod dùng UTF-16; fixture ASCII để cô lập boundary. Optional min=0: Min−1 không áp dụng vì không có độ dài âm.</x:v>
      </x:c>
    </x:row>
    <x:row r="163" ht="62" customHeight="1">
      <x:c r="A163" s="3" t="n">
        <x:v>162</x:v>
      </x:c>
      <x:c r="B163" s="3" t="str">
        <x:v>TC_SITE_014</x:v>
      </x:c>
      <x:c r="C163" s="3" t="str">
        <x:v>SITE</x:v>
      </x:c>
      <x:c r="D163" s="3" t="str">
        <x:v>Boundary page</x:v>
      </x:c>
      <x:c r="E163" s="3" t="str">
        <x:v>Boundary page</x:v>
      </x:c>
      <x:c r="F163" s="3" t="str">
        <x:v>Boundary — POST BACKEND /api/admin/site-content: page Min (1)</x:v>
      </x:c>
      <x:c r="G163" s="3" t="str">
        <x:v>POST BACKEND /api/admin/site-content: page Min (1)</x:v>
      </x:c>
      <x:c r="H163" s="3" t="str">
        <x:v>SITE-001</x:v>
      </x:c>
      <x:c r="I163" s="3" t="str">
        <x:v>QTV có quyền tương ứng</x:v>
      </x:c>
      <x:c r="J163" s="3" t="str">
        <x:v>Boundary</x:v>
      </x:c>
      <x:c r="K163" s="3" t="str">
        <x:v>Medium</x:v>
      </x:c>
      <x:c r="L163" s="3" t="str">
        <x:v>Medium</x:v>
      </x:c>
      <x:c r="M163" s="3" t="str">
        <x:v>Môi trường QA cô lập, DB/MinIO sẵn sàng; dữ liệu fixture đã tạo. Đăng nhập tài khoản ACTIVE, mustChangePassword=false.</x:v>
      </x:c>
      <x:c r="N163" s="3" t="str">
        <x:v>"a" lặp 1 lần, không có khoảng trắng. Fixture SITE</x:v>
      </x:c>
      <x:c r="O163" s="3" t="str">
        <x:v>1. Chuẩn bị fixture SITE, các trường khác hợp lệ và ID/slug mới
2. Thay riêng page theo Test Data
3. Gửi POST BACKEND /api/admin/site-content
4. Kiểm tra response và DB</x:v>
      </x:c>
      <x:c r="P163" s="3" t="str">
        <x:v>Qua validation độ dài page; HTTP 200; trường page được lưu đúng 1 ký tự.</x:v>
      </x:c>
      <x:c r="Q163" s="11" t="str"/>
      <x:c r="R163" s="8" t="str">
        <x:v>NOT RUN</x:v>
      </x:c>
      <x:c r="S163" s="11" t="str">
        <x:v>QA/UAT — cần điền URL/build</x:v>
      </x:c>
      <x:c r="T163" s="11" t="str">
        <x:v>Cần điền phiên bản thực</x:v>
      </x:c>
      <x:c r="U163" s="11" t="str"/>
      <x:c r="V163" s="12" t="str"/>
      <x:c r="W163" s="11" t="str"/>
      <x:c r="X163" s="11" t="str"/>
      <x:c r="Y163" s="3" t="str">
        <x:v>Nguồn: backend/src/modules/cms/cms.routes.ts:91. Độ dài JS/Zod dùng UTF-16; fixture ASCII để cô lập boundary. Optional min=0: Min−1 không áp dụng vì không có độ dài âm.</x:v>
      </x:c>
    </x:row>
    <x:row r="164" ht="62" customHeight="1">
      <x:c r="A164" s="3" t="n">
        <x:v>163</x:v>
      </x:c>
      <x:c r="B164" s="3" t="str">
        <x:v>TC_SITE_015</x:v>
      </x:c>
      <x:c r="C164" s="3" t="str">
        <x:v>SITE</x:v>
      </x:c>
      <x:c r="D164" s="3" t="str">
        <x:v>Boundary page</x:v>
      </x:c>
      <x:c r="E164" s="3" t="str">
        <x:v>Boundary page</x:v>
      </x:c>
      <x:c r="F164" s="3" t="str">
        <x:v>Boundary — POST BACKEND /api/admin/site-content: page Min+1 (2)</x:v>
      </x:c>
      <x:c r="G164" s="3" t="str">
        <x:v>POST BACKEND /api/admin/site-content: page Min+1 (2)</x:v>
      </x:c>
      <x:c r="H164" s="3" t="str">
        <x:v>SITE-001</x:v>
      </x:c>
      <x:c r="I164" s="3" t="str">
        <x:v>QTV có quyền tương ứng</x:v>
      </x:c>
      <x:c r="J164" s="3" t="str">
        <x:v>Boundary</x:v>
      </x:c>
      <x:c r="K164" s="3" t="str">
        <x:v>Medium</x:v>
      </x:c>
      <x:c r="L164" s="3" t="str">
        <x:v>Medium</x:v>
      </x:c>
      <x:c r="M164" s="3" t="str">
        <x:v>Môi trường QA cô lập, DB/MinIO sẵn sàng; dữ liệu fixture đã tạo. Đăng nhập tài khoản ACTIVE, mustChangePassword=false.</x:v>
      </x:c>
      <x:c r="N164" s="3" t="str">
        <x:v>"a" lặp 2 lần, không có khoảng trắng. Fixture SITE</x:v>
      </x:c>
      <x:c r="O164" s="3" t="str">
        <x:v>1. Chuẩn bị fixture SITE, các trường khác hợp lệ và ID/slug mới
2. Thay riêng page theo Test Data
3. Gửi POST BACKEND /api/admin/site-content
4. Kiểm tra response và DB</x:v>
      </x:c>
      <x:c r="P164" s="3" t="str">
        <x:v>Qua validation độ dài page; HTTP 200; trường page được lưu đúng 2 ký tự.</x:v>
      </x:c>
      <x:c r="Q164" s="11" t="str"/>
      <x:c r="R164" s="8" t="str">
        <x:v>NOT RUN</x:v>
      </x:c>
      <x:c r="S164" s="11" t="str">
        <x:v>QA/UAT — cần điền URL/build</x:v>
      </x:c>
      <x:c r="T164" s="11" t="str">
        <x:v>Cần điền phiên bản thực</x:v>
      </x:c>
      <x:c r="U164" s="11" t="str"/>
      <x:c r="V164" s="12" t="str"/>
      <x:c r="W164" s="11" t="str"/>
      <x:c r="X164" s="11" t="str"/>
      <x:c r="Y164" s="3" t="str">
        <x:v>Nguồn: backend/src/modules/cms/cms.routes.ts:91. Độ dài JS/Zod dùng UTF-16; fixture ASCII để cô lập boundary. Optional min=0: Min−1 không áp dụng vì không có độ dài âm.</x:v>
      </x:c>
    </x:row>
    <x:row r="165" ht="62" customHeight="1">
      <x:c r="A165" s="3" t="n">
        <x:v>164</x:v>
      </x:c>
      <x:c r="B165" s="3" t="str">
        <x:v>TC_SITE_016</x:v>
      </x:c>
      <x:c r="C165" s="3" t="str">
        <x:v>SITE</x:v>
      </x:c>
      <x:c r="D165" s="3" t="str">
        <x:v>Boundary page</x:v>
      </x:c>
      <x:c r="E165" s="3" t="str">
        <x:v>Boundary page</x:v>
      </x:c>
      <x:c r="F165" s="3" t="str">
        <x:v>Boundary — POST BACKEND /api/admin/site-content: page Max−1 (189)</x:v>
      </x:c>
      <x:c r="G165" s="3" t="str">
        <x:v>POST BACKEND /api/admin/site-content: page Max−1 (189)</x:v>
      </x:c>
      <x:c r="H165" s="3" t="str">
        <x:v>SITE-001</x:v>
      </x:c>
      <x:c r="I165" s="3" t="str">
        <x:v>QTV có quyền tương ứng</x:v>
      </x:c>
      <x:c r="J165" s="3" t="str">
        <x:v>Boundary</x:v>
      </x:c>
      <x:c r="K165" s="3" t="str">
        <x:v>Medium</x:v>
      </x:c>
      <x:c r="L165" s="3" t="str">
        <x:v>Medium</x:v>
      </x:c>
      <x:c r="M165" s="3" t="str">
        <x:v>Môi trường QA cô lập, DB/MinIO sẵn sàng; dữ liệu fixture đã tạo. Đăng nhập tài khoản ACTIVE, mustChangePassword=false.</x:v>
      </x:c>
      <x:c r="N165" s="3" t="str">
        <x:v>"a" lặp 189 lần, không có khoảng trắng. Fixture SITE</x:v>
      </x:c>
      <x:c r="O165" s="3" t="str">
        <x:v>1. Chuẩn bị fixture SITE, các trường khác hợp lệ và ID/slug mới
2. Thay riêng page theo Test Data
3. Gửi POST BACKEND /api/admin/site-content
4. Kiểm tra response và DB</x:v>
      </x:c>
      <x:c r="P165" s="3" t="str">
        <x:v>Qua validation độ dài page; HTTP 200; trường page được lưu đúng 189 ký tự.</x:v>
      </x:c>
      <x:c r="Q165" s="11" t="str"/>
      <x:c r="R165" s="8" t="str">
        <x:v>NOT RUN</x:v>
      </x:c>
      <x:c r="S165" s="11" t="str">
        <x:v>QA/UAT — cần điền URL/build</x:v>
      </x:c>
      <x:c r="T165" s="11" t="str">
        <x:v>Cần điền phiên bản thực</x:v>
      </x:c>
      <x:c r="U165" s="11" t="str"/>
      <x:c r="V165" s="12" t="str"/>
      <x:c r="W165" s="11" t="str"/>
      <x:c r="X165" s="11" t="str"/>
      <x:c r="Y165" s="3" t="str">
        <x:v>Nguồn: backend/src/modules/cms/cms.routes.ts:91. Độ dài JS/Zod dùng UTF-16; fixture ASCII để cô lập boundary. Optional min=0: Min−1 không áp dụng vì không có độ dài âm.</x:v>
      </x:c>
    </x:row>
    <x:row r="166" ht="62" customHeight="1">
      <x:c r="A166" s="3" t="n">
        <x:v>165</x:v>
      </x:c>
      <x:c r="B166" s="3" t="str">
        <x:v>TC_SITE_017</x:v>
      </x:c>
      <x:c r="C166" s="3" t="str">
        <x:v>SITE</x:v>
      </x:c>
      <x:c r="D166" s="3" t="str">
        <x:v>Boundary page</x:v>
      </x:c>
      <x:c r="E166" s="3" t="str">
        <x:v>Boundary page</x:v>
      </x:c>
      <x:c r="F166" s="3" t="str">
        <x:v>Boundary — POST BACKEND /api/admin/site-content: page Max (190)</x:v>
      </x:c>
      <x:c r="G166" s="3" t="str">
        <x:v>POST BACKEND /api/admin/site-content: page Max (190)</x:v>
      </x:c>
      <x:c r="H166" s="3" t="str">
        <x:v>SITE-001</x:v>
      </x:c>
      <x:c r="I166" s="3" t="str">
        <x:v>QTV có quyền tương ứng</x:v>
      </x:c>
      <x:c r="J166" s="3" t="str">
        <x:v>Boundary</x:v>
      </x:c>
      <x:c r="K166" s="3" t="str">
        <x:v>Medium</x:v>
      </x:c>
      <x:c r="L166" s="3" t="str">
        <x:v>Medium</x:v>
      </x:c>
      <x:c r="M166" s="3" t="str">
        <x:v>Môi trường QA cô lập, DB/MinIO sẵn sàng; dữ liệu fixture đã tạo. Đăng nhập tài khoản ACTIVE, mustChangePassword=false.</x:v>
      </x:c>
      <x:c r="N166" s="3" t="str">
        <x:v>"a" lặp 190 lần, không có khoảng trắng. Fixture SITE</x:v>
      </x:c>
      <x:c r="O166" s="3" t="str">
        <x:v>1. Chuẩn bị fixture SITE, các trường khác hợp lệ và ID/slug mới
2. Thay riêng page theo Test Data
3. Gửi POST BACKEND /api/admin/site-content
4. Kiểm tra response và DB</x:v>
      </x:c>
      <x:c r="P166" s="3" t="str">
        <x:v>Qua validation độ dài page; HTTP 200; trường page được lưu đúng 190 ký tự.</x:v>
      </x:c>
      <x:c r="Q166" s="11" t="str"/>
      <x:c r="R166" s="8" t="str">
        <x:v>NOT RUN</x:v>
      </x:c>
      <x:c r="S166" s="11" t="str">
        <x:v>QA/UAT — cần điền URL/build</x:v>
      </x:c>
      <x:c r="T166" s="11" t="str">
        <x:v>Cần điền phiên bản thực</x:v>
      </x:c>
      <x:c r="U166" s="11" t="str"/>
      <x:c r="V166" s="12" t="str"/>
      <x:c r="W166" s="11" t="str"/>
      <x:c r="X166" s="11" t="str"/>
      <x:c r="Y166" s="3" t="str">
        <x:v>Nguồn: backend/src/modules/cms/cms.routes.ts:91. Độ dài JS/Zod dùng UTF-16; fixture ASCII để cô lập boundary. Optional min=0: Min−1 không áp dụng vì không có độ dài âm.</x:v>
      </x:c>
    </x:row>
    <x:row r="167" ht="62" customHeight="1">
      <x:c r="A167" s="3" t="n">
        <x:v>166</x:v>
      </x:c>
      <x:c r="B167" s="3" t="str">
        <x:v>TC_SITE_018</x:v>
      </x:c>
      <x:c r="C167" s="3" t="str">
        <x:v>SITE</x:v>
      </x:c>
      <x:c r="D167" s="3" t="str">
        <x:v>Boundary page</x:v>
      </x:c>
      <x:c r="E167" s="3" t="str">
        <x:v>Boundary page</x:v>
      </x:c>
      <x:c r="F167" s="3" t="str">
        <x:v>Boundary — POST BACKEND /api/admin/site-content: page Max+1 (191)</x:v>
      </x:c>
      <x:c r="G167" s="3" t="str">
        <x:v>POST BACKEND /api/admin/site-content: page Max+1 (191)</x:v>
      </x:c>
      <x:c r="H167" s="3" t="str">
        <x:v>SITE-001</x:v>
      </x:c>
      <x:c r="I167" s="3" t="str">
        <x:v>QTV có quyền tương ứng</x:v>
      </x:c>
      <x:c r="J167" s="3" t="str">
        <x:v>Boundary</x:v>
      </x:c>
      <x:c r="K167" s="3" t="str">
        <x:v>Medium</x:v>
      </x:c>
      <x:c r="L167" s="3" t="str">
        <x:v>Medium</x:v>
      </x:c>
      <x:c r="M167" s="3" t="str">
        <x:v>Môi trường QA cô lập, DB/MinIO sẵn sàng; dữ liệu fixture đã tạo. Đăng nhập tài khoản ACTIVE, mustChangePassword=false.</x:v>
      </x:c>
      <x:c r="N167" s="3" t="str">
        <x:v>"a" lặp 191 lần, không có khoảng trắng. Fixture SITE</x:v>
      </x:c>
      <x:c r="O167" s="3" t="str">
        <x:v>1. Chuẩn bị fixture SITE, các trường khác hợp lệ và ID/slug mới
2. Thay riêng page theo Test Data
3. Gửi POST BACKEND /api/admin/site-content
4. Kiểm tra response và DB</x:v>
      </x:c>
      <x:c r="P167" s="3" t="str">
        <x:v>Từ chối độ dài page=191; HTTP 400 kỳ vọng, không đổi DB. Nếu CMS/Zod.parse trả 500, ghi defect hợp đồng lỗi.</x:v>
      </x:c>
      <x:c r="Q167" s="11" t="str"/>
      <x:c r="R167" s="8" t="str">
        <x:v>NOT RUN</x:v>
      </x:c>
      <x:c r="S167" s="11" t="str">
        <x:v>QA/UAT — cần điền URL/build</x:v>
      </x:c>
      <x:c r="T167" s="11" t="str">
        <x:v>Cần điền phiên bản thực</x:v>
      </x:c>
      <x:c r="U167" s="11" t="str"/>
      <x:c r="V167" s="12" t="str"/>
      <x:c r="W167" s="11" t="str"/>
      <x:c r="X167" s="11" t="str"/>
      <x:c r="Y167" s="3" t="str">
        <x:v>Nguồn: backend/src/modules/cms/cms.routes.ts:91. Độ dài JS/Zod dùng UTF-16; fixture ASCII để cô lập boundary. Optional min=0: Min−1 không áp dụng vì không có độ dài âm.</x:v>
      </x:c>
    </x:row>
    <x:row r="168" ht="62" customHeight="1">
      <x:c r="A168" s="3" t="n">
        <x:v>167</x:v>
      </x:c>
      <x:c r="B168" s="3" t="str">
        <x:v>TC_SITE_019</x:v>
      </x:c>
      <x:c r="C168" s="3" t="str">
        <x:v>SITE</x:v>
      </x:c>
      <x:c r="D168" s="3" t="str">
        <x:v>Boundary title</x:v>
      </x:c>
      <x:c r="E168" s="3" t="str">
        <x:v>Boundary title</x:v>
      </x:c>
      <x:c r="F168" s="3" t="str">
        <x:v>Boundary — POST BACKEND /api/admin/site-content: title Min (0)</x:v>
      </x:c>
      <x:c r="G168" s="3" t="str">
        <x:v>POST BACKEND /api/admin/site-content: title Min (0)</x:v>
      </x:c>
      <x:c r="H168" s="3" t="str">
        <x:v>SITE-001</x:v>
      </x:c>
      <x:c r="I168" s="3" t="str">
        <x:v>QTV có quyền tương ứng</x:v>
      </x:c>
      <x:c r="J168" s="3" t="str">
        <x:v>Boundary</x:v>
      </x:c>
      <x:c r="K168" s="3" t="str">
        <x:v>Medium</x:v>
      </x:c>
      <x:c r="L168" s="3" t="str">
        <x:v>Medium</x:v>
      </x:c>
      <x:c r="M168" s="3" t="str">
        <x:v>Môi trường QA cô lập, DB/MinIO sẵn sàng; dữ liệu fixture đã tạo. Đăng nhập tài khoản ACTIVE, mustChangePassword=false.</x:v>
      </x:c>
      <x:c r="N168" s="3" t="str">
        <x:v>"a" lặp 0 lần, không có khoảng trắng. Fixture SITE</x:v>
      </x:c>
      <x:c r="O168" s="3" t="str">
        <x:v>1. Chuẩn bị fixture SITE, các trường khác hợp lệ và ID/slug mới
2. Thay riêng title theo Test Data
3. Gửi POST BACKEND /api/admin/site-content
4. Kiểm tra response và DB</x:v>
      </x:c>
      <x:c r="P168" s="3" t="str">
        <x:v>Qua validation độ dài title; HTTP 200; trường title được lưu đúng 0 ký tự.</x:v>
      </x:c>
      <x:c r="Q168" s="11" t="str"/>
      <x:c r="R168" s="8" t="str">
        <x:v>NOT RUN</x:v>
      </x:c>
      <x:c r="S168" s="11" t="str">
        <x:v>QA/UAT — cần điền URL/build</x:v>
      </x:c>
      <x:c r="T168" s="11" t="str">
        <x:v>Cần điền phiên bản thực</x:v>
      </x:c>
      <x:c r="U168" s="11" t="str"/>
      <x:c r="V168" s="12" t="str"/>
      <x:c r="W168" s="11" t="str"/>
      <x:c r="X168" s="11" t="str"/>
      <x:c r="Y168" s="3" t="str">
        <x:v>Nguồn: backend/src/modules/cms/cms.routes.ts:63. Độ dài JS/Zod dùng UTF-16; fixture ASCII để cô lập boundary. Optional min=0: Min−1 không áp dụng vì không có độ dài âm.</x:v>
      </x:c>
    </x:row>
    <x:row r="169" ht="62" customHeight="1">
      <x:c r="A169" s="3" t="n">
        <x:v>168</x:v>
      </x:c>
      <x:c r="B169" s="3" t="str">
        <x:v>TC_SITE_020</x:v>
      </x:c>
      <x:c r="C169" s="3" t="str">
        <x:v>SITE</x:v>
      </x:c>
      <x:c r="D169" s="3" t="str">
        <x:v>Boundary title</x:v>
      </x:c>
      <x:c r="E169" s="3" t="str">
        <x:v>Boundary title</x:v>
      </x:c>
      <x:c r="F169" s="3" t="str">
        <x:v>Boundary — POST BACKEND /api/admin/site-content: title Min+1 (1)</x:v>
      </x:c>
      <x:c r="G169" s="3" t="str">
        <x:v>POST BACKEND /api/admin/site-content: title Min+1 (1)</x:v>
      </x:c>
      <x:c r="H169" s="3" t="str">
        <x:v>SITE-001</x:v>
      </x:c>
      <x:c r="I169" s="3" t="str">
        <x:v>QTV có quyền tương ứng</x:v>
      </x:c>
      <x:c r="J169" s="3" t="str">
        <x:v>Boundary</x:v>
      </x:c>
      <x:c r="K169" s="3" t="str">
        <x:v>Medium</x:v>
      </x:c>
      <x:c r="L169" s="3" t="str">
        <x:v>Medium</x:v>
      </x:c>
      <x:c r="M169" s="3" t="str">
        <x:v>Môi trường QA cô lập, DB/MinIO sẵn sàng; dữ liệu fixture đã tạo. Đăng nhập tài khoản ACTIVE, mustChangePassword=false.</x:v>
      </x:c>
      <x:c r="N169" s="3" t="str">
        <x:v>"a" lặp 1 lần, không có khoảng trắng. Fixture SITE</x:v>
      </x:c>
      <x:c r="O169" s="3" t="str">
        <x:v>1. Chuẩn bị fixture SITE, các trường khác hợp lệ và ID/slug mới
2. Thay riêng title theo Test Data
3. Gửi POST BACKEND /api/admin/site-content
4. Kiểm tra response và DB</x:v>
      </x:c>
      <x:c r="P169" s="3" t="str">
        <x:v>Qua validation độ dài title; HTTP 200; trường title được lưu đúng 1 ký tự.</x:v>
      </x:c>
      <x:c r="Q169" s="11" t="str"/>
      <x:c r="R169" s="8" t="str">
        <x:v>NOT RUN</x:v>
      </x:c>
      <x:c r="S169" s="11" t="str">
        <x:v>QA/UAT — cần điền URL/build</x:v>
      </x:c>
      <x:c r="T169" s="11" t="str">
        <x:v>Cần điền phiên bản thực</x:v>
      </x:c>
      <x:c r="U169" s="11" t="str"/>
      <x:c r="V169" s="12" t="str"/>
      <x:c r="W169" s="11" t="str"/>
      <x:c r="X169" s="11" t="str"/>
      <x:c r="Y169" s="3" t="str">
        <x:v>Nguồn: backend/src/modules/cms/cms.routes.ts:63. Độ dài JS/Zod dùng UTF-16; fixture ASCII để cô lập boundary. Optional min=0: Min−1 không áp dụng vì không có độ dài âm.</x:v>
      </x:c>
    </x:row>
    <x:row r="170" ht="62" customHeight="1">
      <x:c r="A170" s="3" t="n">
        <x:v>169</x:v>
      </x:c>
      <x:c r="B170" s="3" t="str">
        <x:v>TC_SITE_021</x:v>
      </x:c>
      <x:c r="C170" s="3" t="str">
        <x:v>SITE</x:v>
      </x:c>
      <x:c r="D170" s="3" t="str">
        <x:v>Boundary title</x:v>
      </x:c>
      <x:c r="E170" s="3" t="str">
        <x:v>Boundary title</x:v>
      </x:c>
      <x:c r="F170" s="3" t="str">
        <x:v>Boundary — POST BACKEND /api/admin/site-content: title Max−1 (249)</x:v>
      </x:c>
      <x:c r="G170" s="3" t="str">
        <x:v>POST BACKEND /api/admin/site-content: title Max−1 (249)</x:v>
      </x:c>
      <x:c r="H170" s="3" t="str">
        <x:v>SITE-001</x:v>
      </x:c>
      <x:c r="I170" s="3" t="str">
        <x:v>QTV có quyền tương ứng</x:v>
      </x:c>
      <x:c r="J170" s="3" t="str">
        <x:v>Boundary</x:v>
      </x:c>
      <x:c r="K170" s="3" t="str">
        <x:v>Medium</x:v>
      </x:c>
      <x:c r="L170" s="3" t="str">
        <x:v>Medium</x:v>
      </x:c>
      <x:c r="M170" s="3" t="str">
        <x:v>Môi trường QA cô lập, DB/MinIO sẵn sàng; dữ liệu fixture đã tạo. Đăng nhập tài khoản ACTIVE, mustChangePassword=false.</x:v>
      </x:c>
      <x:c r="N170" s="3" t="str">
        <x:v>"a" lặp 249 lần, không có khoảng trắng. Fixture SITE</x:v>
      </x:c>
      <x:c r="O170" s="3" t="str">
        <x:v>1. Chuẩn bị fixture SITE, các trường khác hợp lệ và ID/slug mới
2. Thay riêng title theo Test Data
3. Gửi POST BACKEND /api/admin/site-content
4. Kiểm tra response và DB</x:v>
      </x:c>
      <x:c r="P170" s="3" t="str">
        <x:v>Qua validation độ dài title; HTTP 200; trường title được lưu đúng 249 ký tự.</x:v>
      </x:c>
      <x:c r="Q170" s="11" t="str"/>
      <x:c r="R170" s="8" t="str">
        <x:v>NOT RUN</x:v>
      </x:c>
      <x:c r="S170" s="11" t="str">
        <x:v>QA/UAT — cần điền URL/build</x:v>
      </x:c>
      <x:c r="T170" s="11" t="str">
        <x:v>Cần điền phiên bản thực</x:v>
      </x:c>
      <x:c r="U170" s="11" t="str"/>
      <x:c r="V170" s="12" t="str"/>
      <x:c r="W170" s="11" t="str"/>
      <x:c r="X170" s="11" t="str"/>
      <x:c r="Y170" s="3" t="str">
        <x:v>Nguồn: backend/src/modules/cms/cms.routes.ts:63. Độ dài JS/Zod dùng UTF-16; fixture ASCII để cô lập boundary. Optional min=0: Min−1 không áp dụng vì không có độ dài âm.</x:v>
      </x:c>
    </x:row>
    <x:row r="171" ht="62" customHeight="1">
      <x:c r="A171" s="3" t="n">
        <x:v>170</x:v>
      </x:c>
      <x:c r="B171" s="3" t="str">
        <x:v>TC_SITE_022</x:v>
      </x:c>
      <x:c r="C171" s="3" t="str">
        <x:v>SITE</x:v>
      </x:c>
      <x:c r="D171" s="3" t="str">
        <x:v>Boundary title</x:v>
      </x:c>
      <x:c r="E171" s="3" t="str">
        <x:v>Boundary title</x:v>
      </x:c>
      <x:c r="F171" s="3" t="str">
        <x:v>Boundary — POST BACKEND /api/admin/site-content: title Max (250)</x:v>
      </x:c>
      <x:c r="G171" s="3" t="str">
        <x:v>POST BACKEND /api/admin/site-content: title Max (250)</x:v>
      </x:c>
      <x:c r="H171" s="3" t="str">
        <x:v>SITE-001</x:v>
      </x:c>
      <x:c r="I171" s="3" t="str">
        <x:v>QTV có quyền tương ứng</x:v>
      </x:c>
      <x:c r="J171" s="3" t="str">
        <x:v>Boundary</x:v>
      </x:c>
      <x:c r="K171" s="3" t="str">
        <x:v>Medium</x:v>
      </x:c>
      <x:c r="L171" s="3" t="str">
        <x:v>Medium</x:v>
      </x:c>
      <x:c r="M171" s="3" t="str">
        <x:v>Môi trường QA cô lập, DB/MinIO sẵn sàng; dữ liệu fixture đã tạo. Đăng nhập tài khoản ACTIVE, mustChangePassword=false.</x:v>
      </x:c>
      <x:c r="N171" s="3" t="str">
        <x:v>"a" lặp 250 lần, không có khoảng trắng. Fixture SITE</x:v>
      </x:c>
      <x:c r="O171" s="3" t="str">
        <x:v>1. Chuẩn bị fixture SITE, các trường khác hợp lệ và ID/slug mới
2. Thay riêng title theo Test Data
3. Gửi POST BACKEND /api/admin/site-content
4. Kiểm tra response và DB</x:v>
      </x:c>
      <x:c r="P171" s="3" t="str">
        <x:v>Qua validation độ dài title; HTTP 200; trường title được lưu đúng 250 ký tự.</x:v>
      </x:c>
      <x:c r="Q171" s="11" t="str"/>
      <x:c r="R171" s="8" t="str">
        <x:v>NOT RUN</x:v>
      </x:c>
      <x:c r="S171" s="11" t="str">
        <x:v>QA/UAT — cần điền URL/build</x:v>
      </x:c>
      <x:c r="T171" s="11" t="str">
        <x:v>Cần điền phiên bản thực</x:v>
      </x:c>
      <x:c r="U171" s="11" t="str"/>
      <x:c r="V171" s="12" t="str"/>
      <x:c r="W171" s="11" t="str"/>
      <x:c r="X171" s="11" t="str"/>
      <x:c r="Y171" s="3" t="str">
        <x:v>Nguồn: backend/src/modules/cms/cms.routes.ts:63. Độ dài JS/Zod dùng UTF-16; fixture ASCII để cô lập boundary. Optional min=0: Min−1 không áp dụng vì không có độ dài âm.</x:v>
      </x:c>
    </x:row>
    <x:row r="172" ht="62" customHeight="1">
      <x:c r="A172" s="3" t="n">
        <x:v>171</x:v>
      </x:c>
      <x:c r="B172" s="3" t="str">
        <x:v>TC_SITE_023</x:v>
      </x:c>
      <x:c r="C172" s="3" t="str">
        <x:v>SITE</x:v>
      </x:c>
      <x:c r="D172" s="3" t="str">
        <x:v>Boundary title</x:v>
      </x:c>
      <x:c r="E172" s="3" t="str">
        <x:v>Boundary title</x:v>
      </x:c>
      <x:c r="F172" s="3" t="str">
        <x:v>Boundary — POST BACKEND /api/admin/site-content: title Max+1 (251)</x:v>
      </x:c>
      <x:c r="G172" s="3" t="str">
        <x:v>POST BACKEND /api/admin/site-content: title Max+1 (251)</x:v>
      </x:c>
      <x:c r="H172" s="3" t="str">
        <x:v>SITE-001</x:v>
      </x:c>
      <x:c r="I172" s="3" t="str">
        <x:v>QTV có quyền tương ứng</x:v>
      </x:c>
      <x:c r="J172" s="3" t="str">
        <x:v>Boundary</x:v>
      </x:c>
      <x:c r="K172" s="3" t="str">
        <x:v>Medium</x:v>
      </x:c>
      <x:c r="L172" s="3" t="str">
        <x:v>Medium</x:v>
      </x:c>
      <x:c r="M172" s="3" t="str">
        <x:v>Môi trường QA cô lập, DB/MinIO sẵn sàng; dữ liệu fixture đã tạo. Đăng nhập tài khoản ACTIVE, mustChangePassword=false.</x:v>
      </x:c>
      <x:c r="N172" s="3" t="str">
        <x:v>"a" lặp 251 lần, không có khoảng trắng. Fixture SITE</x:v>
      </x:c>
      <x:c r="O172" s="3" t="str">
        <x:v>1. Chuẩn bị fixture SITE, các trường khác hợp lệ và ID/slug mới
2. Thay riêng title theo Test Data
3. Gửi POST BACKEND /api/admin/site-content
4. Kiểm tra response và DB</x:v>
      </x:c>
      <x:c r="P172" s="3" t="str">
        <x:v>Từ chối độ dài title=251; HTTP 400 kỳ vọng, không đổi DB. Nếu CMS/Zod.parse trả 500, ghi defect hợp đồng lỗi.</x:v>
      </x:c>
      <x:c r="Q172" s="11" t="str"/>
      <x:c r="R172" s="8" t="str">
        <x:v>NOT RUN</x:v>
      </x:c>
      <x:c r="S172" s="11" t="str">
        <x:v>QA/UAT — cần điền URL/build</x:v>
      </x:c>
      <x:c r="T172" s="11" t="str">
        <x:v>Cần điền phiên bản thực</x:v>
      </x:c>
      <x:c r="U172" s="11" t="str"/>
      <x:c r="V172" s="12" t="str"/>
      <x:c r="W172" s="11" t="str"/>
      <x:c r="X172" s="11" t="str"/>
      <x:c r="Y172" s="3" t="str">
        <x:v>Nguồn: backend/src/modules/cms/cms.routes.ts:63. Độ dài JS/Zod dùng UTF-16; fixture ASCII để cô lập boundary. Optional min=0: Min−1 không áp dụng vì không có độ dài âm.</x:v>
      </x:c>
    </x:row>
    <x:row r="173" ht="62" customHeight="1">
      <x:c r="A173" s="3" t="n">
        <x:v>172</x:v>
      </x:c>
      <x:c r="B173" s="3" t="str">
        <x:v>TC_ANALYTICS_001</x:v>
      </x:c>
      <x:c r="C173" s="3" t="str">
        <x:v>ANALYTICS</x:v>
      </x:c>
      <x:c r="D173" s="3" t="str">
        <x:v>Boundary path</x:v>
      </x:c>
      <x:c r="E173" s="3" t="str">
        <x:v>Boundary path</x:v>
      </x:c>
      <x:c r="F173" s="3" t="str">
        <x:v>Boundary — POST BACKEND /api/public/visits: path Min (0)</x:v>
      </x:c>
      <x:c r="G173" s="3" t="str">
        <x:v>POST BACKEND /api/public/visits: path Min (0)</x:v>
      </x:c>
      <x:c r="H173" s="3" t="str">
        <x:v>DASH-001</x:v>
      </x:c>
      <x:c r="I173" s="3" t="str">
        <x:v>QTV có quyền tương ứng</x:v>
      </x:c>
      <x:c r="J173" s="3" t="str">
        <x:v>Boundary</x:v>
      </x:c>
      <x:c r="K173" s="3" t="str">
        <x:v>Medium</x:v>
      </x:c>
      <x:c r="L173" s="3" t="str">
        <x:v>Medium</x:v>
      </x:c>
      <x:c r="M173" s="3" t="str">
        <x:v>Môi trường QA cô lập, DB/MinIO sẵn sàng; dữ liệu fixture đã tạo. Đăng nhập tài khoản ACTIVE, mustChangePassword=false.</x:v>
      </x:c>
      <x:c r="N173" s="3" t="str">
        <x:v>"a" lặp 0 lần, không có khoảng trắng. Fixture VISIT</x:v>
      </x:c>
      <x:c r="O173" s="3" t="str">
        <x:v>1. Chuẩn bị fixture VISIT, các trường khác hợp lệ và ID/slug mới
2. Thay riêng path theo Test Data
3. Gửi POST BACKEND /api/public/visits
4. Kiểm tra response và DB</x:v>
      </x:c>
      <x:c r="P173" s="3" t="str">
        <x:v>Qua validation độ dài path; HTTP 201; trường path được lưu đúng 0 ký tự.</x:v>
      </x:c>
      <x:c r="Q173" s="11" t="str"/>
      <x:c r="R173" s="8" t="str">
        <x:v>NOT RUN</x:v>
      </x:c>
      <x:c r="S173" s="11" t="str">
        <x:v>QA/UAT — cần điền URL/build</x:v>
      </x:c>
      <x:c r="T173" s="11" t="str">
        <x:v>Cần điền phiên bản thực</x:v>
      </x:c>
      <x:c r="U173" s="11" t="str"/>
      <x:c r="V173" s="12" t="str"/>
      <x:c r="W173" s="11" t="str"/>
      <x:c r="X173" s="11" t="str"/>
      <x:c r="Y173" s="3" t="str">
        <x:v>Nguồn: backend/src/modules/cms/cms.routes.ts:84. Độ dài JS/Zod dùng UTF-16; fixture ASCII để cô lập boundary. Optional min=0: Min−1 không áp dụng vì không có độ dài âm.</x:v>
      </x:c>
    </x:row>
    <x:row r="174" ht="62" customHeight="1">
      <x:c r="A174" s="3" t="n">
        <x:v>173</x:v>
      </x:c>
      <x:c r="B174" s="3" t="str">
        <x:v>TC_ANALYTICS_002</x:v>
      </x:c>
      <x:c r="C174" s="3" t="str">
        <x:v>ANALYTICS</x:v>
      </x:c>
      <x:c r="D174" s="3" t="str">
        <x:v>Boundary path</x:v>
      </x:c>
      <x:c r="E174" s="3" t="str">
        <x:v>Boundary path</x:v>
      </x:c>
      <x:c r="F174" s="3" t="str">
        <x:v>Boundary — POST BACKEND /api/public/visits: path Min+1 (1)</x:v>
      </x:c>
      <x:c r="G174" s="3" t="str">
        <x:v>POST BACKEND /api/public/visits: path Min+1 (1)</x:v>
      </x:c>
      <x:c r="H174" s="3" t="str">
        <x:v>DASH-001</x:v>
      </x:c>
      <x:c r="I174" s="3" t="str">
        <x:v>QTV có quyền tương ứng</x:v>
      </x:c>
      <x:c r="J174" s="3" t="str">
        <x:v>Boundary</x:v>
      </x:c>
      <x:c r="K174" s="3" t="str">
        <x:v>Medium</x:v>
      </x:c>
      <x:c r="L174" s="3" t="str">
        <x:v>Medium</x:v>
      </x:c>
      <x:c r="M174" s="3" t="str">
        <x:v>Môi trường QA cô lập, DB/MinIO sẵn sàng; dữ liệu fixture đã tạo. Đăng nhập tài khoản ACTIVE, mustChangePassword=false.</x:v>
      </x:c>
      <x:c r="N174" s="3" t="str">
        <x:v>"a" lặp 1 lần, không có khoảng trắng. Fixture VISIT</x:v>
      </x:c>
      <x:c r="O174" s="3" t="str">
        <x:v>1. Chuẩn bị fixture VISIT, các trường khác hợp lệ và ID/slug mới
2. Thay riêng path theo Test Data
3. Gửi POST BACKEND /api/public/visits
4. Kiểm tra response và DB</x:v>
      </x:c>
      <x:c r="P174" s="3" t="str">
        <x:v>Qua validation độ dài path; HTTP 201; trường path được lưu đúng 1 ký tự.</x:v>
      </x:c>
      <x:c r="Q174" s="11" t="str"/>
      <x:c r="R174" s="8" t="str">
        <x:v>NOT RUN</x:v>
      </x:c>
      <x:c r="S174" s="11" t="str">
        <x:v>QA/UAT — cần điền URL/build</x:v>
      </x:c>
      <x:c r="T174" s="11" t="str">
        <x:v>Cần điền phiên bản thực</x:v>
      </x:c>
      <x:c r="U174" s="11" t="str"/>
      <x:c r="V174" s="12" t="str"/>
      <x:c r="W174" s="11" t="str"/>
      <x:c r="X174" s="11" t="str"/>
      <x:c r="Y174" s="3" t="str">
        <x:v>Nguồn: backend/src/modules/cms/cms.routes.ts:84. Độ dài JS/Zod dùng UTF-16; fixture ASCII để cô lập boundary. Optional min=0: Min−1 không áp dụng vì không có độ dài âm.</x:v>
      </x:c>
    </x:row>
    <x:row r="175" ht="62" customHeight="1">
      <x:c r="A175" s="3" t="n">
        <x:v>174</x:v>
      </x:c>
      <x:c r="B175" s="3" t="str">
        <x:v>TC_ANALYTICS_003</x:v>
      </x:c>
      <x:c r="C175" s="3" t="str">
        <x:v>ANALYTICS</x:v>
      </x:c>
      <x:c r="D175" s="3" t="str">
        <x:v>Boundary path</x:v>
      </x:c>
      <x:c r="E175" s="3" t="str">
        <x:v>Boundary path</x:v>
      </x:c>
      <x:c r="F175" s="3" t="str">
        <x:v>Boundary — POST BACKEND /api/public/visits: path Max−1 (499)</x:v>
      </x:c>
      <x:c r="G175" s="3" t="str">
        <x:v>POST BACKEND /api/public/visits: path Max−1 (499)</x:v>
      </x:c>
      <x:c r="H175" s="3" t="str">
        <x:v>DASH-001</x:v>
      </x:c>
      <x:c r="I175" s="3" t="str">
        <x:v>QTV có quyền tương ứng</x:v>
      </x:c>
      <x:c r="J175" s="3" t="str">
        <x:v>Boundary</x:v>
      </x:c>
      <x:c r="K175" s="3" t="str">
        <x:v>Medium</x:v>
      </x:c>
      <x:c r="L175" s="3" t="str">
        <x:v>Medium</x:v>
      </x:c>
      <x:c r="M175" s="3" t="str">
        <x:v>Môi trường QA cô lập, DB/MinIO sẵn sàng; dữ liệu fixture đã tạo. Đăng nhập tài khoản ACTIVE, mustChangePassword=false.</x:v>
      </x:c>
      <x:c r="N175" s="3" t="str">
        <x:v>"a" lặp 499 lần, không có khoảng trắng. Fixture VISIT</x:v>
      </x:c>
      <x:c r="O175" s="3" t="str">
        <x:v>1. Chuẩn bị fixture VISIT, các trường khác hợp lệ và ID/slug mới
2. Thay riêng path theo Test Data
3. Gửi POST BACKEND /api/public/visits
4. Kiểm tra response và DB</x:v>
      </x:c>
      <x:c r="P175" s="3" t="str">
        <x:v>Qua validation độ dài path; HTTP 201; trường path được lưu đúng 499 ký tự.</x:v>
      </x:c>
      <x:c r="Q175" s="11" t="str"/>
      <x:c r="R175" s="8" t="str">
        <x:v>NOT RUN</x:v>
      </x:c>
      <x:c r="S175" s="11" t="str">
        <x:v>QA/UAT — cần điền URL/build</x:v>
      </x:c>
      <x:c r="T175" s="11" t="str">
        <x:v>Cần điền phiên bản thực</x:v>
      </x:c>
      <x:c r="U175" s="11" t="str"/>
      <x:c r="V175" s="12" t="str"/>
      <x:c r="W175" s="11" t="str"/>
      <x:c r="X175" s="11" t="str"/>
      <x:c r="Y175" s="3" t="str">
        <x:v>Nguồn: backend/src/modules/cms/cms.routes.ts:84. Độ dài JS/Zod dùng UTF-16; fixture ASCII để cô lập boundary. Optional min=0: Min−1 không áp dụng vì không có độ dài âm.</x:v>
      </x:c>
    </x:row>
    <x:row r="176" ht="62" customHeight="1">
      <x:c r="A176" s="3" t="n">
        <x:v>175</x:v>
      </x:c>
      <x:c r="B176" s="3" t="str">
        <x:v>TC_ANALYTICS_004</x:v>
      </x:c>
      <x:c r="C176" s="3" t="str">
        <x:v>ANALYTICS</x:v>
      </x:c>
      <x:c r="D176" s="3" t="str">
        <x:v>Boundary path</x:v>
      </x:c>
      <x:c r="E176" s="3" t="str">
        <x:v>Boundary path</x:v>
      </x:c>
      <x:c r="F176" s="3" t="str">
        <x:v>Boundary — POST BACKEND /api/public/visits: path Max (500)</x:v>
      </x:c>
      <x:c r="G176" s="3" t="str">
        <x:v>POST BACKEND /api/public/visits: path Max (500)</x:v>
      </x:c>
      <x:c r="H176" s="3" t="str">
        <x:v>DASH-001</x:v>
      </x:c>
      <x:c r="I176" s="3" t="str">
        <x:v>QTV có quyền tương ứng</x:v>
      </x:c>
      <x:c r="J176" s="3" t="str">
        <x:v>Boundary</x:v>
      </x:c>
      <x:c r="K176" s="3" t="str">
        <x:v>Medium</x:v>
      </x:c>
      <x:c r="L176" s="3" t="str">
        <x:v>Medium</x:v>
      </x:c>
      <x:c r="M176" s="3" t="str">
        <x:v>Môi trường QA cô lập, DB/MinIO sẵn sàng; dữ liệu fixture đã tạo. Đăng nhập tài khoản ACTIVE, mustChangePassword=false.</x:v>
      </x:c>
      <x:c r="N176" s="3" t="str">
        <x:v>"a" lặp 500 lần, không có khoảng trắng. Fixture VISIT</x:v>
      </x:c>
      <x:c r="O176" s="3" t="str">
        <x:v>1. Chuẩn bị fixture VISIT, các trường khác hợp lệ và ID/slug mới
2. Thay riêng path theo Test Data
3. Gửi POST BACKEND /api/public/visits
4. Kiểm tra response và DB</x:v>
      </x:c>
      <x:c r="P176" s="3" t="str">
        <x:v>Qua validation độ dài path; HTTP 201; trường path được lưu đúng 500 ký tự.</x:v>
      </x:c>
      <x:c r="Q176" s="11" t="str"/>
      <x:c r="R176" s="8" t="str">
        <x:v>NOT RUN</x:v>
      </x:c>
      <x:c r="S176" s="11" t="str">
        <x:v>QA/UAT — cần điền URL/build</x:v>
      </x:c>
      <x:c r="T176" s="11" t="str">
        <x:v>Cần điền phiên bản thực</x:v>
      </x:c>
      <x:c r="U176" s="11" t="str"/>
      <x:c r="V176" s="12" t="str"/>
      <x:c r="W176" s="11" t="str"/>
      <x:c r="X176" s="11" t="str"/>
      <x:c r="Y176" s="3" t="str">
        <x:v>Nguồn: backend/src/modules/cms/cms.routes.ts:84. Độ dài JS/Zod dùng UTF-16; fixture ASCII để cô lập boundary. Optional min=0: Min−1 không áp dụng vì không có độ dài âm.</x:v>
      </x:c>
    </x:row>
    <x:row r="177" ht="62" customHeight="1">
      <x:c r="A177" s="3" t="n">
        <x:v>176</x:v>
      </x:c>
      <x:c r="B177" s="3" t="str">
        <x:v>TC_ANALYTICS_005</x:v>
      </x:c>
      <x:c r="C177" s="3" t="str">
        <x:v>ANALYTICS</x:v>
      </x:c>
      <x:c r="D177" s="3" t="str">
        <x:v>Boundary path</x:v>
      </x:c>
      <x:c r="E177" s="3" t="str">
        <x:v>Boundary path</x:v>
      </x:c>
      <x:c r="F177" s="3" t="str">
        <x:v>Boundary — POST BACKEND /api/public/visits: path Max+1 (501)</x:v>
      </x:c>
      <x:c r="G177" s="3" t="str">
        <x:v>POST BACKEND /api/public/visits: path Max+1 (501)</x:v>
      </x:c>
      <x:c r="H177" s="3" t="str">
        <x:v>DASH-001</x:v>
      </x:c>
      <x:c r="I177" s="3" t="str">
        <x:v>QTV có quyền tương ứng</x:v>
      </x:c>
      <x:c r="J177" s="3" t="str">
        <x:v>Boundary</x:v>
      </x:c>
      <x:c r="K177" s="3" t="str">
        <x:v>Medium</x:v>
      </x:c>
      <x:c r="L177" s="3" t="str">
        <x:v>Medium</x:v>
      </x:c>
      <x:c r="M177" s="3" t="str">
        <x:v>Môi trường QA cô lập, DB/MinIO sẵn sàng; dữ liệu fixture đã tạo. Đăng nhập tài khoản ACTIVE, mustChangePassword=false.</x:v>
      </x:c>
      <x:c r="N177" s="3" t="str">
        <x:v>"a" lặp 501 lần, không có khoảng trắng. Fixture VISIT</x:v>
      </x:c>
      <x:c r="O177" s="3" t="str">
        <x:v>1. Chuẩn bị fixture VISIT, các trường khác hợp lệ và ID/slug mới
2. Thay riêng path theo Test Data
3. Gửi POST BACKEND /api/public/visits
4. Kiểm tra response và DB</x:v>
      </x:c>
      <x:c r="P177" s="3" t="str">
        <x:v>Từ chối độ dài path=501; HTTP 400 kỳ vọng, không đổi DB. Nếu CMS/Zod.parse trả 500, ghi defect hợp đồng lỗi.</x:v>
      </x:c>
      <x:c r="Q177" s="11" t="str"/>
      <x:c r="R177" s="8" t="str">
        <x:v>NOT RUN</x:v>
      </x:c>
      <x:c r="S177" s="11" t="str">
        <x:v>QA/UAT — cần điền URL/build</x:v>
      </x:c>
      <x:c r="T177" s="11" t="str">
        <x:v>Cần điền phiên bản thực</x:v>
      </x:c>
      <x:c r="U177" s="11" t="str"/>
      <x:c r="V177" s="12" t="str"/>
      <x:c r="W177" s="11" t="str"/>
      <x:c r="X177" s="11" t="str"/>
      <x:c r="Y177" s="3" t="str">
        <x:v>Nguồn: backend/src/modules/cms/cms.routes.ts:84. Độ dài JS/Zod dùng UTF-16; fixture ASCII để cô lập boundary. Optional min=0: Min−1 không áp dụng vì không có độ dài âm.</x:v>
      </x:c>
    </x:row>
    <x:row r="178" ht="62" customHeight="1">
      <x:c r="A178" s="3" t="n">
        <x:v>177</x:v>
      </x:c>
      <x:c r="B178" s="3" t="str">
        <x:v>TC_ANALYTICS_006</x:v>
      </x:c>
      <x:c r="C178" s="3" t="str">
        <x:v>ANALYTICS</x:v>
      </x:c>
      <x:c r="D178" s="3" t="str">
        <x:v>Boundary locale</x:v>
      </x:c>
      <x:c r="E178" s="3" t="str">
        <x:v>Boundary locale</x:v>
      </x:c>
      <x:c r="F178" s="3" t="str">
        <x:v>Boundary — POST BACKEND /api/public/visits: locale Min (0)</x:v>
      </x:c>
      <x:c r="G178" s="3" t="str">
        <x:v>POST BACKEND /api/public/visits: locale Min (0)</x:v>
      </x:c>
      <x:c r="H178" s="3" t="str">
        <x:v>DASH-001</x:v>
      </x:c>
      <x:c r="I178" s="3" t="str">
        <x:v>QTV có quyền tương ứng</x:v>
      </x:c>
      <x:c r="J178" s="3" t="str">
        <x:v>Boundary</x:v>
      </x:c>
      <x:c r="K178" s="3" t="str">
        <x:v>Medium</x:v>
      </x:c>
      <x:c r="L178" s="3" t="str">
        <x:v>Medium</x:v>
      </x:c>
      <x:c r="M178" s="3" t="str">
        <x:v>Môi trường QA cô lập, DB/MinIO sẵn sàng; dữ liệu fixture đã tạo. Đăng nhập tài khoản ACTIVE, mustChangePassword=false.</x:v>
      </x:c>
      <x:c r="N178" s="3" t="str">
        <x:v>"a" lặp 0 lần, không có khoảng trắng. Fixture VISIT</x:v>
      </x:c>
      <x:c r="O178" s="3" t="str">
        <x:v>1. Chuẩn bị fixture VISIT, các trường khác hợp lệ và ID/slug mới
2. Thay riêng locale theo Test Data
3. Gửi POST BACKEND /api/public/visits
4. Kiểm tra response và DB</x:v>
      </x:c>
      <x:c r="P178" s="3" t="str">
        <x:v>Qua validation độ dài locale; HTTP 201; trường locale được lưu đúng 0 ký tự.</x:v>
      </x:c>
      <x:c r="Q178" s="11" t="str"/>
      <x:c r="R178" s="8" t="str">
        <x:v>NOT RUN</x:v>
      </x:c>
      <x:c r="S178" s="11" t="str">
        <x:v>QA/UAT — cần điền URL/build</x:v>
      </x:c>
      <x:c r="T178" s="11" t="str">
        <x:v>Cần điền phiên bản thực</x:v>
      </x:c>
      <x:c r="U178" s="11" t="str"/>
      <x:c r="V178" s="12" t="str"/>
      <x:c r="W178" s="11" t="str"/>
      <x:c r="X178" s="11" t="str"/>
      <x:c r="Y178" s="3" t="str">
        <x:v>Nguồn: backend/src/modules/cms/cms.routes.ts:63. Độ dài JS/Zod dùng UTF-16; fixture ASCII để cô lập boundary. Optional min=0: Min−1 không áp dụng vì không có độ dài âm.</x:v>
      </x:c>
    </x:row>
    <x:row r="179" ht="62" customHeight="1">
      <x:c r="A179" s="3" t="n">
        <x:v>178</x:v>
      </x:c>
      <x:c r="B179" s="3" t="str">
        <x:v>TC_ANALYTICS_007</x:v>
      </x:c>
      <x:c r="C179" s="3" t="str">
        <x:v>ANALYTICS</x:v>
      </x:c>
      <x:c r="D179" s="3" t="str">
        <x:v>Boundary locale</x:v>
      </x:c>
      <x:c r="E179" s="3" t="str">
        <x:v>Boundary locale</x:v>
      </x:c>
      <x:c r="F179" s="3" t="str">
        <x:v>Boundary — POST BACKEND /api/public/visits: locale Min+1 (1)</x:v>
      </x:c>
      <x:c r="G179" s="3" t="str">
        <x:v>POST BACKEND /api/public/visits: locale Min+1 (1)</x:v>
      </x:c>
      <x:c r="H179" s="3" t="str">
        <x:v>DASH-001</x:v>
      </x:c>
      <x:c r="I179" s="3" t="str">
        <x:v>QTV có quyền tương ứng</x:v>
      </x:c>
      <x:c r="J179" s="3" t="str">
        <x:v>Boundary</x:v>
      </x:c>
      <x:c r="K179" s="3" t="str">
        <x:v>Medium</x:v>
      </x:c>
      <x:c r="L179" s="3" t="str">
        <x:v>Medium</x:v>
      </x:c>
      <x:c r="M179" s="3" t="str">
        <x:v>Môi trường QA cô lập, DB/MinIO sẵn sàng; dữ liệu fixture đã tạo. Đăng nhập tài khoản ACTIVE, mustChangePassword=false.</x:v>
      </x:c>
      <x:c r="N179" s="3" t="str">
        <x:v>"a" lặp 1 lần, không có khoảng trắng. Fixture VISIT</x:v>
      </x:c>
      <x:c r="O179" s="3" t="str">
        <x:v>1. Chuẩn bị fixture VISIT, các trường khác hợp lệ và ID/slug mới
2. Thay riêng locale theo Test Data
3. Gửi POST BACKEND /api/public/visits
4. Kiểm tra response và DB</x:v>
      </x:c>
      <x:c r="P179" s="3" t="str">
        <x:v>Qua validation độ dài locale; HTTP 201; trường locale được lưu đúng 1 ký tự.</x:v>
      </x:c>
      <x:c r="Q179" s="11" t="str"/>
      <x:c r="R179" s="8" t="str">
        <x:v>NOT RUN</x:v>
      </x:c>
      <x:c r="S179" s="11" t="str">
        <x:v>QA/UAT — cần điền URL/build</x:v>
      </x:c>
      <x:c r="T179" s="11" t="str">
        <x:v>Cần điền phiên bản thực</x:v>
      </x:c>
      <x:c r="U179" s="11" t="str"/>
      <x:c r="V179" s="12" t="str"/>
      <x:c r="W179" s="11" t="str"/>
      <x:c r="X179" s="11" t="str"/>
      <x:c r="Y179" s="3" t="str">
        <x:v>Nguồn: backend/src/modules/cms/cms.routes.ts:63. Độ dài JS/Zod dùng UTF-16; fixture ASCII để cô lập boundary. Optional min=0: Min−1 không áp dụng vì không có độ dài âm.</x:v>
      </x:c>
    </x:row>
    <x:row r="180" ht="62" customHeight="1">
      <x:c r="A180" s="3" t="n">
        <x:v>179</x:v>
      </x:c>
      <x:c r="B180" s="3" t="str">
        <x:v>TC_ANALYTICS_008</x:v>
      </x:c>
      <x:c r="C180" s="3" t="str">
        <x:v>ANALYTICS</x:v>
      </x:c>
      <x:c r="D180" s="3" t="str">
        <x:v>Boundary locale</x:v>
      </x:c>
      <x:c r="E180" s="3" t="str">
        <x:v>Boundary locale</x:v>
      </x:c>
      <x:c r="F180" s="3" t="str">
        <x:v>Boundary — POST BACKEND /api/public/visits: locale Max−1 (4)</x:v>
      </x:c>
      <x:c r="G180" s="3" t="str">
        <x:v>POST BACKEND /api/public/visits: locale Max−1 (4)</x:v>
      </x:c>
      <x:c r="H180" s="3" t="str">
        <x:v>DASH-001</x:v>
      </x:c>
      <x:c r="I180" s="3" t="str">
        <x:v>QTV có quyền tương ứng</x:v>
      </x:c>
      <x:c r="J180" s="3" t="str">
        <x:v>Boundary</x:v>
      </x:c>
      <x:c r="K180" s="3" t="str">
        <x:v>Medium</x:v>
      </x:c>
      <x:c r="L180" s="3" t="str">
        <x:v>Medium</x:v>
      </x:c>
      <x:c r="M180" s="3" t="str">
        <x:v>Môi trường QA cô lập, DB/MinIO sẵn sàng; dữ liệu fixture đã tạo. Đăng nhập tài khoản ACTIVE, mustChangePassword=false.</x:v>
      </x:c>
      <x:c r="N180" s="3" t="str">
        <x:v>"a" lặp 4 lần, không có khoảng trắng. Fixture VISIT</x:v>
      </x:c>
      <x:c r="O180" s="3" t="str">
        <x:v>1. Chuẩn bị fixture VISIT, các trường khác hợp lệ và ID/slug mới
2. Thay riêng locale theo Test Data
3. Gửi POST BACKEND /api/public/visits
4. Kiểm tra response và DB</x:v>
      </x:c>
      <x:c r="P180" s="3" t="str">
        <x:v>Qua validation độ dài locale; HTTP 201; trường locale được lưu đúng 4 ký tự.</x:v>
      </x:c>
      <x:c r="Q180" s="11" t="str"/>
      <x:c r="R180" s="8" t="str">
        <x:v>NOT RUN</x:v>
      </x:c>
      <x:c r="S180" s="11" t="str">
        <x:v>QA/UAT — cần điền URL/build</x:v>
      </x:c>
      <x:c r="T180" s="11" t="str">
        <x:v>Cần điền phiên bản thực</x:v>
      </x:c>
      <x:c r="U180" s="11" t="str"/>
      <x:c r="V180" s="12" t="str"/>
      <x:c r="W180" s="11" t="str"/>
      <x:c r="X180" s="11" t="str"/>
      <x:c r="Y180" s="3" t="str">
        <x:v>Nguồn: backend/src/modules/cms/cms.routes.ts:63. Độ dài JS/Zod dùng UTF-16; fixture ASCII để cô lập boundary. Optional min=0: Min−1 không áp dụng vì không có độ dài âm.</x:v>
      </x:c>
    </x:row>
    <x:row r="181" ht="62" customHeight="1">
      <x:c r="A181" s="3" t="n">
        <x:v>180</x:v>
      </x:c>
      <x:c r="B181" s="3" t="str">
        <x:v>TC_ANALYTICS_009</x:v>
      </x:c>
      <x:c r="C181" s="3" t="str">
        <x:v>ANALYTICS</x:v>
      </x:c>
      <x:c r="D181" s="3" t="str">
        <x:v>Boundary locale</x:v>
      </x:c>
      <x:c r="E181" s="3" t="str">
        <x:v>Boundary locale</x:v>
      </x:c>
      <x:c r="F181" s="3" t="str">
        <x:v>Boundary — POST BACKEND /api/public/visits: locale Max (5)</x:v>
      </x:c>
      <x:c r="G181" s="3" t="str">
        <x:v>POST BACKEND /api/public/visits: locale Max (5)</x:v>
      </x:c>
      <x:c r="H181" s="3" t="str">
        <x:v>DASH-001</x:v>
      </x:c>
      <x:c r="I181" s="3" t="str">
        <x:v>QTV có quyền tương ứng</x:v>
      </x:c>
      <x:c r="J181" s="3" t="str">
        <x:v>Boundary</x:v>
      </x:c>
      <x:c r="K181" s="3" t="str">
        <x:v>Medium</x:v>
      </x:c>
      <x:c r="L181" s="3" t="str">
        <x:v>Medium</x:v>
      </x:c>
      <x:c r="M181" s="3" t="str">
        <x:v>Môi trường QA cô lập, DB/MinIO sẵn sàng; dữ liệu fixture đã tạo. Đăng nhập tài khoản ACTIVE, mustChangePassword=false.</x:v>
      </x:c>
      <x:c r="N181" s="3" t="str">
        <x:v>"a" lặp 5 lần, không có khoảng trắng. Fixture VISIT</x:v>
      </x:c>
      <x:c r="O181" s="3" t="str">
        <x:v>1. Chuẩn bị fixture VISIT, các trường khác hợp lệ và ID/slug mới
2. Thay riêng locale theo Test Data
3. Gửi POST BACKEND /api/public/visits
4. Kiểm tra response và DB</x:v>
      </x:c>
      <x:c r="P181" s="3" t="str">
        <x:v>Qua validation độ dài locale; HTTP 201; trường locale được lưu đúng 5 ký tự.</x:v>
      </x:c>
      <x:c r="Q181" s="11" t="str"/>
      <x:c r="R181" s="8" t="str">
        <x:v>NOT RUN</x:v>
      </x:c>
      <x:c r="S181" s="11" t="str">
        <x:v>QA/UAT — cần điền URL/build</x:v>
      </x:c>
      <x:c r="T181" s="11" t="str">
        <x:v>Cần điền phiên bản thực</x:v>
      </x:c>
      <x:c r="U181" s="11" t="str"/>
      <x:c r="V181" s="12" t="str"/>
      <x:c r="W181" s="11" t="str"/>
      <x:c r="X181" s="11" t="str"/>
      <x:c r="Y181" s="3" t="str">
        <x:v>Nguồn: backend/src/modules/cms/cms.routes.ts:63. Độ dài JS/Zod dùng UTF-16; fixture ASCII để cô lập boundary. Optional min=0: Min−1 không áp dụng vì không có độ dài âm.</x:v>
      </x:c>
    </x:row>
    <x:row r="182" ht="62" customHeight="1">
      <x:c r="A182" s="3" t="n">
        <x:v>181</x:v>
      </x:c>
      <x:c r="B182" s="3" t="str">
        <x:v>TC_ANALYTICS_010</x:v>
      </x:c>
      <x:c r="C182" s="3" t="str">
        <x:v>ANALYTICS</x:v>
      </x:c>
      <x:c r="D182" s="3" t="str">
        <x:v>Boundary locale</x:v>
      </x:c>
      <x:c r="E182" s="3" t="str">
        <x:v>Boundary locale</x:v>
      </x:c>
      <x:c r="F182" s="3" t="str">
        <x:v>Boundary — POST BACKEND /api/public/visits: locale Max+1 (6)</x:v>
      </x:c>
      <x:c r="G182" s="3" t="str">
        <x:v>POST BACKEND /api/public/visits: locale Max+1 (6)</x:v>
      </x:c>
      <x:c r="H182" s="3" t="str">
        <x:v>DASH-001</x:v>
      </x:c>
      <x:c r="I182" s="3" t="str">
        <x:v>QTV có quyền tương ứng</x:v>
      </x:c>
      <x:c r="J182" s="3" t="str">
        <x:v>Boundary</x:v>
      </x:c>
      <x:c r="K182" s="3" t="str">
        <x:v>Medium</x:v>
      </x:c>
      <x:c r="L182" s="3" t="str">
        <x:v>Medium</x:v>
      </x:c>
      <x:c r="M182" s="3" t="str">
        <x:v>Môi trường QA cô lập, DB/MinIO sẵn sàng; dữ liệu fixture đã tạo. Đăng nhập tài khoản ACTIVE, mustChangePassword=false.</x:v>
      </x:c>
      <x:c r="N182" s="3" t="str">
        <x:v>"a" lặp 6 lần, không có khoảng trắng. Fixture VISIT</x:v>
      </x:c>
      <x:c r="O182" s="3" t="str">
        <x:v>1. Chuẩn bị fixture VISIT, các trường khác hợp lệ và ID/slug mới
2. Thay riêng locale theo Test Data
3. Gửi POST BACKEND /api/public/visits
4. Kiểm tra response và DB</x:v>
      </x:c>
      <x:c r="P182" s="3" t="str">
        <x:v>Từ chối độ dài locale=6; HTTP 400 kỳ vọng, không đổi DB. Nếu CMS/Zod.parse trả 500, ghi defect hợp đồng lỗi.</x:v>
      </x:c>
      <x:c r="Q182" s="11" t="str"/>
      <x:c r="R182" s="8" t="str">
        <x:v>NOT RUN</x:v>
      </x:c>
      <x:c r="S182" s="11" t="str">
        <x:v>QA/UAT — cần điền URL/build</x:v>
      </x:c>
      <x:c r="T182" s="11" t="str">
        <x:v>Cần điền phiên bản thực</x:v>
      </x:c>
      <x:c r="U182" s="11" t="str"/>
      <x:c r="V182" s="12" t="str"/>
      <x:c r="W182" s="11" t="str"/>
      <x:c r="X182" s="11" t="str"/>
      <x:c r="Y182" s="3" t="str">
        <x:v>Nguồn: backend/src/modules/cms/cms.routes.ts:63. Độ dài JS/Zod dùng UTF-16; fixture ASCII để cô lập boundary. Optional min=0: Min−1 không áp dụng vì không có độ dài âm.</x:v>
      </x:c>
    </x:row>
    <x:row r="183" ht="62" customHeight="1">
      <x:c r="A183" s="3" t="n">
        <x:v>182</x:v>
      </x:c>
      <x:c r="B183" s="3" t="str">
        <x:v>TC_ANALYTICS_011</x:v>
      </x:c>
      <x:c r="C183" s="3" t="str">
        <x:v>ANALYTICS</x:v>
      </x:c>
      <x:c r="D183" s="3" t="str">
        <x:v>Boundary visitorId</x:v>
      </x:c>
      <x:c r="E183" s="3" t="str">
        <x:v>Boundary visitorId</x:v>
      </x:c>
      <x:c r="F183" s="3" t="str">
        <x:v>Boundary — POST BACKEND /api/public/visits: visitorId Min (0)</x:v>
      </x:c>
      <x:c r="G183" s="3" t="str">
        <x:v>POST BACKEND /api/public/visits: visitorId Min (0)</x:v>
      </x:c>
      <x:c r="H183" s="3" t="str">
        <x:v>DASH-001</x:v>
      </x:c>
      <x:c r="I183" s="3" t="str">
        <x:v>QTV có quyền tương ứng</x:v>
      </x:c>
      <x:c r="J183" s="3" t="str">
        <x:v>Boundary</x:v>
      </x:c>
      <x:c r="K183" s="3" t="str">
        <x:v>Medium</x:v>
      </x:c>
      <x:c r="L183" s="3" t="str">
        <x:v>Medium</x:v>
      </x:c>
      <x:c r="M183" s="3" t="str">
        <x:v>Môi trường QA cô lập, DB/MinIO sẵn sàng; dữ liệu fixture đã tạo. Đăng nhập tài khoản ACTIVE, mustChangePassword=false.</x:v>
      </x:c>
      <x:c r="N183" s="3" t="str">
        <x:v>"a" lặp 0 lần, không có khoảng trắng. Fixture VISIT</x:v>
      </x:c>
      <x:c r="O183" s="3" t="str">
        <x:v>1. Chuẩn bị fixture VISIT, các trường khác hợp lệ và ID/slug mới
2. Thay riêng visitorId theo Test Data
3. Gửi POST BACKEND /api/public/visits
4. Kiểm tra response và DB</x:v>
      </x:c>
      <x:c r="P183" s="3" t="str">
        <x:v>Qua validation độ dài visitorId; HTTP 201; trường visitorId được lưu đúng 0 ký tự.</x:v>
      </x:c>
      <x:c r="Q183" s="11" t="str"/>
      <x:c r="R183" s="8" t="str">
        <x:v>NOT RUN</x:v>
      </x:c>
      <x:c r="S183" s="11" t="str">
        <x:v>QA/UAT — cần điền URL/build</x:v>
      </x:c>
      <x:c r="T183" s="11" t="str">
        <x:v>Cần điền phiên bản thực</x:v>
      </x:c>
      <x:c r="U183" s="11" t="str"/>
      <x:c r="V183" s="12" t="str"/>
      <x:c r="W183" s="11" t="str"/>
      <x:c r="X183" s="11" t="str"/>
      <x:c r="Y183" s="3" t="str">
        <x:v>Nguồn: backend/src/modules/cms/cms.routes.ts:158. Độ dài JS/Zod dùng UTF-16; fixture ASCII để cô lập boundary. Optional min=0: Min−1 không áp dụng vì không có độ dài âm.</x:v>
      </x:c>
    </x:row>
    <x:row r="184" ht="62" customHeight="1">
      <x:c r="A184" s="3" t="n">
        <x:v>183</x:v>
      </x:c>
      <x:c r="B184" s="3" t="str">
        <x:v>TC_ANALYTICS_012</x:v>
      </x:c>
      <x:c r="C184" s="3" t="str">
        <x:v>ANALYTICS</x:v>
      </x:c>
      <x:c r="D184" s="3" t="str">
        <x:v>Boundary visitorId</x:v>
      </x:c>
      <x:c r="E184" s="3" t="str">
        <x:v>Boundary visitorId</x:v>
      </x:c>
      <x:c r="F184" s="3" t="str">
        <x:v>Boundary — POST BACKEND /api/public/visits: visitorId Min+1 (1)</x:v>
      </x:c>
      <x:c r="G184" s="3" t="str">
        <x:v>POST BACKEND /api/public/visits: visitorId Min+1 (1)</x:v>
      </x:c>
      <x:c r="H184" s="3" t="str">
        <x:v>DASH-001</x:v>
      </x:c>
      <x:c r="I184" s="3" t="str">
        <x:v>QTV có quyền tương ứng</x:v>
      </x:c>
      <x:c r="J184" s="3" t="str">
        <x:v>Boundary</x:v>
      </x:c>
      <x:c r="K184" s="3" t="str">
        <x:v>Medium</x:v>
      </x:c>
      <x:c r="L184" s="3" t="str">
        <x:v>Medium</x:v>
      </x:c>
      <x:c r="M184" s="3" t="str">
        <x:v>Môi trường QA cô lập, DB/MinIO sẵn sàng; dữ liệu fixture đã tạo. Đăng nhập tài khoản ACTIVE, mustChangePassword=false.</x:v>
      </x:c>
      <x:c r="N184" s="3" t="str">
        <x:v>"a" lặp 1 lần, không có khoảng trắng. Fixture VISIT</x:v>
      </x:c>
      <x:c r="O184" s="3" t="str">
        <x:v>1. Chuẩn bị fixture VISIT, các trường khác hợp lệ và ID/slug mới
2. Thay riêng visitorId theo Test Data
3. Gửi POST BACKEND /api/public/visits
4. Kiểm tra response và DB</x:v>
      </x:c>
      <x:c r="P184" s="3" t="str">
        <x:v>Qua validation độ dài visitorId; HTTP 201; trường visitorId được lưu đúng 1 ký tự.</x:v>
      </x:c>
      <x:c r="Q184" s="11" t="str"/>
      <x:c r="R184" s="8" t="str">
        <x:v>NOT RUN</x:v>
      </x:c>
      <x:c r="S184" s="11" t="str">
        <x:v>QA/UAT — cần điền URL/build</x:v>
      </x:c>
      <x:c r="T184" s="11" t="str">
        <x:v>Cần điền phiên bản thực</x:v>
      </x:c>
      <x:c r="U184" s="11" t="str"/>
      <x:c r="V184" s="12" t="str"/>
      <x:c r="W184" s="11" t="str"/>
      <x:c r="X184" s="11" t="str"/>
      <x:c r="Y184" s="3" t="str">
        <x:v>Nguồn: backend/src/modules/cms/cms.routes.ts:158. Độ dài JS/Zod dùng UTF-16; fixture ASCII để cô lập boundary. Optional min=0: Min−1 không áp dụng vì không có độ dài âm.</x:v>
      </x:c>
    </x:row>
    <x:row r="185" ht="62" customHeight="1">
      <x:c r="A185" s="3" t="n">
        <x:v>184</x:v>
      </x:c>
      <x:c r="B185" s="3" t="str">
        <x:v>TC_ANALYTICS_013</x:v>
      </x:c>
      <x:c r="C185" s="3" t="str">
        <x:v>ANALYTICS</x:v>
      </x:c>
      <x:c r="D185" s="3" t="str">
        <x:v>Boundary visitorId</x:v>
      </x:c>
      <x:c r="E185" s="3" t="str">
        <x:v>Boundary visitorId</x:v>
      </x:c>
      <x:c r="F185" s="3" t="str">
        <x:v>Boundary — POST BACKEND /api/public/visits: visitorId Max−1 (99)</x:v>
      </x:c>
      <x:c r="G185" s="3" t="str">
        <x:v>POST BACKEND /api/public/visits: visitorId Max−1 (99)</x:v>
      </x:c>
      <x:c r="H185" s="3" t="str">
        <x:v>DASH-001</x:v>
      </x:c>
      <x:c r="I185" s="3" t="str">
        <x:v>QTV có quyền tương ứng</x:v>
      </x:c>
      <x:c r="J185" s="3" t="str">
        <x:v>Boundary</x:v>
      </x:c>
      <x:c r="K185" s="3" t="str">
        <x:v>Medium</x:v>
      </x:c>
      <x:c r="L185" s="3" t="str">
        <x:v>Medium</x:v>
      </x:c>
      <x:c r="M185" s="3" t="str">
        <x:v>Môi trường QA cô lập, DB/MinIO sẵn sàng; dữ liệu fixture đã tạo. Đăng nhập tài khoản ACTIVE, mustChangePassword=false.</x:v>
      </x:c>
      <x:c r="N185" s="3" t="str">
        <x:v>"a" lặp 99 lần, không có khoảng trắng. Fixture VISIT</x:v>
      </x:c>
      <x:c r="O185" s="3" t="str">
        <x:v>1. Chuẩn bị fixture VISIT, các trường khác hợp lệ và ID/slug mới
2. Thay riêng visitorId theo Test Data
3. Gửi POST BACKEND /api/public/visits
4. Kiểm tra response và DB</x:v>
      </x:c>
      <x:c r="P185" s="3" t="str">
        <x:v>Qua validation độ dài visitorId; HTTP 201; trường visitorId được lưu đúng 99 ký tự.</x:v>
      </x:c>
      <x:c r="Q185" s="11" t="str"/>
      <x:c r="R185" s="8" t="str">
        <x:v>NOT RUN</x:v>
      </x:c>
      <x:c r="S185" s="11" t="str">
        <x:v>QA/UAT — cần điền URL/build</x:v>
      </x:c>
      <x:c r="T185" s="11" t="str">
        <x:v>Cần điền phiên bản thực</x:v>
      </x:c>
      <x:c r="U185" s="11" t="str"/>
      <x:c r="V185" s="12" t="str"/>
      <x:c r="W185" s="11" t="str"/>
      <x:c r="X185" s="11" t="str"/>
      <x:c r="Y185" s="3" t="str">
        <x:v>Nguồn: backend/src/modules/cms/cms.routes.ts:158. Độ dài JS/Zod dùng UTF-16; fixture ASCII để cô lập boundary. Optional min=0: Min−1 không áp dụng vì không có độ dài âm.</x:v>
      </x:c>
    </x:row>
    <x:row r="186" ht="62" customHeight="1">
      <x:c r="A186" s="3" t="n">
        <x:v>185</x:v>
      </x:c>
      <x:c r="B186" s="3" t="str">
        <x:v>TC_ANALYTICS_014</x:v>
      </x:c>
      <x:c r="C186" s="3" t="str">
        <x:v>ANALYTICS</x:v>
      </x:c>
      <x:c r="D186" s="3" t="str">
        <x:v>Boundary visitorId</x:v>
      </x:c>
      <x:c r="E186" s="3" t="str">
        <x:v>Boundary visitorId</x:v>
      </x:c>
      <x:c r="F186" s="3" t="str">
        <x:v>Boundary — POST BACKEND /api/public/visits: visitorId Max (100)</x:v>
      </x:c>
      <x:c r="G186" s="3" t="str">
        <x:v>POST BACKEND /api/public/visits: visitorId Max (100)</x:v>
      </x:c>
      <x:c r="H186" s="3" t="str">
        <x:v>DASH-001</x:v>
      </x:c>
      <x:c r="I186" s="3" t="str">
        <x:v>QTV có quyền tương ứng</x:v>
      </x:c>
      <x:c r="J186" s="3" t="str">
        <x:v>Boundary</x:v>
      </x:c>
      <x:c r="K186" s="3" t="str">
        <x:v>Medium</x:v>
      </x:c>
      <x:c r="L186" s="3" t="str">
        <x:v>Medium</x:v>
      </x:c>
      <x:c r="M186" s="3" t="str">
        <x:v>Môi trường QA cô lập, DB/MinIO sẵn sàng; dữ liệu fixture đã tạo. Đăng nhập tài khoản ACTIVE, mustChangePassword=false.</x:v>
      </x:c>
      <x:c r="N186" s="3" t="str">
        <x:v>"a" lặp 100 lần, không có khoảng trắng. Fixture VISIT</x:v>
      </x:c>
      <x:c r="O186" s="3" t="str">
        <x:v>1. Chuẩn bị fixture VISIT, các trường khác hợp lệ và ID/slug mới
2. Thay riêng visitorId theo Test Data
3. Gửi POST BACKEND /api/public/visits
4. Kiểm tra response và DB</x:v>
      </x:c>
      <x:c r="P186" s="3" t="str">
        <x:v>Qua validation độ dài visitorId; HTTP 201; trường visitorId được lưu đúng 100 ký tự.</x:v>
      </x:c>
      <x:c r="Q186" s="11" t="str"/>
      <x:c r="R186" s="8" t="str">
        <x:v>NOT RUN</x:v>
      </x:c>
      <x:c r="S186" s="11" t="str">
        <x:v>QA/UAT — cần điền URL/build</x:v>
      </x:c>
      <x:c r="T186" s="11" t="str">
        <x:v>Cần điền phiên bản thực</x:v>
      </x:c>
      <x:c r="U186" s="11" t="str"/>
      <x:c r="V186" s="12" t="str"/>
      <x:c r="W186" s="11" t="str"/>
      <x:c r="X186" s="11" t="str"/>
      <x:c r="Y186" s="3" t="str">
        <x:v>Nguồn: backend/src/modules/cms/cms.routes.ts:158. Độ dài JS/Zod dùng UTF-16; fixture ASCII để cô lập boundary. Optional min=0: Min−1 không áp dụng vì không có độ dài âm.</x:v>
      </x:c>
    </x:row>
    <x:row r="187" ht="62" customHeight="1">
      <x:c r="A187" s="3" t="n">
        <x:v>186</x:v>
      </x:c>
      <x:c r="B187" s="3" t="str">
        <x:v>TC_ANALYTICS_015</x:v>
      </x:c>
      <x:c r="C187" s="3" t="str">
        <x:v>ANALYTICS</x:v>
      </x:c>
      <x:c r="D187" s="3" t="str">
        <x:v>Boundary visitorId</x:v>
      </x:c>
      <x:c r="E187" s="3" t="str">
        <x:v>Boundary visitorId</x:v>
      </x:c>
      <x:c r="F187" s="3" t="str">
        <x:v>Boundary — POST BACKEND /api/public/visits: visitorId Max+1 (101)</x:v>
      </x:c>
      <x:c r="G187" s="3" t="str">
        <x:v>POST BACKEND /api/public/visits: visitorId Max+1 (101)</x:v>
      </x:c>
      <x:c r="H187" s="3" t="str">
        <x:v>DASH-001</x:v>
      </x:c>
      <x:c r="I187" s="3" t="str">
        <x:v>QTV có quyền tương ứng</x:v>
      </x:c>
      <x:c r="J187" s="3" t="str">
        <x:v>Boundary</x:v>
      </x:c>
      <x:c r="K187" s="3" t="str">
        <x:v>Medium</x:v>
      </x:c>
      <x:c r="L187" s="3" t="str">
        <x:v>Medium</x:v>
      </x:c>
      <x:c r="M187" s="3" t="str">
        <x:v>Môi trường QA cô lập, DB/MinIO sẵn sàng; dữ liệu fixture đã tạo. Đăng nhập tài khoản ACTIVE, mustChangePassword=false.</x:v>
      </x:c>
      <x:c r="N187" s="3" t="str">
        <x:v>"a" lặp 101 lần, không có khoảng trắng. Fixture VISIT</x:v>
      </x:c>
      <x:c r="O187" s="3" t="str">
        <x:v>1. Chuẩn bị fixture VISIT, các trường khác hợp lệ và ID/slug mới
2. Thay riêng visitorId theo Test Data
3. Gửi POST BACKEND /api/public/visits
4. Kiểm tra response và DB</x:v>
      </x:c>
      <x:c r="P187" s="3" t="str">
        <x:v>Từ chối độ dài visitorId=101; HTTP 400 kỳ vọng, không đổi DB. Nếu CMS/Zod.parse trả 500, ghi defect hợp đồng lỗi.</x:v>
      </x:c>
      <x:c r="Q187" s="11" t="str"/>
      <x:c r="R187" s="8" t="str">
        <x:v>NOT RUN</x:v>
      </x:c>
      <x:c r="S187" s="11" t="str">
        <x:v>QA/UAT — cần điền URL/build</x:v>
      </x:c>
      <x:c r="T187" s="11" t="str">
        <x:v>Cần điền phiên bản thực</x:v>
      </x:c>
      <x:c r="U187" s="11" t="str"/>
      <x:c r="V187" s="12" t="str"/>
      <x:c r="W187" s="11" t="str"/>
      <x:c r="X187" s="11" t="str"/>
      <x:c r="Y187" s="3" t="str">
        <x:v>Nguồn: backend/src/modules/cms/cms.routes.ts:158. Độ dài JS/Zod dùng UTF-16; fixture ASCII để cô lập boundary. Optional min=0: Min−1 không áp dụng vì không có độ dài âm.</x:v>
      </x:c>
    </x:row>
    <x:row r="188" ht="49" customHeight="1">
      <x:c r="A188" s="3" t="n">
        <x:v>187</x:v>
      </x:c>
      <x:c r="B188" s="3" t="str">
        <x:v>TC_NEWS_055</x:v>
      </x:c>
      <x:c r="C188" s="3" t="str">
        <x:v>NEWS</x:v>
      </x:c>
      <x:c r="D188" s="3" t="str">
        <x:v>HTML text boundary</x:v>
      </x:c>
      <x:c r="E188" s="3" t="str">
        <x:v>HTML text boundary</x:v>
      </x:c>
      <x:c r="F188" s="3" t="str">
        <x:v>Boundary — content text 19 ký tự</x:v>
      </x:c>
      <x:c r="G188" s="3" t="str">
        <x:v>content text 19 ký tự</x:v>
      </x:c>
      <x:c r="H188" s="3" t="str">
        <x:v>NEWS-002</x:v>
      </x:c>
      <x:c r="I188" s="3" t="str">
        <x:v>QTV có quyền tương ứng</x:v>
      </x:c>
      <x:c r="J188" s="3" t="str">
        <x:v>Boundary</x:v>
      </x:c>
      <x:c r="K188" s="3" t="str">
        <x:v>Medium</x:v>
      </x:c>
      <x:c r="L188" s="3" t="str">
        <x:v>Medium</x:v>
      </x:c>
      <x:c r="M188" s="3" t="str">
        <x:v>Môi trường QA cô lập, DB/MinIO sẵn sàng; dữ liệu fixture đã tạo. Đăng nhập tài khoản ACTIVE, mustChangePassword=false.</x:v>
      </x:c>
      <x:c r="N188" s="3" t="str">
        <x:v>19 ký tự text; không tính tag HTML</x:v>
      </x:c>
      <x:c r="O188" s="3" t="str">
        <x:v>1. Chuẩn bị NEWS
2. Đặt content=&lt;p&gt;aaaaaaaaaaaaaaaaaaa&lt;/p&gt;
3. POST /api/admin/news</x:v>
      </x:c>
      <x:c r="P188" s="3" t="str">
        <x:v>Từ chối vì text sau sanitize dưới 20 ký tự; không tạo bài.</x:v>
      </x:c>
      <x:c r="Q188" s="11" t="str"/>
      <x:c r="R188" s="8" t="str">
        <x:v>NOT RUN</x:v>
      </x:c>
      <x:c r="S188" s="11" t="str">
        <x:v>QA/UAT — cần điền URL/build</x:v>
      </x:c>
      <x:c r="T188" s="11" t="str">
        <x:v>Cần điền phiên bản thực</x:v>
      </x:c>
      <x:c r="U188" s="11" t="str"/>
      <x:c r="V188" s="12" t="str"/>
      <x:c r="W188" s="11" t="str"/>
      <x:c r="X188" s="11" t="str"/>
      <x:c r="Y188" s="3" t="str">
        <x:v>Nguồn: backend/src/modules/cms/cms.routes.ts. </x:v>
      </x:c>
    </x:row>
    <x:row r="189" ht="49" customHeight="1">
      <x:c r="A189" s="3" t="n">
        <x:v>188</x:v>
      </x:c>
      <x:c r="B189" s="3" t="str">
        <x:v>TC_NEWS_056</x:v>
      </x:c>
      <x:c r="C189" s="3" t="str">
        <x:v>NEWS</x:v>
      </x:c>
      <x:c r="D189" s="3" t="str">
        <x:v>HTML text boundary</x:v>
      </x:c>
      <x:c r="E189" s="3" t="str">
        <x:v>HTML text boundary</x:v>
      </x:c>
      <x:c r="F189" s="3" t="str">
        <x:v>Boundary — content text 20 ký tự</x:v>
      </x:c>
      <x:c r="G189" s="3" t="str">
        <x:v>content text 20 ký tự</x:v>
      </x:c>
      <x:c r="H189" s="3" t="str">
        <x:v>NEWS-002</x:v>
      </x:c>
      <x:c r="I189" s="3" t="str">
        <x:v>QTV có quyền tương ứng</x:v>
      </x:c>
      <x:c r="J189" s="3" t="str">
        <x:v>Boundary</x:v>
      </x:c>
      <x:c r="K189" s="3" t="str">
        <x:v>Medium</x:v>
      </x:c>
      <x:c r="L189" s="3" t="str">
        <x:v>Medium</x:v>
      </x:c>
      <x:c r="M189" s="3" t="str">
        <x:v>Môi trường QA cô lập, DB/MinIO sẵn sàng; dữ liệu fixture đã tạo. Đăng nhập tài khoản ACTIVE, mustChangePassword=false.</x:v>
      </x:c>
      <x:c r="N189" s="3" t="str">
        <x:v>20 ký tự text; không tính tag HTML</x:v>
      </x:c>
      <x:c r="O189" s="3" t="str">
        <x:v>1. Chuẩn bị NEWS
2. Đặt content=&lt;p&gt;aaaaaaaaaaaaaaaaaaaa&lt;/p&gt;
3. POST /api/admin/news</x:v>
      </x:c>
      <x:c r="P189" s="3" t="str">
        <x:v>HTTP 201; nội dung giữ được.</x:v>
      </x:c>
      <x:c r="Q189" s="11" t="str"/>
      <x:c r="R189" s="8" t="str">
        <x:v>NOT RUN</x:v>
      </x:c>
      <x:c r="S189" s="11" t="str">
        <x:v>QA/UAT — cần điền URL/build</x:v>
      </x:c>
      <x:c r="T189" s="11" t="str">
        <x:v>Cần điền phiên bản thực</x:v>
      </x:c>
      <x:c r="U189" s="11" t="str"/>
      <x:c r="V189" s="12" t="str"/>
      <x:c r="W189" s="11" t="str"/>
      <x:c r="X189" s="11" t="str"/>
      <x:c r="Y189" s="3" t="str">
        <x:v>Nguồn: backend/src/modules/cms/cms.routes.ts. </x:v>
      </x:c>
    </x:row>
    <x:row r="190" ht="49" customHeight="1">
      <x:c r="A190" s="3" t="n">
        <x:v>189</x:v>
      </x:c>
      <x:c r="B190" s="3" t="str">
        <x:v>TC_NEWS_057</x:v>
      </x:c>
      <x:c r="C190" s="3" t="str">
        <x:v>NEWS</x:v>
      </x:c>
      <x:c r="D190" s="3" t="str">
        <x:v>HTML text boundary</x:v>
      </x:c>
      <x:c r="E190" s="3" t="str">
        <x:v>HTML text boundary</x:v>
      </x:c>
      <x:c r="F190" s="3" t="str">
        <x:v>Boundary — content text 21 ký tự</x:v>
      </x:c>
      <x:c r="G190" s="3" t="str">
        <x:v>content text 21 ký tự</x:v>
      </x:c>
      <x:c r="H190" s="3" t="str">
        <x:v>NEWS-002</x:v>
      </x:c>
      <x:c r="I190" s="3" t="str">
        <x:v>QTV có quyền tương ứng</x:v>
      </x:c>
      <x:c r="J190" s="3" t="str">
        <x:v>Boundary</x:v>
      </x:c>
      <x:c r="K190" s="3" t="str">
        <x:v>Medium</x:v>
      </x:c>
      <x:c r="L190" s="3" t="str">
        <x:v>Medium</x:v>
      </x:c>
      <x:c r="M190" s="3" t="str">
        <x:v>Môi trường QA cô lập, DB/MinIO sẵn sàng; dữ liệu fixture đã tạo. Đăng nhập tài khoản ACTIVE, mustChangePassword=false.</x:v>
      </x:c>
      <x:c r="N190" s="3" t="str">
        <x:v>21 ký tự text; không tính tag HTML</x:v>
      </x:c>
      <x:c r="O190" s="3" t="str">
        <x:v>1. Chuẩn bị NEWS
2. Đặt content=&lt;p&gt;aaaaaaaaaaaaaaaaaaaaa&lt;/p&gt;
3. POST /api/admin/news</x:v>
      </x:c>
      <x:c r="P190" s="3" t="str">
        <x:v>HTTP 201; nội dung giữ được.</x:v>
      </x:c>
      <x:c r="Q190" s="11" t="str"/>
      <x:c r="R190" s="8" t="str">
        <x:v>NOT RUN</x:v>
      </x:c>
      <x:c r="S190" s="11" t="str">
        <x:v>QA/UAT — cần điền URL/build</x:v>
      </x:c>
      <x:c r="T190" s="11" t="str">
        <x:v>Cần điền phiên bản thực</x:v>
      </x:c>
      <x:c r="U190" s="11" t="str"/>
      <x:c r="V190" s="12" t="str"/>
      <x:c r="W190" s="11" t="str"/>
      <x:c r="X190" s="11" t="str"/>
      <x:c r="Y190" s="3" t="str">
        <x:v>Nguồn: backend/src/modules/cms/cms.routes.ts. </x:v>
      </x:c>
    </x:row>
    <x:row r="191" ht="49" customHeight="1">
      <x:c r="A191" s="3" t="n">
        <x:v>190</x:v>
      </x:c>
      <x:c r="B191" s="3" t="str">
        <x:v>TC_NEWS_058</x:v>
      </x:c>
      <x:c r="C191" s="3" t="str">
        <x:v>NEWS</x:v>
      </x:c>
      <x:c r="D191" s="3" t="str">
        <x:v>API phân trang</x:v>
      </x:c>
      <x:c r="E191" s="3" t="str">
        <x:v>API phân trang</x:v>
      </x:c>
      <x:c r="F191" s="3" t="str">
        <x:v>Boundary — /api/public/news limit=0</x:v>
      </x:c>
      <x:c r="G191" s="3" t="str">
        <x:v>/api/public/news limit=0</x:v>
      </x:c>
      <x:c r="H191" s="3" t="str">
        <x:v>PUB-003</x:v>
      </x:c>
      <x:c r="I191" s="3" t="str">
        <x:v>QTV có quyền tương ứng</x:v>
      </x:c>
      <x:c r="J191" s="3" t="str">
        <x:v>Boundary</x:v>
      </x:c>
      <x:c r="K191" s="3" t="str">
        <x:v>Medium</x:v>
      </x:c>
      <x:c r="L191" s="3" t="str">
        <x:v>Medium</x:v>
      </x:c>
      <x:c r="M191" s="3" t="str">
        <x:v>Môi trường QA cô lập, DB/MinIO sẵn sàng; dữ liệu fixture đã tạo. Đăng nhập tài khoản ACTIVE, mustChangePassword=false.</x:v>
      </x:c>
      <x:c r="N191" s="3" t="str">
        <x:v>limit=0; các tham số khác mặc định</x:v>
      </x:c>
      <x:c r="O191" s="3" t="str">
        <x:v>1. Seed 205 bản ghi phù hợp
2. GET /api/public/news?limit=0
3. So pagination và IDs</x:v>
      </x:c>
      <x:c r="P191" s="3" t="str">
        <x:v>Không chạy query phân trang sai; trả lỗi validation, kỳ vọng HTTP 400; ghi defect nếu 500.</x:v>
      </x:c>
      <x:c r="Q191" s="11" t="str"/>
      <x:c r="R191" s="8" t="str">
        <x:v>NOT RUN</x:v>
      </x:c>
      <x:c r="S191" s="11" t="str">
        <x:v>QA/UAT — cần điền URL/build</x:v>
      </x:c>
      <x:c r="T191" s="11" t="str">
        <x:v>Cần điền phiên bản thực</x:v>
      </x:c>
      <x:c r="U191" s="11" t="str"/>
      <x:c r="V191" s="12" t="str"/>
      <x:c r="W191" s="11" t="str"/>
      <x:c r="X191" s="11" t="str"/>
      <x:c r="Y191" s="3" t="str">
        <x:v>Nguồn: backend/src/modules/cms/cms.routes.ts. </x:v>
      </x:c>
    </x:row>
    <x:row r="192" ht="49" customHeight="1">
      <x:c r="A192" s="3" t="n">
        <x:v>191</x:v>
      </x:c>
      <x:c r="B192" s="3" t="str">
        <x:v>TC_NEWS_059</x:v>
      </x:c>
      <x:c r="C192" s="3" t="str">
        <x:v>NEWS</x:v>
      </x:c>
      <x:c r="D192" s="3" t="str">
        <x:v>API phân trang</x:v>
      </x:c>
      <x:c r="E192" s="3" t="str">
        <x:v>API phân trang</x:v>
      </x:c>
      <x:c r="F192" s="3" t="str">
        <x:v>Boundary — /api/public/news limit=1</x:v>
      </x:c>
      <x:c r="G192" s="3" t="str">
        <x:v>/api/public/news limit=1</x:v>
      </x:c>
      <x:c r="H192" s="3" t="str">
        <x:v>PUB-003</x:v>
      </x:c>
      <x:c r="I192" s="3" t="str">
        <x:v>QTV có quyền tương ứng</x:v>
      </x:c>
      <x:c r="J192" s="3" t="str">
        <x:v>Boundary</x:v>
      </x:c>
      <x:c r="K192" s="3" t="str">
        <x:v>Medium</x:v>
      </x:c>
      <x:c r="L192" s="3" t="str">
        <x:v>Medium</x:v>
      </x:c>
      <x:c r="M192" s="3" t="str">
        <x:v>Môi trường QA cô lập, DB/MinIO sẵn sàng; dữ liệu fixture đã tạo. Đăng nhập tài khoản ACTIVE, mustChangePassword=false.</x:v>
      </x:c>
      <x:c r="N192" s="3" t="str">
        <x:v>limit=1; các tham số khác mặc định</x:v>
      </x:c>
      <x:c r="O192" s="3" t="str">
        <x:v>1. Seed 205 bản ghi phù hợp
2. GET /api/public/news?limit=1
3. So pagination và IDs</x:v>
      </x:c>
      <x:c r="P192" s="3" t="str">
        <x:v>HTTP 200; pagination phản ánh tham số; số dòng ≤ limit; skip=(page−1)×limit; totalPages=ceil(total/limit).</x:v>
      </x:c>
      <x:c r="Q192" s="11" t="str"/>
      <x:c r="R192" s="8" t="str">
        <x:v>NOT RUN</x:v>
      </x:c>
      <x:c r="S192" s="11" t="str">
        <x:v>QA/UAT — cần điền URL/build</x:v>
      </x:c>
      <x:c r="T192" s="11" t="str">
        <x:v>Cần điền phiên bản thực</x:v>
      </x:c>
      <x:c r="U192" s="11" t="str"/>
      <x:c r="V192" s="12" t="str"/>
      <x:c r="W192" s="11" t="str"/>
      <x:c r="X192" s="11" t="str"/>
      <x:c r="Y192" s="3" t="str">
        <x:v>Nguồn: backend/src/modules/cms/cms.routes.ts. </x:v>
      </x:c>
    </x:row>
    <x:row r="193" ht="49" customHeight="1">
      <x:c r="A193" s="3" t="n">
        <x:v>192</x:v>
      </x:c>
      <x:c r="B193" s="3" t="str">
        <x:v>TC_NEWS_060</x:v>
      </x:c>
      <x:c r="C193" s="3" t="str">
        <x:v>NEWS</x:v>
      </x:c>
      <x:c r="D193" s="3" t="str">
        <x:v>API phân trang</x:v>
      </x:c>
      <x:c r="E193" s="3" t="str">
        <x:v>API phân trang</x:v>
      </x:c>
      <x:c r="F193" s="3" t="str">
        <x:v>Boundary — /api/public/news limit=2</x:v>
      </x:c>
      <x:c r="G193" s="3" t="str">
        <x:v>/api/public/news limit=2</x:v>
      </x:c>
      <x:c r="H193" s="3" t="str">
        <x:v>PUB-003</x:v>
      </x:c>
      <x:c r="I193" s="3" t="str">
        <x:v>QTV có quyền tương ứng</x:v>
      </x:c>
      <x:c r="J193" s="3" t="str">
        <x:v>Boundary</x:v>
      </x:c>
      <x:c r="K193" s="3" t="str">
        <x:v>Medium</x:v>
      </x:c>
      <x:c r="L193" s="3" t="str">
        <x:v>Medium</x:v>
      </x:c>
      <x:c r="M193" s="3" t="str">
        <x:v>Môi trường QA cô lập, DB/MinIO sẵn sàng; dữ liệu fixture đã tạo. Đăng nhập tài khoản ACTIVE, mustChangePassword=false.</x:v>
      </x:c>
      <x:c r="N193" s="3" t="str">
        <x:v>limit=2; các tham số khác mặc định</x:v>
      </x:c>
      <x:c r="O193" s="3" t="str">
        <x:v>1. Seed 205 bản ghi phù hợp
2. GET /api/public/news?limit=2
3. So pagination và IDs</x:v>
      </x:c>
      <x:c r="P193" s="3" t="str">
        <x:v>HTTP 200; pagination phản ánh tham số; số dòng ≤ limit; skip=(page−1)×limit; totalPages=ceil(total/limit).</x:v>
      </x:c>
      <x:c r="Q193" s="11" t="str"/>
      <x:c r="R193" s="8" t="str">
        <x:v>NOT RUN</x:v>
      </x:c>
      <x:c r="S193" s="11" t="str">
        <x:v>QA/UAT — cần điền URL/build</x:v>
      </x:c>
      <x:c r="T193" s="11" t="str">
        <x:v>Cần điền phiên bản thực</x:v>
      </x:c>
      <x:c r="U193" s="11" t="str"/>
      <x:c r="V193" s="12" t="str"/>
      <x:c r="W193" s="11" t="str"/>
      <x:c r="X193" s="11" t="str"/>
      <x:c r="Y193" s="3" t="str">
        <x:v>Nguồn: backend/src/modules/cms/cms.routes.ts. </x:v>
      </x:c>
    </x:row>
    <x:row r="194" ht="49" customHeight="1">
      <x:c r="A194" s="3" t="n">
        <x:v>193</x:v>
      </x:c>
      <x:c r="B194" s="3" t="str">
        <x:v>TC_NEWS_061</x:v>
      </x:c>
      <x:c r="C194" s="3" t="str">
        <x:v>NEWS</x:v>
      </x:c>
      <x:c r="D194" s="3" t="str">
        <x:v>API phân trang</x:v>
      </x:c>
      <x:c r="E194" s="3" t="str">
        <x:v>API phân trang</x:v>
      </x:c>
      <x:c r="F194" s="3" t="str">
        <x:v>Boundary — /api/public/news limit=99</x:v>
      </x:c>
      <x:c r="G194" s="3" t="str">
        <x:v>/api/public/news limit=99</x:v>
      </x:c>
      <x:c r="H194" s="3" t="str">
        <x:v>PUB-003</x:v>
      </x:c>
      <x:c r="I194" s="3" t="str">
        <x:v>QTV có quyền tương ứng</x:v>
      </x:c>
      <x:c r="J194" s="3" t="str">
        <x:v>Boundary</x:v>
      </x:c>
      <x:c r="K194" s="3" t="str">
        <x:v>Medium</x:v>
      </x:c>
      <x:c r="L194" s="3" t="str">
        <x:v>Medium</x:v>
      </x:c>
      <x:c r="M194" s="3" t="str">
        <x:v>Môi trường QA cô lập, DB/MinIO sẵn sàng; dữ liệu fixture đã tạo. Đăng nhập tài khoản ACTIVE, mustChangePassword=false.</x:v>
      </x:c>
      <x:c r="N194" s="3" t="str">
        <x:v>limit=99; các tham số khác mặc định</x:v>
      </x:c>
      <x:c r="O194" s="3" t="str">
        <x:v>1. Seed 205 bản ghi phù hợp
2. GET /api/public/news?limit=99
3. So pagination và IDs</x:v>
      </x:c>
      <x:c r="P194" s="3" t="str">
        <x:v>HTTP 200; pagination phản ánh tham số; số dòng ≤ limit; skip=(page−1)×limit; totalPages=ceil(total/limit).</x:v>
      </x:c>
      <x:c r="Q194" s="11" t="str"/>
      <x:c r="R194" s="8" t="str">
        <x:v>NOT RUN</x:v>
      </x:c>
      <x:c r="S194" s="11" t="str">
        <x:v>QA/UAT — cần điền URL/build</x:v>
      </x:c>
      <x:c r="T194" s="11" t="str">
        <x:v>Cần điền phiên bản thực</x:v>
      </x:c>
      <x:c r="U194" s="11" t="str"/>
      <x:c r="V194" s="12" t="str"/>
      <x:c r="W194" s="11" t="str"/>
      <x:c r="X194" s="11" t="str"/>
      <x:c r="Y194" s="3" t="str">
        <x:v>Nguồn: backend/src/modules/cms/cms.routes.ts. </x:v>
      </x:c>
    </x:row>
    <x:row r="195" ht="49" customHeight="1">
      <x:c r="A195" s="3" t="n">
        <x:v>194</x:v>
      </x:c>
      <x:c r="B195" s="3" t="str">
        <x:v>TC_NEWS_062</x:v>
      </x:c>
      <x:c r="C195" s="3" t="str">
        <x:v>NEWS</x:v>
      </x:c>
      <x:c r="D195" s="3" t="str">
        <x:v>API phân trang</x:v>
      </x:c>
      <x:c r="E195" s="3" t="str">
        <x:v>API phân trang</x:v>
      </x:c>
      <x:c r="F195" s="3" t="str">
        <x:v>Boundary — /api/public/news limit=100</x:v>
      </x:c>
      <x:c r="G195" s="3" t="str">
        <x:v>/api/public/news limit=100</x:v>
      </x:c>
      <x:c r="H195" s="3" t="str">
        <x:v>PUB-003</x:v>
      </x:c>
      <x:c r="I195" s="3" t="str">
        <x:v>QTV có quyền tương ứng</x:v>
      </x:c>
      <x:c r="J195" s="3" t="str">
        <x:v>Boundary</x:v>
      </x:c>
      <x:c r="K195" s="3" t="str">
        <x:v>Medium</x:v>
      </x:c>
      <x:c r="L195" s="3" t="str">
        <x:v>Medium</x:v>
      </x:c>
      <x:c r="M195" s="3" t="str">
        <x:v>Môi trường QA cô lập, DB/MinIO sẵn sàng; dữ liệu fixture đã tạo. Đăng nhập tài khoản ACTIVE, mustChangePassword=false.</x:v>
      </x:c>
      <x:c r="N195" s="3" t="str">
        <x:v>limit=100; các tham số khác mặc định</x:v>
      </x:c>
      <x:c r="O195" s="3" t="str">
        <x:v>1. Seed 205 bản ghi phù hợp
2. GET /api/public/news?limit=100
3. So pagination và IDs</x:v>
      </x:c>
      <x:c r="P195" s="3" t="str">
        <x:v>HTTP 200; pagination phản ánh tham số; số dòng ≤ limit; skip=(page−1)×limit; totalPages=ceil(total/limit).</x:v>
      </x:c>
      <x:c r="Q195" s="11" t="str"/>
      <x:c r="R195" s="8" t="str">
        <x:v>NOT RUN</x:v>
      </x:c>
      <x:c r="S195" s="11" t="str">
        <x:v>QA/UAT — cần điền URL/build</x:v>
      </x:c>
      <x:c r="T195" s="11" t="str">
        <x:v>Cần điền phiên bản thực</x:v>
      </x:c>
      <x:c r="U195" s="11" t="str"/>
      <x:c r="V195" s="12" t="str"/>
      <x:c r="W195" s="11" t="str"/>
      <x:c r="X195" s="11" t="str"/>
      <x:c r="Y195" s="3" t="str">
        <x:v>Nguồn: backend/src/modules/cms/cms.routes.ts. </x:v>
      </x:c>
    </x:row>
    <x:row r="196" ht="49" customHeight="1">
      <x:c r="A196" s="3" t="n">
        <x:v>195</x:v>
      </x:c>
      <x:c r="B196" s="3" t="str">
        <x:v>TC_NEWS_063</x:v>
      </x:c>
      <x:c r="C196" s="3" t="str">
        <x:v>NEWS</x:v>
      </x:c>
      <x:c r="D196" s="3" t="str">
        <x:v>API phân trang</x:v>
      </x:c>
      <x:c r="E196" s="3" t="str">
        <x:v>API phân trang</x:v>
      </x:c>
      <x:c r="F196" s="3" t="str">
        <x:v>Boundary — /api/public/news limit=101</x:v>
      </x:c>
      <x:c r="G196" s="3" t="str">
        <x:v>/api/public/news limit=101</x:v>
      </x:c>
      <x:c r="H196" s="3" t="str">
        <x:v>PUB-003</x:v>
      </x:c>
      <x:c r="I196" s="3" t="str">
        <x:v>QTV có quyền tương ứng</x:v>
      </x:c>
      <x:c r="J196" s="3" t="str">
        <x:v>Boundary</x:v>
      </x:c>
      <x:c r="K196" s="3" t="str">
        <x:v>Medium</x:v>
      </x:c>
      <x:c r="L196" s="3" t="str">
        <x:v>Medium</x:v>
      </x:c>
      <x:c r="M196" s="3" t="str">
        <x:v>Môi trường QA cô lập, DB/MinIO sẵn sàng; dữ liệu fixture đã tạo. Đăng nhập tài khoản ACTIVE, mustChangePassword=false.</x:v>
      </x:c>
      <x:c r="N196" s="3" t="str">
        <x:v>limit=101; các tham số khác mặc định</x:v>
      </x:c>
      <x:c r="O196" s="3" t="str">
        <x:v>1. Seed 205 bản ghi phù hợp
2. GET /api/public/news?limit=101
3. So pagination và IDs</x:v>
      </x:c>
      <x:c r="P196" s="3" t="str">
        <x:v>Không chạy query phân trang sai; trả lỗi validation, kỳ vọng HTTP 400; ghi defect nếu 500.</x:v>
      </x:c>
      <x:c r="Q196" s="11" t="str"/>
      <x:c r="R196" s="8" t="str">
        <x:v>NOT RUN</x:v>
      </x:c>
      <x:c r="S196" s="11" t="str">
        <x:v>QA/UAT — cần điền URL/build</x:v>
      </x:c>
      <x:c r="T196" s="11" t="str">
        <x:v>Cần điền phiên bản thực</x:v>
      </x:c>
      <x:c r="U196" s="11" t="str"/>
      <x:c r="V196" s="12" t="str"/>
      <x:c r="W196" s="11" t="str"/>
      <x:c r="X196" s="11" t="str"/>
      <x:c r="Y196" s="3" t="str">
        <x:v>Nguồn: backend/src/modules/cms/cms.routes.ts. </x:v>
      </x:c>
    </x:row>
    <x:row r="197" ht="49" customHeight="1">
      <x:c r="A197" s="3" t="n">
        <x:v>196</x:v>
      </x:c>
      <x:c r="B197" s="3" t="str">
        <x:v>TC_NEWS_064</x:v>
      </x:c>
      <x:c r="C197" s="3" t="str">
        <x:v>NEWS</x:v>
      </x:c>
      <x:c r="D197" s="3" t="str">
        <x:v>API phân trang</x:v>
      </x:c>
      <x:c r="E197" s="3" t="str">
        <x:v>API phân trang</x:v>
      </x:c>
      <x:c r="F197" s="3" t="str">
        <x:v>Boundary — /api/public/news page=0</x:v>
      </x:c>
      <x:c r="G197" s="3" t="str">
        <x:v>/api/public/news page=0</x:v>
      </x:c>
      <x:c r="H197" s="3" t="str">
        <x:v>PUB-003</x:v>
      </x:c>
      <x:c r="I197" s="3" t="str">
        <x:v>QTV có quyền tương ứng</x:v>
      </x:c>
      <x:c r="J197" s="3" t="str">
        <x:v>Boundary</x:v>
      </x:c>
      <x:c r="K197" s="3" t="str">
        <x:v>Medium</x:v>
      </x:c>
      <x:c r="L197" s="3" t="str">
        <x:v>Medium</x:v>
      </x:c>
      <x:c r="M197" s="3" t="str">
        <x:v>Môi trường QA cô lập, DB/MinIO sẵn sàng; dữ liệu fixture đã tạo. Đăng nhập tài khoản ACTIVE, mustChangePassword=false.</x:v>
      </x:c>
      <x:c r="N197" s="3" t="str">
        <x:v>page=0; các tham số khác mặc định</x:v>
      </x:c>
      <x:c r="O197" s="3" t="str">
        <x:v>1. Seed 205 bản ghi phù hợp
2. GET /api/public/news?page=0
3. So pagination và IDs</x:v>
      </x:c>
      <x:c r="P197" s="3" t="str">
        <x:v>Không chạy query phân trang sai; trả lỗi validation, kỳ vọng HTTP 400; ghi defect nếu 500.</x:v>
      </x:c>
      <x:c r="Q197" s="11" t="str"/>
      <x:c r="R197" s="8" t="str">
        <x:v>NOT RUN</x:v>
      </x:c>
      <x:c r="S197" s="11" t="str">
        <x:v>QA/UAT — cần điền URL/build</x:v>
      </x:c>
      <x:c r="T197" s="11" t="str">
        <x:v>Cần điền phiên bản thực</x:v>
      </x:c>
      <x:c r="U197" s="11" t="str"/>
      <x:c r="V197" s="12" t="str"/>
      <x:c r="W197" s="11" t="str"/>
      <x:c r="X197" s="11" t="str"/>
      <x:c r="Y197" s="3" t="str">
        <x:v>Nguồn: backend/src/modules/cms/cms.routes.ts. </x:v>
      </x:c>
    </x:row>
    <x:row r="198" ht="49" customHeight="1">
      <x:c r="A198" s="3" t="n">
        <x:v>197</x:v>
      </x:c>
      <x:c r="B198" s="3" t="str">
        <x:v>TC_NEWS_065</x:v>
      </x:c>
      <x:c r="C198" s="3" t="str">
        <x:v>NEWS</x:v>
      </x:c>
      <x:c r="D198" s="3" t="str">
        <x:v>API phân trang</x:v>
      </x:c>
      <x:c r="E198" s="3" t="str">
        <x:v>API phân trang</x:v>
      </x:c>
      <x:c r="F198" s="3" t="str">
        <x:v>Boundary — /api/public/news page=1</x:v>
      </x:c>
      <x:c r="G198" s="3" t="str">
        <x:v>/api/public/news page=1</x:v>
      </x:c>
      <x:c r="H198" s="3" t="str">
        <x:v>PUB-003</x:v>
      </x:c>
      <x:c r="I198" s="3" t="str">
        <x:v>QTV có quyền tương ứng</x:v>
      </x:c>
      <x:c r="J198" s="3" t="str">
        <x:v>Boundary</x:v>
      </x:c>
      <x:c r="K198" s="3" t="str">
        <x:v>Medium</x:v>
      </x:c>
      <x:c r="L198" s="3" t="str">
        <x:v>Medium</x:v>
      </x:c>
      <x:c r="M198" s="3" t="str">
        <x:v>Môi trường QA cô lập, DB/MinIO sẵn sàng; dữ liệu fixture đã tạo. Đăng nhập tài khoản ACTIVE, mustChangePassword=false.</x:v>
      </x:c>
      <x:c r="N198" s="3" t="str">
        <x:v>page=1; các tham số khác mặc định</x:v>
      </x:c>
      <x:c r="O198" s="3" t="str">
        <x:v>1. Seed 205 bản ghi phù hợp
2. GET /api/public/news?page=1
3. So pagination và IDs</x:v>
      </x:c>
      <x:c r="P198" s="3" t="str">
        <x:v>HTTP 200; pagination phản ánh tham số; số dòng ≤ limit; skip=(page−1)×limit; totalPages=ceil(total/limit).</x:v>
      </x:c>
      <x:c r="Q198" s="11" t="str"/>
      <x:c r="R198" s="8" t="str">
        <x:v>NOT RUN</x:v>
      </x:c>
      <x:c r="S198" s="11" t="str">
        <x:v>QA/UAT — cần điền URL/build</x:v>
      </x:c>
      <x:c r="T198" s="11" t="str">
        <x:v>Cần điền phiên bản thực</x:v>
      </x:c>
      <x:c r="U198" s="11" t="str"/>
      <x:c r="V198" s="12" t="str"/>
      <x:c r="W198" s="11" t="str"/>
      <x:c r="X198" s="11" t="str"/>
      <x:c r="Y198" s="3" t="str">
        <x:v>Nguồn: backend/src/modules/cms/cms.routes.ts. </x:v>
      </x:c>
    </x:row>
    <x:row r="199" ht="49" customHeight="1">
      <x:c r="A199" s="3" t="n">
        <x:v>198</x:v>
      </x:c>
      <x:c r="B199" s="3" t="str">
        <x:v>TC_NEWS_066</x:v>
      </x:c>
      <x:c r="C199" s="3" t="str">
        <x:v>NEWS</x:v>
      </x:c>
      <x:c r="D199" s="3" t="str">
        <x:v>API phân trang</x:v>
      </x:c>
      <x:c r="E199" s="3" t="str">
        <x:v>API phân trang</x:v>
      </x:c>
      <x:c r="F199" s="3" t="str">
        <x:v>Boundary — /api/public/news page=2</x:v>
      </x:c>
      <x:c r="G199" s="3" t="str">
        <x:v>/api/public/news page=2</x:v>
      </x:c>
      <x:c r="H199" s="3" t="str">
        <x:v>PUB-003</x:v>
      </x:c>
      <x:c r="I199" s="3" t="str">
        <x:v>QTV có quyền tương ứng</x:v>
      </x:c>
      <x:c r="J199" s="3" t="str">
        <x:v>Boundary</x:v>
      </x:c>
      <x:c r="K199" s="3" t="str">
        <x:v>Medium</x:v>
      </x:c>
      <x:c r="L199" s="3" t="str">
        <x:v>Medium</x:v>
      </x:c>
      <x:c r="M199" s="3" t="str">
        <x:v>Môi trường QA cô lập, DB/MinIO sẵn sàng; dữ liệu fixture đã tạo. Đăng nhập tài khoản ACTIVE, mustChangePassword=false.</x:v>
      </x:c>
      <x:c r="N199" s="3" t="str">
        <x:v>page=2; các tham số khác mặc định</x:v>
      </x:c>
      <x:c r="O199" s="3" t="str">
        <x:v>1. Seed 205 bản ghi phù hợp
2. GET /api/public/news?page=2
3. So pagination và IDs</x:v>
      </x:c>
      <x:c r="P199" s="3" t="str">
        <x:v>HTTP 200; pagination phản ánh tham số; số dòng ≤ limit; skip=(page−1)×limit; totalPages=ceil(total/limit).</x:v>
      </x:c>
      <x:c r="Q199" s="11" t="str"/>
      <x:c r="R199" s="8" t="str">
        <x:v>NOT RUN</x:v>
      </x:c>
      <x:c r="S199" s="11" t="str">
        <x:v>QA/UAT — cần điền URL/build</x:v>
      </x:c>
      <x:c r="T199" s="11" t="str">
        <x:v>Cần điền phiên bản thực</x:v>
      </x:c>
      <x:c r="U199" s="11" t="str"/>
      <x:c r="V199" s="12" t="str"/>
      <x:c r="W199" s="11" t="str"/>
      <x:c r="X199" s="11" t="str"/>
      <x:c r="Y199" s="3" t="str">
        <x:v>Nguồn: backend/src/modules/cms/cms.routes.ts. </x:v>
      </x:c>
    </x:row>
    <x:row r="200" ht="49" customHeight="1">
      <x:c r="A200" s="3" t="n">
        <x:v>199</x:v>
      </x:c>
      <x:c r="B200" s="3" t="str">
        <x:v>TC_NEWS_067</x:v>
      </x:c>
      <x:c r="C200" s="3" t="str">
        <x:v>NEWS</x:v>
      </x:c>
      <x:c r="D200" s="3" t="str">
        <x:v>API phân trang</x:v>
      </x:c>
      <x:c r="E200" s="3" t="str">
        <x:v>API phân trang</x:v>
      </x:c>
      <x:c r="F200" s="3" t="str">
        <x:v>Boundary — /api/public/news page=-1</x:v>
      </x:c>
      <x:c r="G200" s="3" t="str">
        <x:v>/api/public/news page=-1</x:v>
      </x:c>
      <x:c r="H200" s="3" t="str">
        <x:v>PUB-003</x:v>
      </x:c>
      <x:c r="I200" s="3" t="str">
        <x:v>QTV có quyền tương ứng</x:v>
      </x:c>
      <x:c r="J200" s="3" t="str">
        <x:v>Boundary</x:v>
      </x:c>
      <x:c r="K200" s="3" t="str">
        <x:v>Medium</x:v>
      </x:c>
      <x:c r="L200" s="3" t="str">
        <x:v>Medium</x:v>
      </x:c>
      <x:c r="M200" s="3" t="str">
        <x:v>Môi trường QA cô lập, DB/MinIO sẵn sàng; dữ liệu fixture đã tạo. Đăng nhập tài khoản ACTIVE, mustChangePassword=false.</x:v>
      </x:c>
      <x:c r="N200" s="3" t="str">
        <x:v>page=-1; các tham số khác mặc định</x:v>
      </x:c>
      <x:c r="O200" s="3" t="str">
        <x:v>1. Seed 205 bản ghi phù hợp
2. GET /api/public/news?page=-1
3. So pagination và IDs</x:v>
      </x:c>
      <x:c r="P200" s="3" t="str">
        <x:v>Không chạy query phân trang sai; trả lỗi validation, kỳ vọng HTTP 400; ghi defect nếu 500.</x:v>
      </x:c>
      <x:c r="Q200" s="11" t="str"/>
      <x:c r="R200" s="8" t="str">
        <x:v>NOT RUN</x:v>
      </x:c>
      <x:c r="S200" s="11" t="str">
        <x:v>QA/UAT — cần điền URL/build</x:v>
      </x:c>
      <x:c r="T200" s="11" t="str">
        <x:v>Cần điền phiên bản thực</x:v>
      </x:c>
      <x:c r="U200" s="11" t="str"/>
      <x:c r="V200" s="12" t="str"/>
      <x:c r="W200" s="11" t="str"/>
      <x:c r="X200" s="11" t="str"/>
      <x:c r="Y200" s="3" t="str">
        <x:v>Nguồn: backend/src/modules/cms/cms.routes.ts. </x:v>
      </x:c>
    </x:row>
    <x:row r="201" ht="49" customHeight="1">
      <x:c r="A201" s="3" t="n">
        <x:v>200</x:v>
      </x:c>
      <x:c r="B201" s="3" t="str">
        <x:v>TC_NEWS_068</x:v>
      </x:c>
      <x:c r="C201" s="3" t="str">
        <x:v>NEWS</x:v>
      </x:c>
      <x:c r="D201" s="3" t="str">
        <x:v>API phân trang</x:v>
      </x:c>
      <x:c r="E201" s="3" t="str">
        <x:v>API phân trang</x:v>
      </x:c>
      <x:c r="F201" s="3" t="str">
        <x:v>Boundary — /api/public/news page=1.5</x:v>
      </x:c>
      <x:c r="G201" s="3" t="str">
        <x:v>/api/public/news page=1.5</x:v>
      </x:c>
      <x:c r="H201" s="3" t="str">
        <x:v>PUB-003</x:v>
      </x:c>
      <x:c r="I201" s="3" t="str">
        <x:v>QTV có quyền tương ứng</x:v>
      </x:c>
      <x:c r="J201" s="3" t="str">
        <x:v>Boundary</x:v>
      </x:c>
      <x:c r="K201" s="3" t="str">
        <x:v>Medium</x:v>
      </x:c>
      <x:c r="L201" s="3" t="str">
        <x:v>Medium</x:v>
      </x:c>
      <x:c r="M201" s="3" t="str">
        <x:v>Môi trường QA cô lập, DB/MinIO sẵn sàng; dữ liệu fixture đã tạo. Đăng nhập tài khoản ACTIVE, mustChangePassword=false.</x:v>
      </x:c>
      <x:c r="N201" s="3" t="str">
        <x:v>page=1.5; các tham số khác mặc định</x:v>
      </x:c>
      <x:c r="O201" s="3" t="str">
        <x:v>1. Seed 205 bản ghi phù hợp
2. GET /api/public/news?page=1.5
3. So pagination và IDs</x:v>
      </x:c>
      <x:c r="P201" s="3" t="str">
        <x:v>Không chạy query phân trang sai; trả lỗi validation, kỳ vọng HTTP 400; ghi defect nếu 500.</x:v>
      </x:c>
      <x:c r="Q201" s="11" t="str"/>
      <x:c r="R201" s="8" t="str">
        <x:v>NOT RUN</x:v>
      </x:c>
      <x:c r="S201" s="11" t="str">
        <x:v>QA/UAT — cần điền URL/build</x:v>
      </x:c>
      <x:c r="T201" s="11" t="str">
        <x:v>Cần điền phiên bản thực</x:v>
      </x:c>
      <x:c r="U201" s="11" t="str"/>
      <x:c r="V201" s="12" t="str"/>
      <x:c r="W201" s="11" t="str"/>
      <x:c r="X201" s="11" t="str"/>
      <x:c r="Y201" s="3" t="str">
        <x:v>Nguồn: backend/src/modules/cms/cms.routes.ts. </x:v>
      </x:c>
    </x:row>
    <x:row r="202" ht="49" customHeight="1">
      <x:c r="A202" s="3" t="n">
        <x:v>201</x:v>
      </x:c>
      <x:c r="B202" s="3" t="str">
        <x:v>TC_RESOURCE_066</x:v>
      </x:c>
      <x:c r="C202" s="3" t="str">
        <x:v>RESOURCE</x:v>
      </x:c>
      <x:c r="D202" s="3" t="str">
        <x:v>API phân trang</x:v>
      </x:c>
      <x:c r="E202" s="3" t="str">
        <x:v>API phân trang</x:v>
      </x:c>
      <x:c r="F202" s="3" t="str">
        <x:v>Boundary — /api/admin/resources limit=0</x:v>
      </x:c>
      <x:c r="G202" s="3" t="str">
        <x:v>/api/admin/resources limit=0</x:v>
      </x:c>
      <x:c r="H202" s="3" t="str">
        <x:v>RES-001</x:v>
      </x:c>
      <x:c r="I202" s="3" t="str">
        <x:v>QTV có quyền tương ứng</x:v>
      </x:c>
      <x:c r="J202" s="3" t="str">
        <x:v>Boundary</x:v>
      </x:c>
      <x:c r="K202" s="3" t="str">
        <x:v>Medium</x:v>
      </x:c>
      <x:c r="L202" s="3" t="str">
        <x:v>Medium</x:v>
      </x:c>
      <x:c r="M202" s="3" t="str">
        <x:v>Môi trường QA cô lập, DB/MinIO sẵn sàng; dữ liệu fixture đã tạo. Đăng nhập tài khoản ACTIVE, mustChangePassword=false.</x:v>
      </x:c>
      <x:c r="N202" s="3" t="str">
        <x:v>limit=0; các tham số khác mặc định</x:v>
      </x:c>
      <x:c r="O202" s="3" t="str">
        <x:v>1. Seed 205 bản ghi phù hợp
2. GET /api/admin/resources?limit=0
3. So pagination và IDs</x:v>
      </x:c>
      <x:c r="P202" s="3" t="str">
        <x:v>Không chạy query phân trang sai; trả lỗi validation, kỳ vọng HTTP 400; ghi defect nếu 500.</x:v>
      </x:c>
      <x:c r="Q202" s="11" t="str"/>
      <x:c r="R202" s="8" t="str">
        <x:v>NOT RUN</x:v>
      </x:c>
      <x:c r="S202" s="11" t="str">
        <x:v>QA/UAT — cần điền URL/build</x:v>
      </x:c>
      <x:c r="T202" s="11" t="str">
        <x:v>Cần điền phiên bản thực</x:v>
      </x:c>
      <x:c r="U202" s="11" t="str"/>
      <x:c r="V202" s="12" t="str"/>
      <x:c r="W202" s="11" t="str"/>
      <x:c r="X202" s="11" t="str"/>
      <x:c r="Y202" s="3" t="str">
        <x:v>Nguồn: backend/src/modules/cms/cms.routes.ts. </x:v>
      </x:c>
    </x:row>
    <x:row r="203" ht="49" customHeight="1">
      <x:c r="A203" s="3" t="n">
        <x:v>202</x:v>
      </x:c>
      <x:c r="B203" s="3" t="str">
        <x:v>TC_RESOURCE_067</x:v>
      </x:c>
      <x:c r="C203" s="3" t="str">
        <x:v>RESOURCE</x:v>
      </x:c>
      <x:c r="D203" s="3" t="str">
        <x:v>API phân trang</x:v>
      </x:c>
      <x:c r="E203" s="3" t="str">
        <x:v>API phân trang</x:v>
      </x:c>
      <x:c r="F203" s="3" t="str">
        <x:v>Boundary — /api/admin/resources limit=1</x:v>
      </x:c>
      <x:c r="G203" s="3" t="str">
        <x:v>/api/admin/resources limit=1</x:v>
      </x:c>
      <x:c r="H203" s="3" t="str">
        <x:v>RES-001</x:v>
      </x:c>
      <x:c r="I203" s="3" t="str">
        <x:v>QTV có quyền tương ứng</x:v>
      </x:c>
      <x:c r="J203" s="3" t="str">
        <x:v>Boundary</x:v>
      </x:c>
      <x:c r="K203" s="3" t="str">
        <x:v>Medium</x:v>
      </x:c>
      <x:c r="L203" s="3" t="str">
        <x:v>Medium</x:v>
      </x:c>
      <x:c r="M203" s="3" t="str">
        <x:v>Môi trường QA cô lập, DB/MinIO sẵn sàng; dữ liệu fixture đã tạo. Đăng nhập tài khoản ACTIVE, mustChangePassword=false.</x:v>
      </x:c>
      <x:c r="N203" s="3" t="str">
        <x:v>limit=1; các tham số khác mặc định</x:v>
      </x:c>
      <x:c r="O203" s="3" t="str">
        <x:v>1. Seed 205 bản ghi phù hợp
2. GET /api/admin/resources?limit=1
3. So pagination và IDs</x:v>
      </x:c>
      <x:c r="P203" s="3" t="str">
        <x:v>HTTP 200; pagination phản ánh tham số; số dòng ≤ limit; skip=(page−1)×limit; totalPages=ceil(total/limit).</x:v>
      </x:c>
      <x:c r="Q203" s="11" t="str"/>
      <x:c r="R203" s="8" t="str">
        <x:v>NOT RUN</x:v>
      </x:c>
      <x:c r="S203" s="11" t="str">
        <x:v>QA/UAT — cần điền URL/build</x:v>
      </x:c>
      <x:c r="T203" s="11" t="str">
        <x:v>Cần điền phiên bản thực</x:v>
      </x:c>
      <x:c r="U203" s="11" t="str"/>
      <x:c r="V203" s="12" t="str"/>
      <x:c r="W203" s="11" t="str"/>
      <x:c r="X203" s="11" t="str"/>
      <x:c r="Y203" s="3" t="str">
        <x:v>Nguồn: backend/src/modules/cms/cms.routes.ts. </x:v>
      </x:c>
    </x:row>
    <x:row r="204" ht="49" customHeight="1">
      <x:c r="A204" s="3" t="n">
        <x:v>203</x:v>
      </x:c>
      <x:c r="B204" s="3" t="str">
        <x:v>TC_RESOURCE_068</x:v>
      </x:c>
      <x:c r="C204" s="3" t="str">
        <x:v>RESOURCE</x:v>
      </x:c>
      <x:c r="D204" s="3" t="str">
        <x:v>API phân trang</x:v>
      </x:c>
      <x:c r="E204" s="3" t="str">
        <x:v>API phân trang</x:v>
      </x:c>
      <x:c r="F204" s="3" t="str">
        <x:v>Boundary — /api/admin/resources limit=2</x:v>
      </x:c>
      <x:c r="G204" s="3" t="str">
        <x:v>/api/admin/resources limit=2</x:v>
      </x:c>
      <x:c r="H204" s="3" t="str">
        <x:v>RES-001</x:v>
      </x:c>
      <x:c r="I204" s="3" t="str">
        <x:v>QTV có quyền tương ứng</x:v>
      </x:c>
      <x:c r="J204" s="3" t="str">
        <x:v>Boundary</x:v>
      </x:c>
      <x:c r="K204" s="3" t="str">
        <x:v>Medium</x:v>
      </x:c>
      <x:c r="L204" s="3" t="str">
        <x:v>Medium</x:v>
      </x:c>
      <x:c r="M204" s="3" t="str">
        <x:v>Môi trường QA cô lập, DB/MinIO sẵn sàng; dữ liệu fixture đã tạo. Đăng nhập tài khoản ACTIVE, mustChangePassword=false.</x:v>
      </x:c>
      <x:c r="N204" s="3" t="str">
        <x:v>limit=2; các tham số khác mặc định</x:v>
      </x:c>
      <x:c r="O204" s="3" t="str">
        <x:v>1. Seed 205 bản ghi phù hợp
2. GET /api/admin/resources?limit=2
3. So pagination và IDs</x:v>
      </x:c>
      <x:c r="P204" s="3" t="str">
        <x:v>HTTP 200; pagination phản ánh tham số; số dòng ≤ limit; skip=(page−1)×limit; totalPages=ceil(total/limit).</x:v>
      </x:c>
      <x:c r="Q204" s="11" t="str"/>
      <x:c r="R204" s="8" t="str">
        <x:v>NOT RUN</x:v>
      </x:c>
      <x:c r="S204" s="11" t="str">
        <x:v>QA/UAT — cần điền URL/build</x:v>
      </x:c>
      <x:c r="T204" s="11" t="str">
        <x:v>Cần điền phiên bản thực</x:v>
      </x:c>
      <x:c r="U204" s="11" t="str"/>
      <x:c r="V204" s="12" t="str"/>
      <x:c r="W204" s="11" t="str"/>
      <x:c r="X204" s="11" t="str"/>
      <x:c r="Y204" s="3" t="str">
        <x:v>Nguồn: backend/src/modules/cms/cms.routes.ts. </x:v>
      </x:c>
    </x:row>
    <x:row r="205" ht="49" customHeight="1">
      <x:c r="A205" s="3" t="n">
        <x:v>204</x:v>
      </x:c>
      <x:c r="B205" s="3" t="str">
        <x:v>TC_RESOURCE_069</x:v>
      </x:c>
      <x:c r="C205" s="3" t="str">
        <x:v>RESOURCE</x:v>
      </x:c>
      <x:c r="D205" s="3" t="str">
        <x:v>API phân trang</x:v>
      </x:c>
      <x:c r="E205" s="3" t="str">
        <x:v>API phân trang</x:v>
      </x:c>
      <x:c r="F205" s="3" t="str">
        <x:v>Boundary — /api/admin/resources limit=99</x:v>
      </x:c>
      <x:c r="G205" s="3" t="str">
        <x:v>/api/admin/resources limit=99</x:v>
      </x:c>
      <x:c r="H205" s="3" t="str">
        <x:v>RES-001</x:v>
      </x:c>
      <x:c r="I205" s="3" t="str">
        <x:v>QTV có quyền tương ứng</x:v>
      </x:c>
      <x:c r="J205" s="3" t="str">
        <x:v>Boundary</x:v>
      </x:c>
      <x:c r="K205" s="3" t="str">
        <x:v>Medium</x:v>
      </x:c>
      <x:c r="L205" s="3" t="str">
        <x:v>Medium</x:v>
      </x:c>
      <x:c r="M205" s="3" t="str">
        <x:v>Môi trường QA cô lập, DB/MinIO sẵn sàng; dữ liệu fixture đã tạo. Đăng nhập tài khoản ACTIVE, mustChangePassword=false.</x:v>
      </x:c>
      <x:c r="N205" s="3" t="str">
        <x:v>limit=99; các tham số khác mặc định</x:v>
      </x:c>
      <x:c r="O205" s="3" t="str">
        <x:v>1. Seed 205 bản ghi phù hợp
2. GET /api/admin/resources?limit=99
3. So pagination và IDs</x:v>
      </x:c>
      <x:c r="P205" s="3" t="str">
        <x:v>HTTP 200; pagination phản ánh tham số; số dòng ≤ limit; skip=(page−1)×limit; totalPages=ceil(total/limit).</x:v>
      </x:c>
      <x:c r="Q205" s="11" t="str"/>
      <x:c r="R205" s="8" t="str">
        <x:v>NOT RUN</x:v>
      </x:c>
      <x:c r="S205" s="11" t="str">
        <x:v>QA/UAT — cần điền URL/build</x:v>
      </x:c>
      <x:c r="T205" s="11" t="str">
        <x:v>Cần điền phiên bản thực</x:v>
      </x:c>
      <x:c r="U205" s="11" t="str"/>
      <x:c r="V205" s="12" t="str"/>
      <x:c r="W205" s="11" t="str"/>
      <x:c r="X205" s="11" t="str"/>
      <x:c r="Y205" s="3" t="str">
        <x:v>Nguồn: backend/src/modules/cms/cms.routes.ts. </x:v>
      </x:c>
    </x:row>
    <x:row r="206" ht="49" customHeight="1">
      <x:c r="A206" s="3" t="n">
        <x:v>205</x:v>
      </x:c>
      <x:c r="B206" s="3" t="str">
        <x:v>TC_RESOURCE_070</x:v>
      </x:c>
      <x:c r="C206" s="3" t="str">
        <x:v>RESOURCE</x:v>
      </x:c>
      <x:c r="D206" s="3" t="str">
        <x:v>API phân trang</x:v>
      </x:c>
      <x:c r="E206" s="3" t="str">
        <x:v>API phân trang</x:v>
      </x:c>
      <x:c r="F206" s="3" t="str">
        <x:v>Boundary — /api/admin/resources limit=100</x:v>
      </x:c>
      <x:c r="G206" s="3" t="str">
        <x:v>/api/admin/resources limit=100</x:v>
      </x:c>
      <x:c r="H206" s="3" t="str">
        <x:v>RES-001</x:v>
      </x:c>
      <x:c r="I206" s="3" t="str">
        <x:v>QTV có quyền tương ứng</x:v>
      </x:c>
      <x:c r="J206" s="3" t="str">
        <x:v>Boundary</x:v>
      </x:c>
      <x:c r="K206" s="3" t="str">
        <x:v>Medium</x:v>
      </x:c>
      <x:c r="L206" s="3" t="str">
        <x:v>Medium</x:v>
      </x:c>
      <x:c r="M206" s="3" t="str">
        <x:v>Môi trường QA cô lập, DB/MinIO sẵn sàng; dữ liệu fixture đã tạo. Đăng nhập tài khoản ACTIVE, mustChangePassword=false.</x:v>
      </x:c>
      <x:c r="N206" s="3" t="str">
        <x:v>limit=100; các tham số khác mặc định</x:v>
      </x:c>
      <x:c r="O206" s="3" t="str">
        <x:v>1. Seed 205 bản ghi phù hợp
2. GET /api/admin/resources?limit=100
3. So pagination và IDs</x:v>
      </x:c>
      <x:c r="P206" s="3" t="str">
        <x:v>HTTP 200; pagination phản ánh tham số; số dòng ≤ limit; skip=(page−1)×limit; totalPages=ceil(total/limit).</x:v>
      </x:c>
      <x:c r="Q206" s="11" t="str"/>
      <x:c r="R206" s="8" t="str">
        <x:v>NOT RUN</x:v>
      </x:c>
      <x:c r="S206" s="11" t="str">
        <x:v>QA/UAT — cần điền URL/build</x:v>
      </x:c>
      <x:c r="T206" s="11" t="str">
        <x:v>Cần điền phiên bản thực</x:v>
      </x:c>
      <x:c r="U206" s="11" t="str"/>
      <x:c r="V206" s="12" t="str"/>
      <x:c r="W206" s="11" t="str"/>
      <x:c r="X206" s="11" t="str"/>
      <x:c r="Y206" s="3" t="str">
        <x:v>Nguồn: backend/src/modules/cms/cms.routes.ts. </x:v>
      </x:c>
    </x:row>
    <x:row r="207" ht="49" customHeight="1">
      <x:c r="A207" s="3" t="n">
        <x:v>206</x:v>
      </x:c>
      <x:c r="B207" s="3" t="str">
        <x:v>TC_RESOURCE_071</x:v>
      </x:c>
      <x:c r="C207" s="3" t="str">
        <x:v>RESOURCE</x:v>
      </x:c>
      <x:c r="D207" s="3" t="str">
        <x:v>API phân trang</x:v>
      </x:c>
      <x:c r="E207" s="3" t="str">
        <x:v>API phân trang</x:v>
      </x:c>
      <x:c r="F207" s="3" t="str">
        <x:v>Boundary — /api/admin/resources limit=101</x:v>
      </x:c>
      <x:c r="G207" s="3" t="str">
        <x:v>/api/admin/resources limit=101</x:v>
      </x:c>
      <x:c r="H207" s="3" t="str">
        <x:v>RES-001</x:v>
      </x:c>
      <x:c r="I207" s="3" t="str">
        <x:v>QTV có quyền tương ứng</x:v>
      </x:c>
      <x:c r="J207" s="3" t="str">
        <x:v>Boundary</x:v>
      </x:c>
      <x:c r="K207" s="3" t="str">
        <x:v>Medium</x:v>
      </x:c>
      <x:c r="L207" s="3" t="str">
        <x:v>Medium</x:v>
      </x:c>
      <x:c r="M207" s="3" t="str">
        <x:v>Môi trường QA cô lập, DB/MinIO sẵn sàng; dữ liệu fixture đã tạo. Đăng nhập tài khoản ACTIVE, mustChangePassword=false.</x:v>
      </x:c>
      <x:c r="N207" s="3" t="str">
        <x:v>limit=101; các tham số khác mặc định</x:v>
      </x:c>
      <x:c r="O207" s="3" t="str">
        <x:v>1. Seed 205 bản ghi phù hợp
2. GET /api/admin/resources?limit=101
3. So pagination và IDs</x:v>
      </x:c>
      <x:c r="P207" s="3" t="str">
        <x:v>Không chạy query phân trang sai; trả lỗi validation, kỳ vọng HTTP 400; ghi defect nếu 500.</x:v>
      </x:c>
      <x:c r="Q207" s="11" t="str"/>
      <x:c r="R207" s="8" t="str">
        <x:v>NOT RUN</x:v>
      </x:c>
      <x:c r="S207" s="11" t="str">
        <x:v>QA/UAT — cần điền URL/build</x:v>
      </x:c>
      <x:c r="T207" s="11" t="str">
        <x:v>Cần điền phiên bản thực</x:v>
      </x:c>
      <x:c r="U207" s="11" t="str"/>
      <x:c r="V207" s="12" t="str"/>
      <x:c r="W207" s="11" t="str"/>
      <x:c r="X207" s="11" t="str"/>
      <x:c r="Y207" s="3" t="str">
        <x:v>Nguồn: backend/src/modules/cms/cms.routes.ts. </x:v>
      </x:c>
    </x:row>
    <x:row r="208" ht="49" customHeight="1">
      <x:c r="A208" s="3" t="n">
        <x:v>207</x:v>
      </x:c>
      <x:c r="B208" s="3" t="str">
        <x:v>TC_RESOURCE_072</x:v>
      </x:c>
      <x:c r="C208" s="3" t="str">
        <x:v>RESOURCE</x:v>
      </x:c>
      <x:c r="D208" s="3" t="str">
        <x:v>API phân trang</x:v>
      </x:c>
      <x:c r="E208" s="3" t="str">
        <x:v>API phân trang</x:v>
      </x:c>
      <x:c r="F208" s="3" t="str">
        <x:v>Boundary — /api/admin/resources page=0</x:v>
      </x:c>
      <x:c r="G208" s="3" t="str">
        <x:v>/api/admin/resources page=0</x:v>
      </x:c>
      <x:c r="H208" s="3" t="str">
        <x:v>RES-001</x:v>
      </x:c>
      <x:c r="I208" s="3" t="str">
        <x:v>QTV có quyền tương ứng</x:v>
      </x:c>
      <x:c r="J208" s="3" t="str">
        <x:v>Boundary</x:v>
      </x:c>
      <x:c r="K208" s="3" t="str">
        <x:v>Medium</x:v>
      </x:c>
      <x:c r="L208" s="3" t="str">
        <x:v>Medium</x:v>
      </x:c>
      <x:c r="M208" s="3" t="str">
        <x:v>Môi trường QA cô lập, DB/MinIO sẵn sàng; dữ liệu fixture đã tạo. Đăng nhập tài khoản ACTIVE, mustChangePassword=false.</x:v>
      </x:c>
      <x:c r="N208" s="3" t="str">
        <x:v>page=0; các tham số khác mặc định</x:v>
      </x:c>
      <x:c r="O208" s="3" t="str">
        <x:v>1. Seed 205 bản ghi phù hợp
2. GET /api/admin/resources?page=0
3. So pagination và IDs</x:v>
      </x:c>
      <x:c r="P208" s="3" t="str">
        <x:v>Không chạy query phân trang sai; trả lỗi validation, kỳ vọng HTTP 400; ghi defect nếu 500.</x:v>
      </x:c>
      <x:c r="Q208" s="11" t="str"/>
      <x:c r="R208" s="8" t="str">
        <x:v>NOT RUN</x:v>
      </x:c>
      <x:c r="S208" s="11" t="str">
        <x:v>QA/UAT — cần điền URL/build</x:v>
      </x:c>
      <x:c r="T208" s="11" t="str">
        <x:v>Cần điền phiên bản thực</x:v>
      </x:c>
      <x:c r="U208" s="11" t="str"/>
      <x:c r="V208" s="12" t="str"/>
      <x:c r="W208" s="11" t="str"/>
      <x:c r="X208" s="11" t="str"/>
      <x:c r="Y208" s="3" t="str">
        <x:v>Nguồn: backend/src/modules/cms/cms.routes.ts. </x:v>
      </x:c>
    </x:row>
    <x:row r="209" ht="49" customHeight="1">
      <x:c r="A209" s="3" t="n">
        <x:v>208</x:v>
      </x:c>
      <x:c r="B209" s="3" t="str">
        <x:v>TC_RESOURCE_073</x:v>
      </x:c>
      <x:c r="C209" s="3" t="str">
        <x:v>RESOURCE</x:v>
      </x:c>
      <x:c r="D209" s="3" t="str">
        <x:v>API phân trang</x:v>
      </x:c>
      <x:c r="E209" s="3" t="str">
        <x:v>API phân trang</x:v>
      </x:c>
      <x:c r="F209" s="3" t="str">
        <x:v>Boundary — /api/admin/resources page=1</x:v>
      </x:c>
      <x:c r="G209" s="3" t="str">
        <x:v>/api/admin/resources page=1</x:v>
      </x:c>
      <x:c r="H209" s="3" t="str">
        <x:v>RES-001</x:v>
      </x:c>
      <x:c r="I209" s="3" t="str">
        <x:v>QTV có quyền tương ứng</x:v>
      </x:c>
      <x:c r="J209" s="3" t="str">
        <x:v>Boundary</x:v>
      </x:c>
      <x:c r="K209" s="3" t="str">
        <x:v>Medium</x:v>
      </x:c>
      <x:c r="L209" s="3" t="str">
        <x:v>Medium</x:v>
      </x:c>
      <x:c r="M209" s="3" t="str">
        <x:v>Môi trường QA cô lập, DB/MinIO sẵn sàng; dữ liệu fixture đã tạo. Đăng nhập tài khoản ACTIVE, mustChangePassword=false.</x:v>
      </x:c>
      <x:c r="N209" s="3" t="str">
        <x:v>page=1; các tham số khác mặc định</x:v>
      </x:c>
      <x:c r="O209" s="3" t="str">
        <x:v>1. Seed 205 bản ghi phù hợp
2. GET /api/admin/resources?page=1
3. So pagination và IDs</x:v>
      </x:c>
      <x:c r="P209" s="3" t="str">
        <x:v>HTTP 200; pagination phản ánh tham số; số dòng ≤ limit; skip=(page−1)×limit; totalPages=ceil(total/limit).</x:v>
      </x:c>
      <x:c r="Q209" s="11" t="str"/>
      <x:c r="R209" s="8" t="str">
        <x:v>NOT RUN</x:v>
      </x:c>
      <x:c r="S209" s="11" t="str">
        <x:v>QA/UAT — cần điền URL/build</x:v>
      </x:c>
      <x:c r="T209" s="11" t="str">
        <x:v>Cần điền phiên bản thực</x:v>
      </x:c>
      <x:c r="U209" s="11" t="str"/>
      <x:c r="V209" s="12" t="str"/>
      <x:c r="W209" s="11" t="str"/>
      <x:c r="X209" s="11" t="str"/>
      <x:c r="Y209" s="3" t="str">
        <x:v>Nguồn: backend/src/modules/cms/cms.routes.ts. </x:v>
      </x:c>
    </x:row>
    <x:row r="210" ht="49" customHeight="1">
      <x:c r="A210" s="3" t="n">
        <x:v>209</x:v>
      </x:c>
      <x:c r="B210" s="3" t="str">
        <x:v>TC_RESOURCE_074</x:v>
      </x:c>
      <x:c r="C210" s="3" t="str">
        <x:v>RESOURCE</x:v>
      </x:c>
      <x:c r="D210" s="3" t="str">
        <x:v>API phân trang</x:v>
      </x:c>
      <x:c r="E210" s="3" t="str">
        <x:v>API phân trang</x:v>
      </x:c>
      <x:c r="F210" s="3" t="str">
        <x:v>Boundary — /api/admin/resources page=2</x:v>
      </x:c>
      <x:c r="G210" s="3" t="str">
        <x:v>/api/admin/resources page=2</x:v>
      </x:c>
      <x:c r="H210" s="3" t="str">
        <x:v>RES-001</x:v>
      </x:c>
      <x:c r="I210" s="3" t="str">
        <x:v>QTV có quyền tương ứng</x:v>
      </x:c>
      <x:c r="J210" s="3" t="str">
        <x:v>Boundary</x:v>
      </x:c>
      <x:c r="K210" s="3" t="str">
        <x:v>Medium</x:v>
      </x:c>
      <x:c r="L210" s="3" t="str">
        <x:v>Medium</x:v>
      </x:c>
      <x:c r="M210" s="3" t="str">
        <x:v>Môi trường QA cô lập, DB/MinIO sẵn sàng; dữ liệu fixture đã tạo. Đăng nhập tài khoản ACTIVE, mustChangePassword=false.</x:v>
      </x:c>
      <x:c r="N210" s="3" t="str">
        <x:v>page=2; các tham số khác mặc định</x:v>
      </x:c>
      <x:c r="O210" s="3" t="str">
        <x:v>1. Seed 205 bản ghi phù hợp
2. GET /api/admin/resources?page=2
3. So pagination và IDs</x:v>
      </x:c>
      <x:c r="P210" s="3" t="str">
        <x:v>HTTP 200; pagination phản ánh tham số; số dòng ≤ limit; skip=(page−1)×limit; totalPages=ceil(total/limit).</x:v>
      </x:c>
      <x:c r="Q210" s="11" t="str"/>
      <x:c r="R210" s="8" t="str">
        <x:v>NOT RUN</x:v>
      </x:c>
      <x:c r="S210" s="11" t="str">
        <x:v>QA/UAT — cần điền URL/build</x:v>
      </x:c>
      <x:c r="T210" s="11" t="str">
        <x:v>Cần điền phiên bản thực</x:v>
      </x:c>
      <x:c r="U210" s="11" t="str"/>
      <x:c r="V210" s="12" t="str"/>
      <x:c r="W210" s="11" t="str"/>
      <x:c r="X210" s="11" t="str"/>
      <x:c r="Y210" s="3" t="str">
        <x:v>Nguồn: backend/src/modules/cms/cms.routes.ts. </x:v>
      </x:c>
    </x:row>
    <x:row r="211" ht="49" customHeight="1">
      <x:c r="A211" s="3" t="n">
        <x:v>210</x:v>
      </x:c>
      <x:c r="B211" s="3" t="str">
        <x:v>TC_RESOURCE_075</x:v>
      </x:c>
      <x:c r="C211" s="3" t="str">
        <x:v>RESOURCE</x:v>
      </x:c>
      <x:c r="D211" s="3" t="str">
        <x:v>API phân trang</x:v>
      </x:c>
      <x:c r="E211" s="3" t="str">
        <x:v>API phân trang</x:v>
      </x:c>
      <x:c r="F211" s="3" t="str">
        <x:v>Boundary — /api/admin/resources page=-1</x:v>
      </x:c>
      <x:c r="G211" s="3" t="str">
        <x:v>/api/admin/resources page=-1</x:v>
      </x:c>
      <x:c r="H211" s="3" t="str">
        <x:v>RES-001</x:v>
      </x:c>
      <x:c r="I211" s="3" t="str">
        <x:v>QTV có quyền tương ứng</x:v>
      </x:c>
      <x:c r="J211" s="3" t="str">
        <x:v>Boundary</x:v>
      </x:c>
      <x:c r="K211" s="3" t="str">
        <x:v>Medium</x:v>
      </x:c>
      <x:c r="L211" s="3" t="str">
        <x:v>Medium</x:v>
      </x:c>
      <x:c r="M211" s="3" t="str">
        <x:v>Môi trường QA cô lập, DB/MinIO sẵn sàng; dữ liệu fixture đã tạo. Đăng nhập tài khoản ACTIVE, mustChangePassword=false.</x:v>
      </x:c>
      <x:c r="N211" s="3" t="str">
        <x:v>page=-1; các tham số khác mặc định</x:v>
      </x:c>
      <x:c r="O211" s="3" t="str">
        <x:v>1. Seed 205 bản ghi phù hợp
2. GET /api/admin/resources?page=-1
3. So pagination và IDs</x:v>
      </x:c>
      <x:c r="P211" s="3" t="str">
        <x:v>Không chạy query phân trang sai; trả lỗi validation, kỳ vọng HTTP 400; ghi defect nếu 500.</x:v>
      </x:c>
      <x:c r="Q211" s="11" t="str"/>
      <x:c r="R211" s="8" t="str">
        <x:v>NOT RUN</x:v>
      </x:c>
      <x:c r="S211" s="11" t="str">
        <x:v>QA/UAT — cần điền URL/build</x:v>
      </x:c>
      <x:c r="T211" s="11" t="str">
        <x:v>Cần điền phiên bản thực</x:v>
      </x:c>
      <x:c r="U211" s="11" t="str"/>
      <x:c r="V211" s="12" t="str"/>
      <x:c r="W211" s="11" t="str"/>
      <x:c r="X211" s="11" t="str"/>
      <x:c r="Y211" s="3" t="str">
        <x:v>Nguồn: backend/src/modules/cms/cms.routes.ts. </x:v>
      </x:c>
    </x:row>
    <x:row r="212" ht="49" customHeight="1">
      <x:c r="A212" s="3" t="n">
        <x:v>211</x:v>
      </x:c>
      <x:c r="B212" s="3" t="str">
        <x:v>TC_RESOURCE_076</x:v>
      </x:c>
      <x:c r="C212" s="3" t="str">
        <x:v>RESOURCE</x:v>
      </x:c>
      <x:c r="D212" s="3" t="str">
        <x:v>API phân trang</x:v>
      </x:c>
      <x:c r="E212" s="3" t="str">
        <x:v>API phân trang</x:v>
      </x:c>
      <x:c r="F212" s="3" t="str">
        <x:v>Boundary — /api/admin/resources page=1.5</x:v>
      </x:c>
      <x:c r="G212" s="3" t="str">
        <x:v>/api/admin/resources page=1.5</x:v>
      </x:c>
      <x:c r="H212" s="3" t="str">
        <x:v>RES-001</x:v>
      </x:c>
      <x:c r="I212" s="3" t="str">
        <x:v>QTV có quyền tương ứng</x:v>
      </x:c>
      <x:c r="J212" s="3" t="str">
        <x:v>Boundary</x:v>
      </x:c>
      <x:c r="K212" s="3" t="str">
        <x:v>Medium</x:v>
      </x:c>
      <x:c r="L212" s="3" t="str">
        <x:v>Medium</x:v>
      </x:c>
      <x:c r="M212" s="3" t="str">
        <x:v>Môi trường QA cô lập, DB/MinIO sẵn sàng; dữ liệu fixture đã tạo. Đăng nhập tài khoản ACTIVE, mustChangePassword=false.</x:v>
      </x:c>
      <x:c r="N212" s="3" t="str">
        <x:v>page=1.5; các tham số khác mặc định</x:v>
      </x:c>
      <x:c r="O212" s="3" t="str">
        <x:v>1. Seed 205 bản ghi phù hợp
2. GET /api/admin/resources?page=1.5
3. So pagination và IDs</x:v>
      </x:c>
      <x:c r="P212" s="3" t="str">
        <x:v>Không chạy query phân trang sai; trả lỗi validation, kỳ vọng HTTP 400; ghi defect nếu 500.</x:v>
      </x:c>
      <x:c r="Q212" s="11" t="str"/>
      <x:c r="R212" s="8" t="str">
        <x:v>NOT RUN</x:v>
      </x:c>
      <x:c r="S212" s="11" t="str">
        <x:v>QA/UAT — cần điền URL/build</x:v>
      </x:c>
      <x:c r="T212" s="11" t="str">
        <x:v>Cần điền phiên bản thực</x:v>
      </x:c>
      <x:c r="U212" s="11" t="str"/>
      <x:c r="V212" s="12" t="str"/>
      <x:c r="W212" s="11" t="str"/>
      <x:c r="X212" s="11" t="str"/>
      <x:c r="Y212" s="3" t="str">
        <x:v>Nguồn: backend/src/modules/cms/cms.routes.ts. </x:v>
      </x:c>
    </x:row>
    <x:row r="213" ht="49" customHeight="1">
      <x:c r="A213" s="3" t="n">
        <x:v>212</x:v>
      </x:c>
      <x:c r="B213" s="3" t="str">
        <x:v>TC_MEDIA_005</x:v>
      </x:c>
      <x:c r="C213" s="3" t="str">
        <x:v>MEDIA</x:v>
      </x:c>
      <x:c r="D213" s="3" t="str">
        <x:v>Dung lượng upload</x:v>
      </x:c>
      <x:c r="E213" s="3" t="str">
        <x:v>Dung lượng upload</x:v>
      </x:c>
      <x:c r="F213" s="3" t="str">
        <x:v>Boundary — /api/cms/upload-image: 0 bytes</x:v>
      </x:c>
      <x:c r="G213" s="3" t="str">
        <x:v>/api/cms/upload-image: 0 bytes</x:v>
      </x:c>
      <x:c r="H213" s="3" t="str">
        <x:v>NEWS-003</x:v>
      </x:c>
      <x:c r="I213" s="3" t="str">
        <x:v>QTV có quyền tương ứng</x:v>
      </x:c>
      <x:c r="J213" s="3" t="str">
        <x:v>Boundary</x:v>
      </x:c>
      <x:c r="K213" s="3" t="str">
        <x:v>High</x:v>
      </x:c>
      <x:c r="L213" s="3" t="str">
        <x:v>High</x:v>
      </x:c>
      <x:c r="M213" s="3" t="str">
        <x:v>Môi trường QA cô lập, DB/MinIO sẵn sàng; dữ liệu fixture đã tạo. Đăng nhập tài khoản ACTIVE, mustChangePassword=false.</x:v>
      </x:c>
      <x:c r="N213" s="3" t="str">
        <x:v>0 bytes; ≥Max−1 dùng file thực hợp lệ + padding hợp lệ. 0/1/2 bytes không thể là file định dạng hợp lệ.</x:v>
      </x:c>
      <x:c r="O213" s="3" t="str">
        <x:v>1. Tạo file có kích thước chính xác 0 bytes
2. Gửi multipart tới /api/cms/upload-image
3. Đối chiếu response và MinIO</x:v>
      </x:c>
      <x:c r="P213" s="3" t="str">
        <x:v>HTTP 400 (resource) hoặc 415 (image); Word lỗi được kiểm soát, không lộ stack.</x:v>
      </x:c>
      <x:c r="Q213" s="11" t="str"/>
      <x:c r="R213" s="8" t="str">
        <x:v>NOT RUN</x:v>
      </x:c>
      <x:c r="S213" s="11" t="str">
        <x:v>QA/UAT — cần điền URL/build</x:v>
      </x:c>
      <x:c r="T213" s="11" t="str">
        <x:v>Cần điền phiên bản thực</x:v>
      </x:c>
      <x:c r="U213" s="11" t="str"/>
      <x:c r="V213" s="12" t="str"/>
      <x:c r="W213" s="11" t="str"/>
      <x:c r="X213" s="11" t="str"/>
      <x:c r="Y213" s="3" t="str">
        <x:v>Nguồn: admin/src/app/api/cms/upload-image/route.ts. Upload resource giả định STORAGE_MAX_RESOURCE_FILE_MB=25 trên QA; thay bộ biên nếu môi trường chọn ngưỡng khác.</x:v>
      </x:c>
    </x:row>
    <x:row r="214" ht="49" customHeight="1">
      <x:c r="A214" s="3" t="n">
        <x:v>213</x:v>
      </x:c>
      <x:c r="B214" s="3" t="str">
        <x:v>TC_MEDIA_006</x:v>
      </x:c>
      <x:c r="C214" s="3" t="str">
        <x:v>MEDIA</x:v>
      </x:c>
      <x:c r="D214" s="3" t="str">
        <x:v>Dung lượng upload</x:v>
      </x:c>
      <x:c r="E214" s="3" t="str">
        <x:v>Dung lượng upload</x:v>
      </x:c>
      <x:c r="F214" s="3" t="str">
        <x:v>Boundary — /api/cms/upload-image: 1 bytes</x:v>
      </x:c>
      <x:c r="G214" s="3" t="str">
        <x:v>/api/cms/upload-image: 1 bytes</x:v>
      </x:c>
      <x:c r="H214" s="3" t="str">
        <x:v>NEWS-003</x:v>
      </x:c>
      <x:c r="I214" s="3" t="str">
        <x:v>QTV có quyền tương ứng</x:v>
      </x:c>
      <x:c r="J214" s="3" t="str">
        <x:v>Boundary</x:v>
      </x:c>
      <x:c r="K214" s="3" t="str">
        <x:v>High</x:v>
      </x:c>
      <x:c r="L214" s="3" t="str">
        <x:v>High</x:v>
      </x:c>
      <x:c r="M214" s="3" t="str">
        <x:v>Môi trường QA cô lập, DB/MinIO sẵn sàng; dữ liệu fixture đã tạo. Đăng nhập tài khoản ACTIVE, mustChangePassword=false.</x:v>
      </x:c>
      <x:c r="N214" s="3" t="str">
        <x:v>1 bytes; ≥Max−1 dùng file thực hợp lệ + padding hợp lệ. 0/1/2 bytes không thể là file định dạng hợp lệ.</x:v>
      </x:c>
      <x:c r="O214" s="3" t="str">
        <x:v>1. Tạo file có kích thước chính xác 1 bytes
2. Gửi multipart tới /api/cms/upload-image
3. Đối chiếu response và MinIO</x:v>
      </x:c>
      <x:c r="P214" s="3" t="str">
        <x:v>HTTP 400 (resource) hoặc 415 (image); Word lỗi được kiểm soát, không lộ stack.</x:v>
      </x:c>
      <x:c r="Q214" s="11" t="str"/>
      <x:c r="R214" s="8" t="str">
        <x:v>NOT RUN</x:v>
      </x:c>
      <x:c r="S214" s="11" t="str">
        <x:v>QA/UAT — cần điền URL/build</x:v>
      </x:c>
      <x:c r="T214" s="11" t="str">
        <x:v>Cần điền phiên bản thực</x:v>
      </x:c>
      <x:c r="U214" s="11" t="str"/>
      <x:c r="V214" s="12" t="str"/>
      <x:c r="W214" s="11" t="str"/>
      <x:c r="X214" s="11" t="str"/>
      <x:c r="Y214" s="3" t="str">
        <x:v>Nguồn: admin/src/app/api/cms/upload-image/route.ts. Upload resource giả định STORAGE_MAX_RESOURCE_FILE_MB=25 trên QA; thay bộ biên nếu môi trường chọn ngưỡng khác.</x:v>
      </x:c>
    </x:row>
    <x:row r="215" ht="49" customHeight="1">
      <x:c r="A215" s="3" t="n">
        <x:v>214</x:v>
      </x:c>
      <x:c r="B215" s="3" t="str">
        <x:v>TC_MEDIA_007</x:v>
      </x:c>
      <x:c r="C215" s="3" t="str">
        <x:v>MEDIA</x:v>
      </x:c>
      <x:c r="D215" s="3" t="str">
        <x:v>Dung lượng upload</x:v>
      </x:c>
      <x:c r="E215" s="3" t="str">
        <x:v>Dung lượng upload</x:v>
      </x:c>
      <x:c r="F215" s="3" t="str">
        <x:v>Boundary — /api/cms/upload-image: 2 bytes</x:v>
      </x:c>
      <x:c r="G215" s="3" t="str">
        <x:v>/api/cms/upload-image: 2 bytes</x:v>
      </x:c>
      <x:c r="H215" s="3" t="str">
        <x:v>NEWS-003</x:v>
      </x:c>
      <x:c r="I215" s="3" t="str">
        <x:v>QTV có quyền tương ứng</x:v>
      </x:c>
      <x:c r="J215" s="3" t="str">
        <x:v>Boundary</x:v>
      </x:c>
      <x:c r="K215" s="3" t="str">
        <x:v>High</x:v>
      </x:c>
      <x:c r="L215" s="3" t="str">
        <x:v>High</x:v>
      </x:c>
      <x:c r="M215" s="3" t="str">
        <x:v>Môi trường QA cô lập, DB/MinIO sẵn sàng; dữ liệu fixture đã tạo. Đăng nhập tài khoản ACTIVE, mustChangePassword=false.</x:v>
      </x:c>
      <x:c r="N215" s="3" t="str">
        <x:v>2 bytes; ≥Max−1 dùng file thực hợp lệ + padding hợp lệ. 0/1/2 bytes không thể là file định dạng hợp lệ.</x:v>
      </x:c>
      <x:c r="O215" s="3" t="str">
        <x:v>1. Tạo file có kích thước chính xác 2 bytes
2. Gửi multipart tới /api/cms/upload-image
3. Đối chiếu response và MinIO</x:v>
      </x:c>
      <x:c r="P215" s="3" t="str">
        <x:v>HTTP 400 (resource) hoặc 415 (image); Word lỗi được kiểm soát, không lộ stack.</x:v>
      </x:c>
      <x:c r="Q215" s="11" t="str"/>
      <x:c r="R215" s="8" t="str">
        <x:v>NOT RUN</x:v>
      </x:c>
      <x:c r="S215" s="11" t="str">
        <x:v>QA/UAT — cần điền URL/build</x:v>
      </x:c>
      <x:c r="T215" s="11" t="str">
        <x:v>Cần điền phiên bản thực</x:v>
      </x:c>
      <x:c r="U215" s="11" t="str"/>
      <x:c r="V215" s="12" t="str"/>
      <x:c r="W215" s="11" t="str"/>
      <x:c r="X215" s="11" t="str"/>
      <x:c r="Y215" s="3" t="str">
        <x:v>Nguồn: admin/src/app/api/cms/upload-image/route.ts. Upload resource giả định STORAGE_MAX_RESOURCE_FILE_MB=25 trên QA; thay bộ biên nếu môi trường chọn ngưỡng khác.</x:v>
      </x:c>
    </x:row>
    <x:row r="216" ht="49" customHeight="1">
      <x:c r="A216" s="3" t="n">
        <x:v>215</x:v>
      </x:c>
      <x:c r="B216" s="3" t="str">
        <x:v>TC_MEDIA_008</x:v>
      </x:c>
      <x:c r="C216" s="3" t="str">
        <x:v>MEDIA</x:v>
      </x:c>
      <x:c r="D216" s="3" t="str">
        <x:v>Dung lượng upload</x:v>
      </x:c>
      <x:c r="E216" s="3" t="str">
        <x:v>Dung lượng upload</x:v>
      </x:c>
      <x:c r="F216" s="3" t="str">
        <x:v>Boundary — /api/cms/upload-image: 8388607 bytes</x:v>
      </x:c>
      <x:c r="G216" s="3" t="str">
        <x:v>/api/cms/upload-image: 8388607 bytes</x:v>
      </x:c>
      <x:c r="H216" s="3" t="str">
        <x:v>NEWS-003</x:v>
      </x:c>
      <x:c r="I216" s="3" t="str">
        <x:v>QTV có quyền tương ứng</x:v>
      </x:c>
      <x:c r="J216" s="3" t="str">
        <x:v>Boundary</x:v>
      </x:c>
      <x:c r="K216" s="3" t="str">
        <x:v>High</x:v>
      </x:c>
      <x:c r="L216" s="3" t="str">
        <x:v>High</x:v>
      </x:c>
      <x:c r="M216" s="3" t="str">
        <x:v>Môi trường QA cô lập, DB/MinIO sẵn sàng; dữ liệu fixture đã tạo. Đăng nhập tài khoản ACTIVE, mustChangePassword=false.</x:v>
      </x:c>
      <x:c r="N216" s="3" t="str">
        <x:v>8388607 bytes; ≥Max−1 dùng file thực hợp lệ + padding hợp lệ. 0/1/2 bytes không thể là file định dạng hợp lệ.</x:v>
      </x:c>
      <x:c r="O216" s="3" t="str">
        <x:v>1. Tạo file có kích thước chính xác 8388607 bytes
2. Gửi multipart tới /api/cms/upload-image
3. Đối chiếu response và MinIO</x:v>
      </x:c>
      <x:c r="P216" s="3" t="str">
        <x:v>HTTP 200; tệp hợp lệ tại giới hạn được chấp nhận.</x:v>
      </x:c>
      <x:c r="Q216" s="11" t="str"/>
      <x:c r="R216" s="8" t="str">
        <x:v>NOT RUN</x:v>
      </x:c>
      <x:c r="S216" s="11" t="str">
        <x:v>QA/UAT — cần điền URL/build</x:v>
      </x:c>
      <x:c r="T216" s="11" t="str">
        <x:v>Cần điền phiên bản thực</x:v>
      </x:c>
      <x:c r="U216" s="11" t="str"/>
      <x:c r="V216" s="12" t="str"/>
      <x:c r="W216" s="11" t="str"/>
      <x:c r="X216" s="11" t="str"/>
      <x:c r="Y216" s="3" t="str">
        <x:v>Nguồn: admin/src/app/api/cms/upload-image/route.ts. Upload resource giả định STORAGE_MAX_RESOURCE_FILE_MB=25 trên QA; thay bộ biên nếu môi trường chọn ngưỡng khác.</x:v>
      </x:c>
    </x:row>
    <x:row r="217" ht="49" customHeight="1">
      <x:c r="A217" s="3" t="n">
        <x:v>216</x:v>
      </x:c>
      <x:c r="B217" s="3" t="str">
        <x:v>TC_MEDIA_009</x:v>
      </x:c>
      <x:c r="C217" s="3" t="str">
        <x:v>MEDIA</x:v>
      </x:c>
      <x:c r="D217" s="3" t="str">
        <x:v>Dung lượng upload</x:v>
      </x:c>
      <x:c r="E217" s="3" t="str">
        <x:v>Dung lượng upload</x:v>
      </x:c>
      <x:c r="F217" s="3" t="str">
        <x:v>Boundary — /api/cms/upload-image: 8388608 bytes</x:v>
      </x:c>
      <x:c r="G217" s="3" t="str">
        <x:v>/api/cms/upload-image: 8388608 bytes</x:v>
      </x:c>
      <x:c r="H217" s="3" t="str">
        <x:v>NEWS-003</x:v>
      </x:c>
      <x:c r="I217" s="3" t="str">
        <x:v>QTV có quyền tương ứng</x:v>
      </x:c>
      <x:c r="J217" s="3" t="str">
        <x:v>Boundary</x:v>
      </x:c>
      <x:c r="K217" s="3" t="str">
        <x:v>High</x:v>
      </x:c>
      <x:c r="L217" s="3" t="str">
        <x:v>High</x:v>
      </x:c>
      <x:c r="M217" s="3" t="str">
        <x:v>Môi trường QA cô lập, DB/MinIO sẵn sàng; dữ liệu fixture đã tạo. Đăng nhập tài khoản ACTIVE, mustChangePassword=false.</x:v>
      </x:c>
      <x:c r="N217" s="3" t="str">
        <x:v>8388608 bytes; ≥Max−1 dùng file thực hợp lệ + padding hợp lệ. 0/1/2 bytes không thể là file định dạng hợp lệ.</x:v>
      </x:c>
      <x:c r="O217" s="3" t="str">
        <x:v>1. Tạo file có kích thước chính xác 8388608 bytes
2. Gửi multipart tới /api/cms/upload-image
3. Đối chiếu response và MinIO</x:v>
      </x:c>
      <x:c r="P217" s="3" t="str">
        <x:v>HTTP 200; tệp hợp lệ tại giới hạn được chấp nhận.</x:v>
      </x:c>
      <x:c r="Q217" s="11" t="str"/>
      <x:c r="R217" s="8" t="str">
        <x:v>NOT RUN</x:v>
      </x:c>
      <x:c r="S217" s="11" t="str">
        <x:v>QA/UAT — cần điền URL/build</x:v>
      </x:c>
      <x:c r="T217" s="11" t="str">
        <x:v>Cần điền phiên bản thực</x:v>
      </x:c>
      <x:c r="U217" s="11" t="str"/>
      <x:c r="V217" s="12" t="str"/>
      <x:c r="W217" s="11" t="str"/>
      <x:c r="X217" s="11" t="str"/>
      <x:c r="Y217" s="3" t="str">
        <x:v>Nguồn: admin/src/app/api/cms/upload-image/route.ts. Upload resource giả định STORAGE_MAX_RESOURCE_FILE_MB=25 trên QA; thay bộ biên nếu môi trường chọn ngưỡng khác.</x:v>
      </x:c>
    </x:row>
    <x:row r="218" ht="49" customHeight="1">
      <x:c r="A218" s="3" t="n">
        <x:v>217</x:v>
      </x:c>
      <x:c r="B218" s="3" t="str">
        <x:v>TC_MEDIA_010</x:v>
      </x:c>
      <x:c r="C218" s="3" t="str">
        <x:v>MEDIA</x:v>
      </x:c>
      <x:c r="D218" s="3" t="str">
        <x:v>Dung lượng upload</x:v>
      </x:c>
      <x:c r="E218" s="3" t="str">
        <x:v>Dung lượng upload</x:v>
      </x:c>
      <x:c r="F218" s="3" t="str">
        <x:v>Boundary — /api/cms/upload-image: 8388609 bytes</x:v>
      </x:c>
      <x:c r="G218" s="3" t="str">
        <x:v>/api/cms/upload-image: 8388609 bytes</x:v>
      </x:c>
      <x:c r="H218" s="3" t="str">
        <x:v>NEWS-003</x:v>
      </x:c>
      <x:c r="I218" s="3" t="str">
        <x:v>QTV có quyền tương ứng</x:v>
      </x:c>
      <x:c r="J218" s="3" t="str">
        <x:v>Boundary</x:v>
      </x:c>
      <x:c r="K218" s="3" t="str">
        <x:v>High</x:v>
      </x:c>
      <x:c r="L218" s="3" t="str">
        <x:v>High</x:v>
      </x:c>
      <x:c r="M218" s="3" t="str">
        <x:v>Môi trường QA cô lập, DB/MinIO sẵn sàng; dữ liệu fixture đã tạo. Đăng nhập tài khoản ACTIVE, mustChangePassword=false.</x:v>
      </x:c>
      <x:c r="N218" s="3" t="str">
        <x:v>8388609 bytes; ≥Max−1 dùng file thực hợp lệ + padding hợp lệ. 0/1/2 bytes không thể là file định dạng hợp lệ.</x:v>
      </x:c>
      <x:c r="O218" s="3" t="str">
        <x:v>1. Tạo file có kích thước chính xác 8388609 bytes
2. Gửi multipart tới /api/cms/upload-image
3. Đối chiếu response và MinIO</x:v>
      </x:c>
      <x:c r="P218" s="3" t="str">
        <x:v>HTTP 413; không upload object.</x:v>
      </x:c>
      <x:c r="Q218" s="11" t="str"/>
      <x:c r="R218" s="8" t="str">
        <x:v>NOT RUN</x:v>
      </x:c>
      <x:c r="S218" s="11" t="str">
        <x:v>QA/UAT — cần điền URL/build</x:v>
      </x:c>
      <x:c r="T218" s="11" t="str">
        <x:v>Cần điền phiên bản thực</x:v>
      </x:c>
      <x:c r="U218" s="11" t="str"/>
      <x:c r="V218" s="12" t="str"/>
      <x:c r="W218" s="11" t="str"/>
      <x:c r="X218" s="11" t="str"/>
      <x:c r="Y218" s="3" t="str">
        <x:v>Nguồn: admin/src/app/api/cms/upload-image/route.ts. Upload resource giả định STORAGE_MAX_RESOURCE_FILE_MB=25 trên QA; thay bộ biên nếu môi trường chọn ngưỡng khác.</x:v>
      </x:c>
    </x:row>
    <x:row r="219" ht="49" customHeight="1">
      <x:c r="A219" s="3" t="n">
        <x:v>218</x:v>
      </x:c>
      <x:c r="B219" s="3" t="str">
        <x:v>TC_WORD_002</x:v>
      </x:c>
      <x:c r="C219" s="3" t="str">
        <x:v>WORD</x:v>
      </x:c>
      <x:c r="D219" s="3" t="str">
        <x:v>Dung lượng upload</x:v>
      </x:c>
      <x:c r="E219" s="3" t="str">
        <x:v>Dung lượng upload</x:v>
      </x:c>
      <x:c r="F219" s="3" t="str">
        <x:v>Boundary — /api/cms/import-word: 0 bytes</x:v>
      </x:c>
      <x:c r="G219" s="3" t="str">
        <x:v>/api/cms/import-word: 0 bytes</x:v>
      </x:c>
      <x:c r="H219" s="3" t="str">
        <x:v>NEWS-002</x:v>
      </x:c>
      <x:c r="I219" s="3" t="str">
        <x:v>QTV có quyền tương ứng</x:v>
      </x:c>
      <x:c r="J219" s="3" t="str">
        <x:v>Boundary</x:v>
      </x:c>
      <x:c r="K219" s="3" t="str">
        <x:v>High</x:v>
      </x:c>
      <x:c r="L219" s="3" t="str">
        <x:v>High</x:v>
      </x:c>
      <x:c r="M219" s="3" t="str">
        <x:v>Môi trường QA cô lập, DB/MinIO sẵn sàng; dữ liệu fixture đã tạo. Đăng nhập tài khoản ACTIVE, mustChangePassword=false.</x:v>
      </x:c>
      <x:c r="N219" s="3" t="str">
        <x:v>0 bytes; ≥Max−1 dùng file thực hợp lệ + padding hợp lệ. 0/1/2 bytes không thể là file định dạng hợp lệ.</x:v>
      </x:c>
      <x:c r="O219" s="3" t="str">
        <x:v>1. Tạo file có kích thước chính xác 0 bytes
2. Gửi multipart tới /api/cms/import-word
3. Đối chiếu response và MinIO</x:v>
      </x:c>
      <x:c r="P219" s="3" t="str">
        <x:v>HTTP 400 (resource) hoặc 415 (image); Word lỗi được kiểm soát, không lộ stack.</x:v>
      </x:c>
      <x:c r="Q219" s="11" t="str"/>
      <x:c r="R219" s="8" t="str">
        <x:v>NOT RUN</x:v>
      </x:c>
      <x:c r="S219" s="11" t="str">
        <x:v>QA/UAT — cần điền URL/build</x:v>
      </x:c>
      <x:c r="T219" s="11" t="str">
        <x:v>Cần điền phiên bản thực</x:v>
      </x:c>
      <x:c r="U219" s="11" t="str"/>
      <x:c r="V219" s="12" t="str"/>
      <x:c r="W219" s="11" t="str"/>
      <x:c r="X219" s="11" t="str"/>
      <x:c r="Y219" s="3" t="str">
        <x:v>Nguồn: admin/src/app/api/cms/import-word/route.ts. Upload resource giả định STORAGE_MAX_RESOURCE_FILE_MB=25 trên QA; thay bộ biên nếu môi trường chọn ngưỡng khác.</x:v>
      </x:c>
    </x:row>
    <x:row r="220" ht="49" customHeight="1">
      <x:c r="A220" s="3" t="n">
        <x:v>219</x:v>
      </x:c>
      <x:c r="B220" s="3" t="str">
        <x:v>TC_WORD_003</x:v>
      </x:c>
      <x:c r="C220" s="3" t="str">
        <x:v>WORD</x:v>
      </x:c>
      <x:c r="D220" s="3" t="str">
        <x:v>Dung lượng upload</x:v>
      </x:c>
      <x:c r="E220" s="3" t="str">
        <x:v>Dung lượng upload</x:v>
      </x:c>
      <x:c r="F220" s="3" t="str">
        <x:v>Boundary — /api/cms/import-word: 1 bytes</x:v>
      </x:c>
      <x:c r="G220" s="3" t="str">
        <x:v>/api/cms/import-word: 1 bytes</x:v>
      </x:c>
      <x:c r="H220" s="3" t="str">
        <x:v>NEWS-002</x:v>
      </x:c>
      <x:c r="I220" s="3" t="str">
        <x:v>QTV có quyền tương ứng</x:v>
      </x:c>
      <x:c r="J220" s="3" t="str">
        <x:v>Boundary</x:v>
      </x:c>
      <x:c r="K220" s="3" t="str">
        <x:v>High</x:v>
      </x:c>
      <x:c r="L220" s="3" t="str">
        <x:v>High</x:v>
      </x:c>
      <x:c r="M220" s="3" t="str">
        <x:v>Môi trường QA cô lập, DB/MinIO sẵn sàng; dữ liệu fixture đã tạo. Đăng nhập tài khoản ACTIVE, mustChangePassword=false.</x:v>
      </x:c>
      <x:c r="N220" s="3" t="str">
        <x:v>1 bytes; ≥Max−1 dùng file thực hợp lệ + padding hợp lệ. 0/1/2 bytes không thể là file định dạng hợp lệ.</x:v>
      </x:c>
      <x:c r="O220" s="3" t="str">
        <x:v>1. Tạo file có kích thước chính xác 1 bytes
2. Gửi multipart tới /api/cms/import-word
3. Đối chiếu response và MinIO</x:v>
      </x:c>
      <x:c r="P220" s="3" t="str">
        <x:v>HTTP 400 (resource) hoặc 415 (image); Word lỗi được kiểm soát, không lộ stack.</x:v>
      </x:c>
      <x:c r="Q220" s="11" t="str"/>
      <x:c r="R220" s="8" t="str">
        <x:v>NOT RUN</x:v>
      </x:c>
      <x:c r="S220" s="11" t="str">
        <x:v>QA/UAT — cần điền URL/build</x:v>
      </x:c>
      <x:c r="T220" s="11" t="str">
        <x:v>Cần điền phiên bản thực</x:v>
      </x:c>
      <x:c r="U220" s="11" t="str"/>
      <x:c r="V220" s="12" t="str"/>
      <x:c r="W220" s="11" t="str"/>
      <x:c r="X220" s="11" t="str"/>
      <x:c r="Y220" s="3" t="str">
        <x:v>Nguồn: admin/src/app/api/cms/import-word/route.ts. Upload resource giả định STORAGE_MAX_RESOURCE_FILE_MB=25 trên QA; thay bộ biên nếu môi trường chọn ngưỡng khác.</x:v>
      </x:c>
    </x:row>
    <x:row r="221" ht="49" customHeight="1">
      <x:c r="A221" s="3" t="n">
        <x:v>220</x:v>
      </x:c>
      <x:c r="B221" s="3" t="str">
        <x:v>TC_WORD_004</x:v>
      </x:c>
      <x:c r="C221" s="3" t="str">
        <x:v>WORD</x:v>
      </x:c>
      <x:c r="D221" s="3" t="str">
        <x:v>Dung lượng upload</x:v>
      </x:c>
      <x:c r="E221" s="3" t="str">
        <x:v>Dung lượng upload</x:v>
      </x:c>
      <x:c r="F221" s="3" t="str">
        <x:v>Boundary — /api/cms/import-word: 2 bytes</x:v>
      </x:c>
      <x:c r="G221" s="3" t="str">
        <x:v>/api/cms/import-word: 2 bytes</x:v>
      </x:c>
      <x:c r="H221" s="3" t="str">
        <x:v>NEWS-002</x:v>
      </x:c>
      <x:c r="I221" s="3" t="str">
        <x:v>QTV có quyền tương ứng</x:v>
      </x:c>
      <x:c r="J221" s="3" t="str">
        <x:v>Boundary</x:v>
      </x:c>
      <x:c r="K221" s="3" t="str">
        <x:v>High</x:v>
      </x:c>
      <x:c r="L221" s="3" t="str">
        <x:v>High</x:v>
      </x:c>
      <x:c r="M221" s="3" t="str">
        <x:v>Môi trường QA cô lập, DB/MinIO sẵn sàng; dữ liệu fixture đã tạo. Đăng nhập tài khoản ACTIVE, mustChangePassword=false.</x:v>
      </x:c>
      <x:c r="N221" s="3" t="str">
        <x:v>2 bytes; ≥Max−1 dùng file thực hợp lệ + padding hợp lệ. 0/1/2 bytes không thể là file định dạng hợp lệ.</x:v>
      </x:c>
      <x:c r="O221" s="3" t="str">
        <x:v>1. Tạo file có kích thước chính xác 2 bytes
2. Gửi multipart tới /api/cms/import-word
3. Đối chiếu response và MinIO</x:v>
      </x:c>
      <x:c r="P221" s="3" t="str">
        <x:v>HTTP 400 (resource) hoặc 415 (image); Word lỗi được kiểm soát, không lộ stack.</x:v>
      </x:c>
      <x:c r="Q221" s="11" t="str"/>
      <x:c r="R221" s="8" t="str">
        <x:v>NOT RUN</x:v>
      </x:c>
      <x:c r="S221" s="11" t="str">
        <x:v>QA/UAT — cần điền URL/build</x:v>
      </x:c>
      <x:c r="T221" s="11" t="str">
        <x:v>Cần điền phiên bản thực</x:v>
      </x:c>
      <x:c r="U221" s="11" t="str"/>
      <x:c r="V221" s="12" t="str"/>
      <x:c r="W221" s="11" t="str"/>
      <x:c r="X221" s="11" t="str"/>
      <x:c r="Y221" s="3" t="str">
        <x:v>Nguồn: admin/src/app/api/cms/import-word/route.ts. Upload resource giả định STORAGE_MAX_RESOURCE_FILE_MB=25 trên QA; thay bộ biên nếu môi trường chọn ngưỡng khác.</x:v>
      </x:c>
    </x:row>
    <x:row r="222" ht="49" customHeight="1">
      <x:c r="A222" s="3" t="n">
        <x:v>221</x:v>
      </x:c>
      <x:c r="B222" s="3" t="str">
        <x:v>TC_WORD_005</x:v>
      </x:c>
      <x:c r="C222" s="3" t="str">
        <x:v>WORD</x:v>
      </x:c>
      <x:c r="D222" s="3" t="str">
        <x:v>Dung lượng upload</x:v>
      </x:c>
      <x:c r="E222" s="3" t="str">
        <x:v>Dung lượng upload</x:v>
      </x:c>
      <x:c r="F222" s="3" t="str">
        <x:v>Boundary — /api/cms/import-word: 10485759 bytes</x:v>
      </x:c>
      <x:c r="G222" s="3" t="str">
        <x:v>/api/cms/import-word: 10485759 bytes</x:v>
      </x:c>
      <x:c r="H222" s="3" t="str">
        <x:v>NEWS-002</x:v>
      </x:c>
      <x:c r="I222" s="3" t="str">
        <x:v>QTV có quyền tương ứng</x:v>
      </x:c>
      <x:c r="J222" s="3" t="str">
        <x:v>Boundary</x:v>
      </x:c>
      <x:c r="K222" s="3" t="str">
        <x:v>High</x:v>
      </x:c>
      <x:c r="L222" s="3" t="str">
        <x:v>High</x:v>
      </x:c>
      <x:c r="M222" s="3" t="str">
        <x:v>Môi trường QA cô lập, DB/MinIO sẵn sàng; dữ liệu fixture đã tạo. Đăng nhập tài khoản ACTIVE, mustChangePassword=false.</x:v>
      </x:c>
      <x:c r="N222" s="3" t="str">
        <x:v>10485759 bytes; ≥Max−1 dùng file thực hợp lệ + padding hợp lệ. 0/1/2 bytes không thể là file định dạng hợp lệ.</x:v>
      </x:c>
      <x:c r="O222" s="3" t="str">
        <x:v>1. Tạo file có kích thước chính xác 10485759 bytes
2. Gửi multipart tới /api/cms/import-word
3. Đối chiếu response và MinIO</x:v>
      </x:c>
      <x:c r="P222" s="3" t="str">
        <x:v>HTTP 200; tệp hợp lệ tại giới hạn được chấp nhận.</x:v>
      </x:c>
      <x:c r="Q222" s="11" t="str"/>
      <x:c r="R222" s="8" t="str">
        <x:v>NOT RUN</x:v>
      </x:c>
      <x:c r="S222" s="11" t="str">
        <x:v>QA/UAT — cần điền URL/build</x:v>
      </x:c>
      <x:c r="T222" s="11" t="str">
        <x:v>Cần điền phiên bản thực</x:v>
      </x:c>
      <x:c r="U222" s="11" t="str"/>
      <x:c r="V222" s="12" t="str"/>
      <x:c r="W222" s="11" t="str"/>
      <x:c r="X222" s="11" t="str"/>
      <x:c r="Y222" s="3" t="str">
        <x:v>Nguồn: admin/src/app/api/cms/import-word/route.ts. Upload resource giả định STORAGE_MAX_RESOURCE_FILE_MB=25 trên QA; thay bộ biên nếu môi trường chọn ngưỡng khác.</x:v>
      </x:c>
    </x:row>
    <x:row r="223" ht="49" customHeight="1">
      <x:c r="A223" s="3" t="n">
        <x:v>222</x:v>
      </x:c>
      <x:c r="B223" s="3" t="str">
        <x:v>TC_WORD_006</x:v>
      </x:c>
      <x:c r="C223" s="3" t="str">
        <x:v>WORD</x:v>
      </x:c>
      <x:c r="D223" s="3" t="str">
        <x:v>Dung lượng upload</x:v>
      </x:c>
      <x:c r="E223" s="3" t="str">
        <x:v>Dung lượng upload</x:v>
      </x:c>
      <x:c r="F223" s="3" t="str">
        <x:v>Boundary — /api/cms/import-word: 10485760 bytes</x:v>
      </x:c>
      <x:c r="G223" s="3" t="str">
        <x:v>/api/cms/import-word: 10485760 bytes</x:v>
      </x:c>
      <x:c r="H223" s="3" t="str">
        <x:v>NEWS-002</x:v>
      </x:c>
      <x:c r="I223" s="3" t="str">
        <x:v>QTV có quyền tương ứng</x:v>
      </x:c>
      <x:c r="J223" s="3" t="str">
        <x:v>Boundary</x:v>
      </x:c>
      <x:c r="K223" s="3" t="str">
        <x:v>High</x:v>
      </x:c>
      <x:c r="L223" s="3" t="str">
        <x:v>High</x:v>
      </x:c>
      <x:c r="M223" s="3" t="str">
        <x:v>Môi trường QA cô lập, DB/MinIO sẵn sàng; dữ liệu fixture đã tạo. Đăng nhập tài khoản ACTIVE, mustChangePassword=false.</x:v>
      </x:c>
      <x:c r="N223" s="3" t="str">
        <x:v>10485760 bytes; ≥Max−1 dùng file thực hợp lệ + padding hợp lệ. 0/1/2 bytes không thể là file định dạng hợp lệ.</x:v>
      </x:c>
      <x:c r="O223" s="3" t="str">
        <x:v>1. Tạo file có kích thước chính xác 10485760 bytes
2. Gửi multipart tới /api/cms/import-word
3. Đối chiếu response và MinIO</x:v>
      </x:c>
      <x:c r="P223" s="3" t="str">
        <x:v>HTTP 200; tệp hợp lệ tại giới hạn được chấp nhận.</x:v>
      </x:c>
      <x:c r="Q223" s="11" t="str"/>
      <x:c r="R223" s="8" t="str">
        <x:v>NOT RUN</x:v>
      </x:c>
      <x:c r="S223" s="11" t="str">
        <x:v>QA/UAT — cần điền URL/build</x:v>
      </x:c>
      <x:c r="T223" s="11" t="str">
        <x:v>Cần điền phiên bản thực</x:v>
      </x:c>
      <x:c r="U223" s="11" t="str"/>
      <x:c r="V223" s="12" t="str"/>
      <x:c r="W223" s="11" t="str"/>
      <x:c r="X223" s="11" t="str"/>
      <x:c r="Y223" s="3" t="str">
        <x:v>Nguồn: admin/src/app/api/cms/import-word/route.ts. Upload resource giả định STORAGE_MAX_RESOURCE_FILE_MB=25 trên QA; thay bộ biên nếu môi trường chọn ngưỡng khác.</x:v>
      </x:c>
    </x:row>
    <x:row r="224" ht="49" customHeight="1">
      <x:c r="A224" s="3" t="n">
        <x:v>223</x:v>
      </x:c>
      <x:c r="B224" s="3" t="str">
        <x:v>TC_WORD_007</x:v>
      </x:c>
      <x:c r="C224" s="3" t="str">
        <x:v>WORD</x:v>
      </x:c>
      <x:c r="D224" s="3" t="str">
        <x:v>Dung lượng upload</x:v>
      </x:c>
      <x:c r="E224" s="3" t="str">
        <x:v>Dung lượng upload</x:v>
      </x:c>
      <x:c r="F224" s="3" t="str">
        <x:v>Boundary — /api/cms/import-word: 10485761 bytes</x:v>
      </x:c>
      <x:c r="G224" s="3" t="str">
        <x:v>/api/cms/import-word: 10485761 bytes</x:v>
      </x:c>
      <x:c r="H224" s="3" t="str">
        <x:v>NEWS-002</x:v>
      </x:c>
      <x:c r="I224" s="3" t="str">
        <x:v>QTV có quyền tương ứng</x:v>
      </x:c>
      <x:c r="J224" s="3" t="str">
        <x:v>Boundary</x:v>
      </x:c>
      <x:c r="K224" s="3" t="str">
        <x:v>High</x:v>
      </x:c>
      <x:c r="L224" s="3" t="str">
        <x:v>High</x:v>
      </x:c>
      <x:c r="M224" s="3" t="str">
        <x:v>Môi trường QA cô lập, DB/MinIO sẵn sàng; dữ liệu fixture đã tạo. Đăng nhập tài khoản ACTIVE, mustChangePassword=false.</x:v>
      </x:c>
      <x:c r="N224" s="3" t="str">
        <x:v>10485761 bytes; ≥Max−1 dùng file thực hợp lệ + padding hợp lệ. 0/1/2 bytes không thể là file định dạng hợp lệ.</x:v>
      </x:c>
      <x:c r="O224" s="3" t="str">
        <x:v>1. Tạo file có kích thước chính xác 10485761 bytes
2. Gửi multipart tới /api/cms/import-word
3. Đối chiếu response và MinIO</x:v>
      </x:c>
      <x:c r="P224" s="3" t="str">
        <x:v>HTTP 413; không upload object.</x:v>
      </x:c>
      <x:c r="Q224" s="11" t="str"/>
      <x:c r="R224" s="8" t="str">
        <x:v>NOT RUN</x:v>
      </x:c>
      <x:c r="S224" s="11" t="str">
        <x:v>QA/UAT — cần điền URL/build</x:v>
      </x:c>
      <x:c r="T224" s="11" t="str">
        <x:v>Cần điền phiên bản thực</x:v>
      </x:c>
      <x:c r="U224" s="11" t="str"/>
      <x:c r="V224" s="12" t="str"/>
      <x:c r="W224" s="11" t="str"/>
      <x:c r="X224" s="11" t="str"/>
      <x:c r="Y224" s="3" t="str">
        <x:v>Nguồn: admin/src/app/api/cms/import-word/route.ts. Upload resource giả định STORAGE_MAX_RESOURCE_FILE_MB=25 trên QA; thay bộ biên nếu môi trường chọn ngưỡng khác.</x:v>
      </x:c>
    </x:row>
    <x:row r="225" ht="49" customHeight="1">
      <x:c r="A225" s="3" t="n">
        <x:v>224</x:v>
      </x:c>
      <x:c r="B225" s="3" t="str">
        <x:v>TC_UPLOAD_009</x:v>
      </x:c>
      <x:c r="C225" s="3" t="str">
        <x:v>UPLOAD</x:v>
      </x:c>
      <x:c r="D225" s="3" t="str">
        <x:v>Dung lượng upload</x:v>
      </x:c>
      <x:c r="E225" s="3" t="str">
        <x:v>Dung lượng upload</x:v>
      </x:c>
      <x:c r="F225" s="3" t="str">
        <x:v>Boundary — /api/cms/upload-resource: 0 bytes</x:v>
      </x:c>
      <x:c r="G225" s="3" t="str">
        <x:v>/api/cms/upload-resource: 0 bytes</x:v>
      </x:c>
      <x:c r="H225" s="3" t="str">
        <x:v>RES-001</x:v>
      </x:c>
      <x:c r="I225" s="3" t="str">
        <x:v>QTV có quyền tương ứng</x:v>
      </x:c>
      <x:c r="J225" s="3" t="str">
        <x:v>Boundary</x:v>
      </x:c>
      <x:c r="K225" s="3" t="str">
        <x:v>High</x:v>
      </x:c>
      <x:c r="L225" s="3" t="str">
        <x:v>High</x:v>
      </x:c>
      <x:c r="M225" s="3" t="str">
        <x:v>Môi trường QA cô lập, DB/MinIO sẵn sàng; dữ liệu fixture đã tạo. Đăng nhập tài khoản ACTIVE, mustChangePassword=false.</x:v>
      </x:c>
      <x:c r="N225" s="3" t="str">
        <x:v>0 bytes; ≥Max−1 dùng file thực hợp lệ + padding hợp lệ. 0/1/2 bytes không thể là file định dạng hợp lệ.</x:v>
      </x:c>
      <x:c r="O225" s="3" t="str">
        <x:v>1. Tạo file có kích thước chính xác 0 bytes
2. Gửi multipart tới /api/cms/upload-resource
3. Đối chiếu response và MinIO</x:v>
      </x:c>
      <x:c r="P225" s="3" t="str">
        <x:v>HTTP 400 (resource) hoặc 415 (image); Word lỗi được kiểm soát, không lộ stack.</x:v>
      </x:c>
      <x:c r="Q225" s="11" t="str"/>
      <x:c r="R225" s="8" t="str">
        <x:v>NOT RUN</x:v>
      </x:c>
      <x:c r="S225" s="11" t="str">
        <x:v>QA/UAT — cần điền URL/build</x:v>
      </x:c>
      <x:c r="T225" s="11" t="str">
        <x:v>Cần điền phiên bản thực</x:v>
      </x:c>
      <x:c r="U225" s="11" t="str"/>
      <x:c r="V225" s="12" t="str"/>
      <x:c r="W225" s="11" t="str"/>
      <x:c r="X225" s="11" t="str"/>
      <x:c r="Y225" s="3" t="str">
        <x:v>Nguồn: admin/src/app/api/cms/upload-resource/route.ts. Upload resource giả định STORAGE_MAX_RESOURCE_FILE_MB=25 trên QA; thay bộ biên nếu môi trường chọn ngưỡng khác.</x:v>
      </x:c>
    </x:row>
    <x:row r="226" ht="49" customHeight="1">
      <x:c r="A226" s="3" t="n">
        <x:v>225</x:v>
      </x:c>
      <x:c r="B226" s="3" t="str">
        <x:v>TC_UPLOAD_010</x:v>
      </x:c>
      <x:c r="C226" s="3" t="str">
        <x:v>UPLOAD</x:v>
      </x:c>
      <x:c r="D226" s="3" t="str">
        <x:v>Dung lượng upload</x:v>
      </x:c>
      <x:c r="E226" s="3" t="str">
        <x:v>Dung lượng upload</x:v>
      </x:c>
      <x:c r="F226" s="3" t="str">
        <x:v>Boundary — /api/cms/upload-resource: 1 bytes</x:v>
      </x:c>
      <x:c r="G226" s="3" t="str">
        <x:v>/api/cms/upload-resource: 1 bytes</x:v>
      </x:c>
      <x:c r="H226" s="3" t="str">
        <x:v>RES-001</x:v>
      </x:c>
      <x:c r="I226" s="3" t="str">
        <x:v>QTV có quyền tương ứng</x:v>
      </x:c>
      <x:c r="J226" s="3" t="str">
        <x:v>Boundary</x:v>
      </x:c>
      <x:c r="K226" s="3" t="str">
        <x:v>High</x:v>
      </x:c>
      <x:c r="L226" s="3" t="str">
        <x:v>High</x:v>
      </x:c>
      <x:c r="M226" s="3" t="str">
        <x:v>Môi trường QA cô lập, DB/MinIO sẵn sàng; dữ liệu fixture đã tạo. Đăng nhập tài khoản ACTIVE, mustChangePassword=false.</x:v>
      </x:c>
      <x:c r="N226" s="3" t="str">
        <x:v>1 bytes; ≥Max−1 dùng file thực hợp lệ + padding hợp lệ. 0/1/2 bytes không thể là file định dạng hợp lệ.</x:v>
      </x:c>
      <x:c r="O226" s="3" t="str">
        <x:v>1. Tạo file có kích thước chính xác 1 bytes
2. Gửi multipart tới /api/cms/upload-resource
3. Đối chiếu response và MinIO</x:v>
      </x:c>
      <x:c r="P226" s="3" t="str">
        <x:v>HTTP 400 (resource) hoặc 415 (image); Word lỗi được kiểm soát, không lộ stack.</x:v>
      </x:c>
      <x:c r="Q226" s="11" t="str"/>
      <x:c r="R226" s="8" t="str">
        <x:v>NOT RUN</x:v>
      </x:c>
      <x:c r="S226" s="11" t="str">
        <x:v>QA/UAT — cần điền URL/build</x:v>
      </x:c>
      <x:c r="T226" s="11" t="str">
        <x:v>Cần điền phiên bản thực</x:v>
      </x:c>
      <x:c r="U226" s="11" t="str"/>
      <x:c r="V226" s="12" t="str"/>
      <x:c r="W226" s="11" t="str"/>
      <x:c r="X226" s="11" t="str"/>
      <x:c r="Y226" s="3" t="str">
        <x:v>Nguồn: admin/src/app/api/cms/upload-resource/route.ts. Upload resource giả định STORAGE_MAX_RESOURCE_FILE_MB=25 trên QA; thay bộ biên nếu môi trường chọn ngưỡng khác.</x:v>
      </x:c>
    </x:row>
    <x:row r="227" ht="49" customHeight="1">
      <x:c r="A227" s="3" t="n">
        <x:v>226</x:v>
      </x:c>
      <x:c r="B227" s="3" t="str">
        <x:v>TC_UPLOAD_011</x:v>
      </x:c>
      <x:c r="C227" s="3" t="str">
        <x:v>UPLOAD</x:v>
      </x:c>
      <x:c r="D227" s="3" t="str">
        <x:v>Dung lượng upload</x:v>
      </x:c>
      <x:c r="E227" s="3" t="str">
        <x:v>Dung lượng upload</x:v>
      </x:c>
      <x:c r="F227" s="3" t="str">
        <x:v>Boundary — /api/cms/upload-resource: 2 bytes</x:v>
      </x:c>
      <x:c r="G227" s="3" t="str">
        <x:v>/api/cms/upload-resource: 2 bytes</x:v>
      </x:c>
      <x:c r="H227" s="3" t="str">
        <x:v>RES-001</x:v>
      </x:c>
      <x:c r="I227" s="3" t="str">
        <x:v>QTV có quyền tương ứng</x:v>
      </x:c>
      <x:c r="J227" s="3" t="str">
        <x:v>Boundary</x:v>
      </x:c>
      <x:c r="K227" s="3" t="str">
        <x:v>High</x:v>
      </x:c>
      <x:c r="L227" s="3" t="str">
        <x:v>High</x:v>
      </x:c>
      <x:c r="M227" s="3" t="str">
        <x:v>Môi trường QA cô lập, DB/MinIO sẵn sàng; dữ liệu fixture đã tạo. Đăng nhập tài khoản ACTIVE, mustChangePassword=false.</x:v>
      </x:c>
      <x:c r="N227" s="3" t="str">
        <x:v>2 bytes; ≥Max−1 dùng file thực hợp lệ + padding hợp lệ. 0/1/2 bytes không thể là file định dạng hợp lệ.</x:v>
      </x:c>
      <x:c r="O227" s="3" t="str">
        <x:v>1. Tạo file có kích thước chính xác 2 bytes
2. Gửi multipart tới /api/cms/upload-resource
3. Đối chiếu response và MinIO</x:v>
      </x:c>
      <x:c r="P227" s="3" t="str">
        <x:v>HTTP 400 (resource) hoặc 415 (image); Word lỗi được kiểm soát, không lộ stack.</x:v>
      </x:c>
      <x:c r="Q227" s="11" t="str"/>
      <x:c r="R227" s="8" t="str">
        <x:v>NOT RUN</x:v>
      </x:c>
      <x:c r="S227" s="11" t="str">
        <x:v>QA/UAT — cần điền URL/build</x:v>
      </x:c>
      <x:c r="T227" s="11" t="str">
        <x:v>Cần điền phiên bản thực</x:v>
      </x:c>
      <x:c r="U227" s="11" t="str"/>
      <x:c r="V227" s="12" t="str"/>
      <x:c r="W227" s="11" t="str"/>
      <x:c r="X227" s="11" t="str"/>
      <x:c r="Y227" s="3" t="str">
        <x:v>Nguồn: admin/src/app/api/cms/upload-resource/route.ts. Upload resource giả định STORAGE_MAX_RESOURCE_FILE_MB=25 trên QA; thay bộ biên nếu môi trường chọn ngưỡng khác.</x:v>
      </x:c>
    </x:row>
    <x:row r="228" ht="49" customHeight="1">
      <x:c r="A228" s="3" t="n">
        <x:v>227</x:v>
      </x:c>
      <x:c r="B228" s="3" t="str">
        <x:v>TC_UPLOAD_012</x:v>
      </x:c>
      <x:c r="C228" s="3" t="str">
        <x:v>UPLOAD</x:v>
      </x:c>
      <x:c r="D228" s="3" t="str">
        <x:v>Dung lượng upload</x:v>
      </x:c>
      <x:c r="E228" s="3" t="str">
        <x:v>Dung lượng upload</x:v>
      </x:c>
      <x:c r="F228" s="3" t="str">
        <x:v>Boundary — /api/cms/upload-resource: 26214399 bytes</x:v>
      </x:c>
      <x:c r="G228" s="3" t="str">
        <x:v>/api/cms/upload-resource: 26214399 bytes</x:v>
      </x:c>
      <x:c r="H228" s="3" t="str">
        <x:v>RES-001</x:v>
      </x:c>
      <x:c r="I228" s="3" t="str">
        <x:v>QTV có quyền tương ứng</x:v>
      </x:c>
      <x:c r="J228" s="3" t="str">
        <x:v>Boundary</x:v>
      </x:c>
      <x:c r="K228" s="3" t="str">
        <x:v>High</x:v>
      </x:c>
      <x:c r="L228" s="3" t="str">
        <x:v>High</x:v>
      </x:c>
      <x:c r="M228" s="3" t="str">
        <x:v>Môi trường QA cô lập, DB/MinIO sẵn sàng; dữ liệu fixture đã tạo. Đăng nhập tài khoản ACTIVE, mustChangePassword=false.</x:v>
      </x:c>
      <x:c r="N228" s="3" t="str">
        <x:v>26214399 bytes; ≥Max−1 dùng file thực hợp lệ + padding hợp lệ. 0/1/2 bytes không thể là file định dạng hợp lệ.</x:v>
      </x:c>
      <x:c r="O228" s="3" t="str">
        <x:v>1. Tạo file có kích thước chính xác 26214399 bytes
2. Gửi multipart tới /api/cms/upload-resource
3. Đối chiếu response và MinIO</x:v>
      </x:c>
      <x:c r="P228" s="3" t="str">
        <x:v>HTTP 200; tệp hợp lệ tại giới hạn được chấp nhận.</x:v>
      </x:c>
      <x:c r="Q228" s="11" t="str"/>
      <x:c r="R228" s="8" t="str">
        <x:v>NOT RUN</x:v>
      </x:c>
      <x:c r="S228" s="11" t="str">
        <x:v>QA/UAT — cần điền URL/build</x:v>
      </x:c>
      <x:c r="T228" s="11" t="str">
        <x:v>Cần điền phiên bản thực</x:v>
      </x:c>
      <x:c r="U228" s="11" t="str"/>
      <x:c r="V228" s="12" t="str"/>
      <x:c r="W228" s="11" t="str"/>
      <x:c r="X228" s="11" t="str"/>
      <x:c r="Y228" s="3" t="str">
        <x:v>Nguồn: admin/src/app/api/cms/upload-resource/route.ts. Upload resource giả định STORAGE_MAX_RESOURCE_FILE_MB=25 trên QA; thay bộ biên nếu môi trường chọn ngưỡng khác.</x:v>
      </x:c>
    </x:row>
    <x:row r="229" ht="49" customHeight="1">
      <x:c r="A229" s="3" t="n">
        <x:v>228</x:v>
      </x:c>
      <x:c r="B229" s="3" t="str">
        <x:v>TC_UPLOAD_013</x:v>
      </x:c>
      <x:c r="C229" s="3" t="str">
        <x:v>UPLOAD</x:v>
      </x:c>
      <x:c r="D229" s="3" t="str">
        <x:v>Dung lượng upload</x:v>
      </x:c>
      <x:c r="E229" s="3" t="str">
        <x:v>Dung lượng upload</x:v>
      </x:c>
      <x:c r="F229" s="3" t="str">
        <x:v>Boundary — /api/cms/upload-resource: 26214400 bytes</x:v>
      </x:c>
      <x:c r="G229" s="3" t="str">
        <x:v>/api/cms/upload-resource: 26214400 bytes</x:v>
      </x:c>
      <x:c r="H229" s="3" t="str">
        <x:v>RES-001</x:v>
      </x:c>
      <x:c r="I229" s="3" t="str">
        <x:v>QTV có quyền tương ứng</x:v>
      </x:c>
      <x:c r="J229" s="3" t="str">
        <x:v>Boundary</x:v>
      </x:c>
      <x:c r="K229" s="3" t="str">
        <x:v>High</x:v>
      </x:c>
      <x:c r="L229" s="3" t="str">
        <x:v>High</x:v>
      </x:c>
      <x:c r="M229" s="3" t="str">
        <x:v>Môi trường QA cô lập, DB/MinIO sẵn sàng; dữ liệu fixture đã tạo. Đăng nhập tài khoản ACTIVE, mustChangePassword=false.</x:v>
      </x:c>
      <x:c r="N229" s="3" t="str">
        <x:v>26214400 bytes; ≥Max−1 dùng file thực hợp lệ + padding hợp lệ. 0/1/2 bytes không thể là file định dạng hợp lệ.</x:v>
      </x:c>
      <x:c r="O229" s="3" t="str">
        <x:v>1. Tạo file có kích thước chính xác 26214400 bytes
2. Gửi multipart tới /api/cms/upload-resource
3. Đối chiếu response và MinIO</x:v>
      </x:c>
      <x:c r="P229" s="3" t="str">
        <x:v>HTTP 200; tệp hợp lệ tại giới hạn được chấp nhận.</x:v>
      </x:c>
      <x:c r="Q229" s="11" t="str"/>
      <x:c r="R229" s="8" t="str">
        <x:v>NOT RUN</x:v>
      </x:c>
      <x:c r="S229" s="11" t="str">
        <x:v>QA/UAT — cần điền URL/build</x:v>
      </x:c>
      <x:c r="T229" s="11" t="str">
        <x:v>Cần điền phiên bản thực</x:v>
      </x:c>
      <x:c r="U229" s="11" t="str"/>
      <x:c r="V229" s="12" t="str"/>
      <x:c r="W229" s="11" t="str"/>
      <x:c r="X229" s="11" t="str"/>
      <x:c r="Y229" s="3" t="str">
        <x:v>Nguồn: admin/src/app/api/cms/upload-resource/route.ts. Upload resource giả định STORAGE_MAX_RESOURCE_FILE_MB=25 trên QA; thay bộ biên nếu môi trường chọn ngưỡng khác.</x:v>
      </x:c>
    </x:row>
    <x:row r="230" ht="49" customHeight="1">
      <x:c r="A230" s="3" t="n">
        <x:v>229</x:v>
      </x:c>
      <x:c r="B230" s="3" t="str">
        <x:v>TC_UPLOAD_014</x:v>
      </x:c>
      <x:c r="C230" s="3" t="str">
        <x:v>UPLOAD</x:v>
      </x:c>
      <x:c r="D230" s="3" t="str">
        <x:v>Dung lượng upload</x:v>
      </x:c>
      <x:c r="E230" s="3" t="str">
        <x:v>Dung lượng upload</x:v>
      </x:c>
      <x:c r="F230" s="3" t="str">
        <x:v>Boundary — /api/cms/upload-resource: 26214401 bytes</x:v>
      </x:c>
      <x:c r="G230" s="3" t="str">
        <x:v>/api/cms/upload-resource: 26214401 bytes</x:v>
      </x:c>
      <x:c r="H230" s="3" t="str">
        <x:v>RES-001</x:v>
      </x:c>
      <x:c r="I230" s="3" t="str">
        <x:v>QTV có quyền tương ứng</x:v>
      </x:c>
      <x:c r="J230" s="3" t="str">
        <x:v>Boundary</x:v>
      </x:c>
      <x:c r="K230" s="3" t="str">
        <x:v>High</x:v>
      </x:c>
      <x:c r="L230" s="3" t="str">
        <x:v>High</x:v>
      </x:c>
      <x:c r="M230" s="3" t="str">
        <x:v>Môi trường QA cô lập, DB/MinIO sẵn sàng; dữ liệu fixture đã tạo. Đăng nhập tài khoản ACTIVE, mustChangePassword=false.</x:v>
      </x:c>
      <x:c r="N230" s="3" t="str">
        <x:v>26214401 bytes; ≥Max−1 dùng file thực hợp lệ + padding hợp lệ. 0/1/2 bytes không thể là file định dạng hợp lệ.</x:v>
      </x:c>
      <x:c r="O230" s="3" t="str">
        <x:v>1. Tạo file có kích thước chính xác 26214401 bytes
2. Gửi multipart tới /api/cms/upload-resource
3. Đối chiếu response và MinIO</x:v>
      </x:c>
      <x:c r="P230" s="3" t="str">
        <x:v>HTTP 413; không upload object.</x:v>
      </x:c>
      <x:c r="Q230" s="11" t="str"/>
      <x:c r="R230" s="8" t="str">
        <x:v>NOT RUN</x:v>
      </x:c>
      <x:c r="S230" s="11" t="str">
        <x:v>QA/UAT — cần điền URL/build</x:v>
      </x:c>
      <x:c r="T230" s="11" t="str">
        <x:v>Cần điền phiên bản thực</x:v>
      </x:c>
      <x:c r="U230" s="11" t="str"/>
      <x:c r="V230" s="12" t="str"/>
      <x:c r="W230" s="11" t="str"/>
      <x:c r="X230" s="11" t="str"/>
      <x:c r="Y230" s="3" t="str">
        <x:v>Nguồn: admin/src/app/api/cms/upload-resource/route.ts. Upload resource giả định STORAGE_MAX_RESOURCE_FILE_MB=25 trên QA; thay bộ biên nếu môi trường chọn ngưỡng khác.</x:v>
      </x:c>
    </x:row>
    <x:row r="231" ht="62" customHeight="1">
      <x:c r="A231" s="3" t="n">
        <x:v>230</x:v>
      </x:c>
      <x:c r="B231" s="3" t="str">
        <x:v>TC_API_001</x:v>
      </x:c>
      <x:c r="C231" s="3" t="str">
        <x:v>API</x:v>
      </x:c>
      <x:c r="D231" s="3" t="str">
        <x:v>Hợp đồng BACKEND</x:v>
      </x:c>
      <x:c r="E231" s="3" t="str">
        <x:v>Hợp đồng BACKEND</x:v>
      </x:c>
      <x:c r="F231" s="3" t="str">
        <x:v>Positive — GET BACKEND /health hợp lệ</x:v>
      </x:c>
      <x:c r="G231" s="3" t="str">
        <x:v>GET BACKEND /health hợp lệ</x:v>
      </x:c>
      <x:c r="H231" s="3" t="str">
        <x:v>OBS-API</x:v>
      </x:c>
      <x:c r="I231" s="3" t="str">
        <x:v>QTV có quyền tương ứng</x:v>
      </x:c>
      <x:c r="J231" s="3" t="str">
        <x:v>Positive</x:v>
      </x:c>
      <x:c r="K231" s="3" t="str">
        <x:v>High</x:v>
      </x:c>
      <x:c r="L231" s="3" t="str">
        <x:v>High</x:v>
      </x:c>
      <x:c r="M231" s="3" t="str">
        <x:v>Môi trường QA cô lập, DB/MinIO sẵn sàng; dữ liệu fixture đã tạo. Đăng nhập tài khoản ACTIVE, mustChangePassword=false.</x:v>
      </x:c>
      <x:c r="N231" s="3" t="str">
        <x:v>Fixture tương ứng route; tham số mặc định; ID/path hợp lệ trong QA</x:v>
      </x:c>
      <x:c r="O231" s="3" t="str">
        <x:v>1. Chuẩn bị Fixture tương ứng route; tham số mặc định; ID/path hợp lệ trong QA; Origin cùng ADMIN_URL nếu mutation admin
2. Gửi GET BACKEND /health với query/body theo fixture
3. Kiểm tra response và dữ liệu liên quan</x:v>
      </x:c>
      <x:c r="P231" s="3" t="str">
        <x:v>HTTP 200; success=true; data.status="ok"; message là chuỗi.</x:v>
      </x:c>
      <x:c r="Q231" s="11" t="str"/>
      <x:c r="R231" s="8" t="str">
        <x:v>NOT RUN</x:v>
      </x:c>
      <x:c r="S231" s="11" t="str">
        <x:v>QA/UAT — cần điền URL/build</x:v>
      </x:c>
      <x:c r="T231" s="11" t="str">
        <x:v>Cần điền phiên bản thực</x:v>
      </x:c>
      <x:c r="U231" s="11" t="str"/>
      <x:c r="V231" s="12" t="str"/>
      <x:c r="W231" s="11" t="str"/>
      <x:c r="X231" s="11" t="str"/>
      <x:c r="Y231" s="3" t="str">
        <x:v>Nguồn: backend/src/app.ts:24. Đối với proxy CMS giữ nguyên status/body upstream. Thay placeholder bằng ID/object key fixture; GET không gửi body.</x:v>
      </x:c>
    </x:row>
    <x:row r="232" ht="62" customHeight="1">
      <x:c r="A232" s="3" t="n">
        <x:v>231</x:v>
      </x:c>
      <x:c r="B232" s="3" t="str">
        <x:v>TC_API_002</x:v>
      </x:c>
      <x:c r="C232" s="3" t="str">
        <x:v>API</x:v>
      </x:c>
      <x:c r="D232" s="3" t="str">
        <x:v>Hợp đồng BACKEND</x:v>
      </x:c>
      <x:c r="E232" s="3" t="str">
        <x:v>Hợp đồng BACKEND</x:v>
      </x:c>
      <x:c r="F232" s="3" t="str">
        <x:v>Positive — GET BACKEND /ready hợp lệ</x:v>
      </x:c>
      <x:c r="G232" s="3" t="str">
        <x:v>GET BACKEND /ready hợp lệ</x:v>
      </x:c>
      <x:c r="H232" s="3" t="str">
        <x:v>OBS-API</x:v>
      </x:c>
      <x:c r="I232" s="3" t="str">
        <x:v>QTV có quyền tương ứng</x:v>
      </x:c>
      <x:c r="J232" s="3" t="str">
        <x:v>Positive</x:v>
      </x:c>
      <x:c r="K232" s="3" t="str">
        <x:v>High</x:v>
      </x:c>
      <x:c r="L232" s="3" t="str">
        <x:v>High</x:v>
      </x:c>
      <x:c r="M232" s="3" t="str">
        <x:v>Môi trường QA cô lập, DB/MinIO sẵn sàng; dữ liệu fixture đã tạo. Đăng nhập tài khoản ACTIVE, mustChangePassword=false.</x:v>
      </x:c>
      <x:c r="N232" s="3" t="str">
        <x:v>Fixture tương ứng route; tham số mặc định; ID/path hợp lệ trong QA</x:v>
      </x:c>
      <x:c r="O232" s="3" t="str">
        <x:v>1. Chuẩn bị Fixture tương ứng route; tham số mặc định; ID/path hợp lệ trong QA; Origin cùng ADMIN_URL nếu mutation admin
2. Gửi GET BACKEND /ready với query/body theo fixture
3. Kiểm tra response và dữ liệu liên quan</x:v>
      </x:c>
      <x:c r="P232" s="3" t="str">
        <x:v>HTTP 200; success=true; data.database="ready"; message là chuỗi.</x:v>
      </x:c>
      <x:c r="Q232" s="11" t="str"/>
      <x:c r="R232" s="8" t="str">
        <x:v>NOT RUN</x:v>
      </x:c>
      <x:c r="S232" s="11" t="str">
        <x:v>QA/UAT — cần điền URL/build</x:v>
      </x:c>
      <x:c r="T232" s="11" t="str">
        <x:v>Cần điền phiên bản thực</x:v>
      </x:c>
      <x:c r="U232" s="11" t="str"/>
      <x:c r="V232" s="12" t="str"/>
      <x:c r="W232" s="11" t="str"/>
      <x:c r="X232" s="11" t="str"/>
      <x:c r="Y232" s="3" t="str">
        <x:v>Nguồn: backend/src/app.ts:25. Đối với proxy CMS giữ nguyên status/body upstream. Thay placeholder bằng ID/object key fixture; GET không gửi body.</x:v>
      </x:c>
    </x:row>
    <x:row r="233" ht="49" customHeight="1">
      <x:c r="A233" s="3" t="n">
        <x:v>232</x:v>
      </x:c>
      <x:c r="B233" s="3" t="str">
        <x:v>TC_API_003</x:v>
      </x:c>
      <x:c r="C233" s="3" t="str">
        <x:v>API</x:v>
      </x:c>
      <x:c r="D233" s="3" t="str">
        <x:v>Hợp đồng BACKEND</x:v>
      </x:c>
      <x:c r="E233" s="3" t="str">
        <x:v>Hợp đồng BACKEND</x:v>
      </x:c>
      <x:c r="F233" s="3" t="str">
        <x:v>Positive — POST BACKEND /api/admin/auth/login hợp lệ</x:v>
      </x:c>
      <x:c r="G233" s="3" t="str">
        <x:v>POST BACKEND /api/admin/auth/login hợp lệ</x:v>
      </x:c>
      <x:c r="H233" s="3" t="str">
        <x:v>OBS-API</x:v>
      </x:c>
      <x:c r="I233" s="3" t="str">
        <x:v>QTV có quyền tương ứng</x:v>
      </x:c>
      <x:c r="J233" s="3" t="str">
        <x:v>Positive</x:v>
      </x:c>
      <x:c r="K233" s="3" t="str">
        <x:v>High</x:v>
      </x:c>
      <x:c r="L233" s="3" t="str">
        <x:v>High</x:v>
      </x:c>
      <x:c r="M233" s="3" t="str">
        <x:v>Môi trường QA cô lập, DB/MinIO sẵn sàng; dữ liệu fixture đã tạo. Đăng nhập tài khoản ACTIVE, mustChangePassword=false.</x:v>
      </x:c>
      <x:c r="N233" s="3" t="str">
        <x:v>LOGIN</x:v>
      </x:c>
      <x:c r="O233" s="3" t="str">
        <x:v>1. Chuẩn bị LOGIN; Origin cùng ADMIN_URL nếu mutation admin
2. Gửi POST BACKEND /api/admin/auth/login với query/body theo fixture
3. Kiểm tra response và dữ liệu liên quan</x:v>
      </x:c>
      <x:c r="P233" s="3" t="str">
        <x:v>HTTP 200; success=true; data.admin={id,username,fullName,role}; data.redirectTo=/admin/dashboard với mustChangePassword=false; cookie HttpOnly; message là chuỗi.</x:v>
      </x:c>
      <x:c r="Q233" s="11" t="str"/>
      <x:c r="R233" s="8" t="str">
        <x:v>NOT RUN</x:v>
      </x:c>
      <x:c r="S233" s="11" t="str">
        <x:v>QA/UAT — cần điền URL/build</x:v>
      </x:c>
      <x:c r="T233" s="11" t="str">
        <x:v>Cần điền phiên bản thực</x:v>
      </x:c>
      <x:c r="U233" s="11" t="str"/>
      <x:c r="V233" s="12" t="str"/>
      <x:c r="W233" s="11" t="str"/>
      <x:c r="X233" s="11" t="str"/>
      <x:c r="Y233" s="3" t="str">
        <x:v>Nguồn: backend/src/modules/auth/auth.routes.ts:10. Đối với proxy CMS giữ nguyên status/body upstream. Thay placeholder bằng ID/object key fixture; GET không gửi body.</x:v>
      </x:c>
    </x:row>
    <x:row r="234" ht="49" customHeight="1">
      <x:c r="A234" s="3" t="n">
        <x:v>233</x:v>
      </x:c>
      <x:c r="B234" s="3" t="str">
        <x:v>TC_API_004</x:v>
      </x:c>
      <x:c r="C234" s="3" t="str">
        <x:v>API</x:v>
      </x:c>
      <x:c r="D234" s="3" t="str">
        <x:v>Payload lỗi</x:v>
      </x:c>
      <x:c r="E234" s="3" t="str">
        <x:v>Payload lỗi</x:v>
      </x:c>
      <x:c r="F234" s="3" t="str">
        <x:v>Negative — POST BACKEND /api/admin/auth/login JSON hỏng</x:v>
      </x:c>
      <x:c r="G234" s="3" t="str">
        <x:v>POST BACKEND /api/admin/auth/login JSON hỏng</x:v>
      </x:c>
      <x:c r="H234" s="3" t="str">
        <x:v>OBS-API</x:v>
      </x:c>
      <x:c r="I234" s="3" t="str">
        <x:v>QTV có quyền tương ứng</x:v>
      </x:c>
      <x:c r="J234" s="3" t="str">
        <x:v>Negative</x:v>
      </x:c>
      <x:c r="K234" s="3" t="str">
        <x:v>Medium</x:v>
      </x:c>
      <x:c r="L234" s="3" t="str">
        <x:v>Medium</x:v>
      </x:c>
      <x:c r="M234" s="3" t="str">
        <x:v>Môi trường QA cô lập, DB/MinIO sẵn sàng; dữ liệu fixture đã tạo. Đăng nhập tài khoản ACTIVE, mustChangePassword=false.</x:v>
      </x:c>
      <x:c r="N234" s="3" t="str">
        <x:v>{"qa":</x:v>
      </x:c>
      <x:c r="O234" s="3" t="str">
        <x:v>1. Đặt Content-Type application/json
2. Gửi POST BACKEND /api/admin/auth/login với body {"qa":
3. Kiểm tra response</x:v>
      </x:c>
      <x:c r="P234" s="3" t="str">
        <x:v>Không xử lý mutation; lỗi HTTP 400 kỳ vọng; không lộ stack/SQL. Nếu route trả 500 ghi defect.</x:v>
      </x:c>
      <x:c r="Q234" s="11" t="str"/>
      <x:c r="R234" s="8" t="str">
        <x:v>NOT RUN</x:v>
      </x:c>
      <x:c r="S234" s="11" t="str">
        <x:v>QA/UAT — cần điền URL/build</x:v>
      </x:c>
      <x:c r="T234" s="11" t="str">
        <x:v>Cần điền phiên bản thực</x:v>
      </x:c>
      <x:c r="U234" s="11" t="str"/>
      <x:c r="V234" s="12" t="str"/>
      <x:c r="W234" s="11" t="str"/>
      <x:c r="X234" s="11" t="str"/>
      <x:c r="Y234" s="3" t="str">
        <x:v>Nguồn: backend/src/modules/auth/auth.routes.ts:10. </x:v>
      </x:c>
    </x:row>
    <x:row r="235" ht="62" customHeight="1">
      <x:c r="A235" s="3" t="n">
        <x:v>234</x:v>
      </x:c>
      <x:c r="B235" s="3" t="str">
        <x:v>TC_API_005</x:v>
      </x:c>
      <x:c r="C235" s="3" t="str">
        <x:v>API</x:v>
      </x:c>
      <x:c r="D235" s="3" t="str">
        <x:v>Hợp đồng BACKEND</x:v>
      </x:c>
      <x:c r="E235" s="3" t="str">
        <x:v>Hợp đồng BACKEND</x:v>
      </x:c>
      <x:c r="F235" s="3" t="str">
        <x:v>Positive — GET BACKEND /api/admin/auth/me hợp lệ</x:v>
      </x:c>
      <x:c r="G235" s="3" t="str">
        <x:v>GET BACKEND /api/admin/auth/me hợp lệ</x:v>
      </x:c>
      <x:c r="H235" s="3" t="str">
        <x:v>OBS-API</x:v>
      </x:c>
      <x:c r="I235" s="3" t="str">
        <x:v>QTV có quyền tương ứng</x:v>
      </x:c>
      <x:c r="J235" s="3" t="str">
        <x:v>Positive</x:v>
      </x:c>
      <x:c r="K235" s="3" t="str">
        <x:v>High</x:v>
      </x:c>
      <x:c r="L235" s="3" t="str">
        <x:v>High</x:v>
      </x:c>
      <x:c r="M235" s="3" t="str">
        <x:v>Môi trường QA cô lập, DB/MinIO sẵn sàng; dữ liệu fixture đã tạo. Đăng nhập tài khoản ACTIVE, mustChangePassword=false.</x:v>
      </x:c>
      <x:c r="N235" s="3" t="str">
        <x:v>Fixture tương ứng route; tham số mặc định; ID/path hợp lệ trong QA</x:v>
      </x:c>
      <x:c r="O235" s="3" t="str">
        <x:v>1. Chuẩn bị Fixture tương ứng route; tham số mặc định; ID/path hợp lệ trong QA; Origin cùng ADMIN_URL nếu mutation admin
2. Gửi GET BACKEND /api/admin/auth/me với query/body theo fixture
3. Kiểm tra response và dữ liệu liên quan</x:v>
      </x:c>
      <x:c r="P235" s="3" t="str">
        <x:v>HTTP 200; success=true; data={id,username,fullName,email,phone,mustChangePassword,role:{code,name},permissions}; message là chuỗi.</x:v>
      </x:c>
      <x:c r="Q235" s="11" t="str"/>
      <x:c r="R235" s="8" t="str">
        <x:v>NOT RUN</x:v>
      </x:c>
      <x:c r="S235" s="11" t="str">
        <x:v>QA/UAT — cần điền URL/build</x:v>
      </x:c>
      <x:c r="T235" s="11" t="str">
        <x:v>Cần điền phiên bản thực</x:v>
      </x:c>
      <x:c r="U235" s="11" t="str"/>
      <x:c r="V235" s="12" t="str"/>
      <x:c r="W235" s="11" t="str"/>
      <x:c r="X235" s="11" t="str"/>
      <x:c r="Y235" s="3" t="str">
        <x:v>Nguồn: backend/src/modules/auth/auth.routes.ts:19. Đối với proxy CMS giữ nguyên status/body upstream. Thay placeholder bằng ID/object key fixture; GET không gửi body.</x:v>
      </x:c>
    </x:row>
    <x:row r="236" ht="75" customHeight="1">
      <x:c r="A236" s="3" t="n">
        <x:v>235</x:v>
      </x:c>
      <x:c r="B236" s="3" t="str">
        <x:v>TC_API_006</x:v>
      </x:c>
      <x:c r="C236" s="3" t="str">
        <x:v>API</x:v>
      </x:c>
      <x:c r="D236" s="3" t="str">
        <x:v>Hợp đồng BACKEND</x:v>
      </x:c>
      <x:c r="E236" s="3" t="str">
        <x:v>Hợp đồng BACKEND</x:v>
      </x:c>
      <x:c r="F236" s="3" t="str">
        <x:v>Positive — POST BACKEND /api/admin/auth/logout hợp lệ</x:v>
      </x:c>
      <x:c r="G236" s="3" t="str">
        <x:v>POST BACKEND /api/admin/auth/logout hợp lệ</x:v>
      </x:c>
      <x:c r="H236" s="3" t="str">
        <x:v>OBS-API</x:v>
      </x:c>
      <x:c r="I236" s="3" t="str">
        <x:v>QTV có quyền tương ứng</x:v>
      </x:c>
      <x:c r="J236" s="3" t="str">
        <x:v>Positive</x:v>
      </x:c>
      <x:c r="K236" s="3" t="str">
        <x:v>High</x:v>
      </x:c>
      <x:c r="L236" s="3" t="str">
        <x:v>High</x:v>
      </x:c>
      <x:c r="M236" s="3" t="str">
        <x:v>Môi trường QA cô lập, DB/MinIO sẵn sàng; dữ liệu fixture đã tạo. Đăng nhập tài khoản ACTIVE, mustChangePassword=false.</x:v>
      </x:c>
      <x:c r="N236" s="3" t="str">
        <x:v>Fixture tương ứng route; tham số mặc định; ID/path hợp lệ trong QA</x:v>
      </x:c>
      <x:c r="O236" s="3" t="str">
        <x:v>1. Chuẩn bị Fixture tương ứng route; tham số mặc định; ID/path hợp lệ trong QA; Origin cùng ADMIN_URL nếu mutation admin
2. Gửi POST BACKEND /api/admin/auth/logout với query/body theo fixture
3. Kiểm tra response và dữ liệu liên quan</x:v>
      </x:c>
      <x:c r="P236" s="3" t="str">
        <x:v>HTTP 200; success=true; data=null; cookie được xóa và session hiện tại thu hồi; message là chuỗi.</x:v>
      </x:c>
      <x:c r="Q236" s="11" t="str"/>
      <x:c r="R236" s="8" t="str">
        <x:v>NOT RUN</x:v>
      </x:c>
      <x:c r="S236" s="11" t="str">
        <x:v>QA/UAT — cần điền URL/build</x:v>
      </x:c>
      <x:c r="T236" s="11" t="str">
        <x:v>Cần điền phiên bản thực</x:v>
      </x:c>
      <x:c r="U236" s="11" t="str"/>
      <x:c r="V236" s="12" t="str"/>
      <x:c r="W236" s="11" t="str"/>
      <x:c r="X236" s="11" t="str"/>
      <x:c r="Y236" s="3" t="str">
        <x:v>Nguồn: backend/src/modules/auth/auth.routes.ts:25. Đối với proxy CMS giữ nguyên status/body upstream. Thay placeholder bằng ID/object key fixture; GET không gửi body.</x:v>
      </x:c>
    </x:row>
    <x:row r="237" ht="62" customHeight="1">
      <x:c r="A237" s="3" t="n">
        <x:v>236</x:v>
      </x:c>
      <x:c r="B237" s="3" t="str">
        <x:v>TC_API_007</x:v>
      </x:c>
      <x:c r="C237" s="3" t="str">
        <x:v>API</x:v>
      </x:c>
      <x:c r="D237" s="3" t="str">
        <x:v>Hợp đồng BACKEND</x:v>
      </x:c>
      <x:c r="E237" s="3" t="str">
        <x:v>Hợp đồng BACKEND</x:v>
      </x:c>
      <x:c r="F237" s="3" t="str">
        <x:v>Positive — GET BACKEND /api/public/media/* hợp lệ</x:v>
      </x:c>
      <x:c r="G237" s="3" t="str">
        <x:v>GET BACKEND /api/public/media/* hợp lệ</x:v>
      </x:c>
      <x:c r="H237" s="3" t="str">
        <x:v>OBS-API</x:v>
      </x:c>
      <x:c r="I237" s="3" t="str">
        <x:v>QTV có quyền tương ứng</x:v>
      </x:c>
      <x:c r="J237" s="3" t="str">
        <x:v>Positive</x:v>
      </x:c>
      <x:c r="K237" s="3" t="str">
        <x:v>High</x:v>
      </x:c>
      <x:c r="L237" s="3" t="str">
        <x:v>High</x:v>
      </x:c>
      <x:c r="M237" s="3" t="str">
        <x:v>Môi trường QA cô lập, DB/MinIO sẵn sàng; dữ liệu fixture đã tạo. Đăng nhập tài khoản ACTIVE, mustChangePassword=false.</x:v>
      </x:c>
      <x:c r="N237" s="3" t="str">
        <x:v>Fixture tương ứng route; tham số mặc định; ID/path hợp lệ trong QA</x:v>
      </x:c>
      <x:c r="O237" s="3" t="str">
        <x:v>1. Chuẩn bị Fixture tương ứng route; tham số mặc định; ID/path hợp lệ trong QA; Origin cùng ADMIN_URL nếu mutation admin
2. Gửi GET BACKEND /api/public/media/* với query/body theo fixture
3. Kiểm tra response và dữ liệu liên quan</x:v>
      </x:c>
      <x:c r="P237" s="3" t="str">
        <x:v>HTTP 200; Body nhị phân khớp SHA256 fixture; Content-Type và Content-Length phù hợp.</x:v>
      </x:c>
      <x:c r="Q237" s="11" t="str"/>
      <x:c r="R237" s="8" t="str">
        <x:v>NOT RUN</x:v>
      </x:c>
      <x:c r="S237" s="11" t="str">
        <x:v>QA/UAT — cần điền URL/build</x:v>
      </x:c>
      <x:c r="T237" s="11" t="str">
        <x:v>Cần điền phiên bản thực</x:v>
      </x:c>
      <x:c r="U237" s="11" t="str"/>
      <x:c r="V237" s="12" t="str"/>
      <x:c r="W237" s="11" t="str"/>
      <x:c r="X237" s="11" t="str"/>
      <x:c r="Y237" s="3" t="str">
        <x:v>Nguồn: backend/src/modules/cms/cms.routes.ts:127. Đối với proxy CMS giữ nguyên status/body upstream. Thay placeholder bằng ID/object key fixture; GET không gửi body.</x:v>
      </x:c>
    </x:row>
    <x:row r="238" ht="49" customHeight="1">
      <x:c r="A238" s="3" t="n">
        <x:v>237</x:v>
      </x:c>
      <x:c r="B238" s="3" t="str">
        <x:v>TC_API_008</x:v>
      </x:c>
      <x:c r="C238" s="3" t="str">
        <x:v>API</x:v>
      </x:c>
      <x:c r="D238" s="3" t="str">
        <x:v>Hợp đồng BACKEND</x:v>
      </x:c>
      <x:c r="E238" s="3" t="str">
        <x:v>Hợp đồng BACKEND</x:v>
      </x:c>
      <x:c r="F238" s="3" t="str">
        <x:v>Positive — GET BACKEND /api/public/news hợp lệ</x:v>
      </x:c>
      <x:c r="G238" s="3" t="str">
        <x:v>GET BACKEND /api/public/news hợp lệ</x:v>
      </x:c>
      <x:c r="H238" s="3" t="str">
        <x:v>OBS-API</x:v>
      </x:c>
      <x:c r="I238" s="3" t="str">
        <x:v>QTV có quyền tương ứng</x:v>
      </x:c>
      <x:c r="J238" s="3" t="str">
        <x:v>Positive</x:v>
      </x:c>
      <x:c r="K238" s="3" t="str">
        <x:v>High</x:v>
      </x:c>
      <x:c r="L238" s="3" t="str">
        <x:v>High</x:v>
      </x:c>
      <x:c r="M238" s="3" t="str">
        <x:v>Môi trường QA cô lập, DB/MinIO sẵn sàng; dữ liệu fixture đã tạo. Đăng nhập tài khoản ACTIVE, mustChangePassword=false.</x:v>
      </x:c>
      <x:c r="N238" s="3" t="str">
        <x:v>NEWS</x:v>
      </x:c>
      <x:c r="O238" s="3" t="str">
        <x:v>1. Chuẩn bị NEWS; Origin cùng ADMIN_URL nếu mutation admin
2. Gửi GET BACKEND /api/public/news với query/body theo fixture
3. Kiểm tra response và dữ liệu liên quan</x:v>
      </x:c>
      <x:c r="P238" s="3" t="str">
        <x:v>HTTP 200; success=true; data.posts là array; data.pagination={page,limit,total,totalPages}; message là chuỗi.</x:v>
      </x:c>
      <x:c r="Q238" s="11" t="str"/>
      <x:c r="R238" s="8" t="str">
        <x:v>NOT RUN</x:v>
      </x:c>
      <x:c r="S238" s="11" t="str">
        <x:v>QA/UAT — cần điền URL/build</x:v>
      </x:c>
      <x:c r="T238" s="11" t="str">
        <x:v>Cần điền phiên bản thực</x:v>
      </x:c>
      <x:c r="U238" s="11" t="str"/>
      <x:c r="V238" s="12" t="str"/>
      <x:c r="W238" s="11" t="str"/>
      <x:c r="X238" s="11" t="str"/>
      <x:c r="Y238" s="3" t="str">
        <x:v>Nguồn: backend/src/modules/cms/cms.routes.ts:141. Đối với proxy CMS giữ nguyên status/body upstream. Thay placeholder bằng ID/object key fixture; GET không gửi body.</x:v>
      </x:c>
    </x:row>
    <x:row r="239" ht="49" customHeight="1">
      <x:c r="A239" s="3" t="n">
        <x:v>238</x:v>
      </x:c>
      <x:c r="B239" s="3" t="str">
        <x:v>TC_API_009</x:v>
      </x:c>
      <x:c r="C239" s="3" t="str">
        <x:v>API</x:v>
      </x:c>
      <x:c r="D239" s="3" t="str">
        <x:v>Hợp đồng BACKEND</x:v>
      </x:c>
      <x:c r="E239" s="3" t="str">
        <x:v>Hợp đồng BACKEND</x:v>
      </x:c>
      <x:c r="F239" s="3" t="str">
        <x:v>Positive — GET BACKEND /api/public/news/:slug hợp lệ</x:v>
      </x:c>
      <x:c r="G239" s="3" t="str">
        <x:v>GET BACKEND /api/public/news/:slug hợp lệ</x:v>
      </x:c>
      <x:c r="H239" s="3" t="str">
        <x:v>OBS-API</x:v>
      </x:c>
      <x:c r="I239" s="3" t="str">
        <x:v>QTV có quyền tương ứng</x:v>
      </x:c>
      <x:c r="J239" s="3" t="str">
        <x:v>Positive</x:v>
      </x:c>
      <x:c r="K239" s="3" t="str">
        <x:v>High</x:v>
      </x:c>
      <x:c r="L239" s="3" t="str">
        <x:v>High</x:v>
      </x:c>
      <x:c r="M239" s="3" t="str">
        <x:v>Môi trường QA cô lập, DB/MinIO sẵn sàng; dữ liệu fixture đã tạo. Đăng nhập tài khoản ACTIVE, mustChangePassword=false.</x:v>
      </x:c>
      <x:c r="N239" s="3" t="str">
        <x:v>NEWS</x:v>
      </x:c>
      <x:c r="O239" s="3" t="str">
        <x:v>1. Chuẩn bị NEWS; Origin cùng ADMIN_URL nếu mutation admin
2. Gửi GET BACKEND /api/public/news/:slug với query/body theo fixture
3. Kiểm tra response và dữ liệu liên quan</x:v>
      </x:c>
      <x:c r="P239" s="3" t="str">
        <x:v>HTTP 200; success=true; data.post có id/slug/title/locale/category/content/status/authorId; message là chuỗi.</x:v>
      </x:c>
      <x:c r="Q239" s="11" t="str"/>
      <x:c r="R239" s="8" t="str">
        <x:v>NOT RUN</x:v>
      </x:c>
      <x:c r="S239" s="11" t="str">
        <x:v>QA/UAT — cần điền URL/build</x:v>
      </x:c>
      <x:c r="T239" s="11" t="str">
        <x:v>Cần điền phiên bản thực</x:v>
      </x:c>
      <x:c r="U239" s="11" t="str"/>
      <x:c r="V239" s="12" t="str"/>
      <x:c r="W239" s="11" t="str"/>
      <x:c r="X239" s="11" t="str"/>
      <x:c r="Y239" s="3" t="str">
        <x:v>Nguồn: backend/src/modules/cms/cms.routes.ts:150. Đối với proxy CMS giữ nguyên status/body upstream. Thay placeholder bằng ID/object key fixture; GET không gửi body.</x:v>
      </x:c>
    </x:row>
    <x:row r="240" ht="49" customHeight="1">
      <x:c r="A240" s="3" t="n">
        <x:v>239</x:v>
      </x:c>
      <x:c r="B240" s="3" t="str">
        <x:v>TC_API_010</x:v>
      </x:c>
      <x:c r="C240" s="3" t="str">
        <x:v>API</x:v>
      </x:c>
      <x:c r="D240" s="3" t="str">
        <x:v>Hợp đồng BACKEND</x:v>
      </x:c>
      <x:c r="E240" s="3" t="str">
        <x:v>Hợp đồng BACKEND</x:v>
      </x:c>
      <x:c r="F240" s="3" t="str">
        <x:v>Positive — GET BACKEND /api/public/resources hợp lệ</x:v>
      </x:c>
      <x:c r="G240" s="3" t="str">
        <x:v>GET BACKEND /api/public/resources hợp lệ</x:v>
      </x:c>
      <x:c r="H240" s="3" t="str">
        <x:v>OBS-API</x:v>
      </x:c>
      <x:c r="I240" s="3" t="str">
        <x:v>QTV có quyền tương ứng</x:v>
      </x:c>
      <x:c r="J240" s="3" t="str">
        <x:v>Positive</x:v>
      </x:c>
      <x:c r="K240" s="3" t="str">
        <x:v>High</x:v>
      </x:c>
      <x:c r="L240" s="3" t="str">
        <x:v>High</x:v>
      </x:c>
      <x:c r="M240" s="3" t="str">
        <x:v>Môi trường QA cô lập, DB/MinIO sẵn sàng; dữ liệu fixture đã tạo. Đăng nhập tài khoản ACTIVE, mustChangePassword=false.</x:v>
      </x:c>
      <x:c r="N240" s="3" t="str">
        <x:v>RESOURCE</x:v>
      </x:c>
      <x:c r="O240" s="3" t="str">
        <x:v>1. Chuẩn bị RESOURCE; Origin cùng ADMIN_URL nếu mutation admin
2. Gửi GET BACKEND /api/public/resources với query/body theo fixture
3. Kiểm tra response và dữ liệu liên quan</x:v>
      </x:c>
      <x:c r="P240" s="3" t="str">
        <x:v>HTTP 200; success=true; data.resources là array, mỗi dòng có category; chỉ status PUBLISHED; message là chuỗi.</x:v>
      </x:c>
      <x:c r="Q240" s="11" t="str"/>
      <x:c r="R240" s="8" t="str">
        <x:v>NOT RUN</x:v>
      </x:c>
      <x:c r="S240" s="11" t="str">
        <x:v>QA/UAT — cần điền URL/build</x:v>
      </x:c>
      <x:c r="T240" s="11" t="str">
        <x:v>Cần điền phiên bản thực</x:v>
      </x:c>
      <x:c r="U240" s="11" t="str"/>
      <x:c r="V240" s="12" t="str"/>
      <x:c r="W240" s="11" t="str"/>
      <x:c r="X240" s="11" t="str"/>
      <x:c r="Y240" s="3" t="str">
        <x:v>Nguồn: backend/src/modules/cms/cms.routes.ts:156. Đối với proxy CMS giữ nguyên status/body upstream. Thay placeholder bằng ID/object key fixture; GET không gửi body.</x:v>
      </x:c>
    </x:row>
    <x:row r="241" ht="62" customHeight="1">
      <x:c r="A241" s="3" t="n">
        <x:v>240</x:v>
      </x:c>
      <x:c r="B241" s="3" t="str">
        <x:v>TC_API_011</x:v>
      </x:c>
      <x:c r="C241" s="3" t="str">
        <x:v>API</x:v>
      </x:c>
      <x:c r="D241" s="3" t="str">
        <x:v>Hợp đồng BACKEND</x:v>
      </x:c>
      <x:c r="E241" s="3" t="str">
        <x:v>Hợp đồng BACKEND</x:v>
      </x:c>
      <x:c r="F241" s="3" t="str">
        <x:v>Positive — GET BACKEND /api/public/site-content hợp lệ</x:v>
      </x:c>
      <x:c r="G241" s="3" t="str">
        <x:v>GET BACKEND /api/public/site-content hợp lệ</x:v>
      </x:c>
      <x:c r="H241" s="3" t="str">
        <x:v>OBS-API</x:v>
      </x:c>
      <x:c r="I241" s="3" t="str">
        <x:v>QTV có quyền tương ứng</x:v>
      </x:c>
      <x:c r="J241" s="3" t="str">
        <x:v>Positive</x:v>
      </x:c>
      <x:c r="K241" s="3" t="str">
        <x:v>High</x:v>
      </x:c>
      <x:c r="L241" s="3" t="str">
        <x:v>High</x:v>
      </x:c>
      <x:c r="M241" s="3" t="str">
        <x:v>Môi trường QA cô lập, DB/MinIO sẵn sàng; dữ liệu fixture đã tạo. Đăng nhập tài khoản ACTIVE, mustChangePassword=false.</x:v>
      </x:c>
      <x:c r="N241" s="3" t="str">
        <x:v>SITE</x:v>
      </x:c>
      <x:c r="O241" s="3" t="str">
        <x:v>1. Chuẩn bị SITE; Origin cùng ADMIN_URL nếu mutation admin
2. Gửi GET BACKEND /api/public/site-content với query/body theo fixture
3. Kiểm tra response và dữ liệu liên quan</x:v>
      </x:c>
      <x:c r="P241" s="3" t="str">
        <x:v>HTTP 200; success=true; data.contents là array; message là chuỗi.</x:v>
      </x:c>
      <x:c r="Q241" s="11" t="str"/>
      <x:c r="R241" s="8" t="str">
        <x:v>NOT RUN</x:v>
      </x:c>
      <x:c r="S241" s="11" t="str">
        <x:v>QA/UAT — cần điền URL/build</x:v>
      </x:c>
      <x:c r="T241" s="11" t="str">
        <x:v>Cần điền phiên bản thực</x:v>
      </x:c>
      <x:c r="U241" s="11" t="str"/>
      <x:c r="V241" s="12" t="str"/>
      <x:c r="W241" s="11" t="str"/>
      <x:c r="X241" s="11" t="str"/>
      <x:c r="Y241" s="3" t="str">
        <x:v>Nguồn: backend/src/modules/cms/cms.routes.ts:157. Đối với proxy CMS giữ nguyên status/body upstream. Thay placeholder bằng ID/object key fixture; GET không gửi body.</x:v>
      </x:c>
    </x:row>
    <x:row r="242" ht="49" customHeight="1">
      <x:c r="A242" s="3" t="n">
        <x:v>241</x:v>
      </x:c>
      <x:c r="B242" s="3" t="str">
        <x:v>TC_API_012</x:v>
      </x:c>
      <x:c r="C242" s="3" t="str">
        <x:v>API</x:v>
      </x:c>
      <x:c r="D242" s="3" t="str">
        <x:v>Hợp đồng BACKEND</x:v>
      </x:c>
      <x:c r="E242" s="3" t="str">
        <x:v>Hợp đồng BACKEND</x:v>
      </x:c>
      <x:c r="F242" s="3" t="str">
        <x:v>Positive — POST BACKEND /api/public/visits hợp lệ</x:v>
      </x:c>
      <x:c r="G242" s="3" t="str">
        <x:v>POST BACKEND /api/public/visits hợp lệ</x:v>
      </x:c>
      <x:c r="H242" s="3" t="str">
        <x:v>OBS-API</x:v>
      </x:c>
      <x:c r="I242" s="3" t="str">
        <x:v>QTV có quyền tương ứng</x:v>
      </x:c>
      <x:c r="J242" s="3" t="str">
        <x:v>Positive</x:v>
      </x:c>
      <x:c r="K242" s="3" t="str">
        <x:v>High</x:v>
      </x:c>
      <x:c r="L242" s="3" t="str">
        <x:v>High</x:v>
      </x:c>
      <x:c r="M242" s="3" t="str">
        <x:v>Môi trường QA cô lập, DB/MinIO sẵn sàng; dữ liệu fixture đã tạo. Đăng nhập tài khoản ACTIVE, mustChangePassword=false.</x:v>
      </x:c>
      <x:c r="N242" s="3" t="str">
        <x:v>VISIT</x:v>
      </x:c>
      <x:c r="O242" s="3" t="str">
        <x:v>1. Chuẩn bị VISIT; Origin cùng ADMIN_URL nếu mutation admin
2. Gửi POST BACKEND /api/public/visits với query/body theo fixture
3. Kiểm tra response và dữ liệu liên quan</x:v>
      </x:c>
      <x:c r="P242" s="3" t="str">
        <x:v>HTTP 201; success=true; data={}; một PageVisit được tạo; message là chuỗi.</x:v>
      </x:c>
      <x:c r="Q242" s="11" t="str"/>
      <x:c r="R242" s="8" t="str">
        <x:v>NOT RUN</x:v>
      </x:c>
      <x:c r="S242" s="11" t="str">
        <x:v>QA/UAT — cần điền URL/build</x:v>
      </x:c>
      <x:c r="T242" s="11" t="str">
        <x:v>Cần điền phiên bản thực</x:v>
      </x:c>
      <x:c r="U242" s="11" t="str"/>
      <x:c r="V242" s="12" t="str"/>
      <x:c r="W242" s="11" t="str"/>
      <x:c r="X242" s="11" t="str"/>
      <x:c r="Y242" s="3" t="str">
        <x:v>Nguồn: backend/src/modules/cms/cms.routes.ts:158. Đối với proxy CMS giữ nguyên status/body upstream. Thay placeholder bằng ID/object key fixture; GET không gửi body.</x:v>
      </x:c>
    </x:row>
    <x:row r="243" ht="49" customHeight="1">
      <x:c r="A243" s="3" t="n">
        <x:v>242</x:v>
      </x:c>
      <x:c r="B243" s="3" t="str">
        <x:v>TC_API_013</x:v>
      </x:c>
      <x:c r="C243" s="3" t="str">
        <x:v>API</x:v>
      </x:c>
      <x:c r="D243" s="3" t="str">
        <x:v>Payload lỗi</x:v>
      </x:c>
      <x:c r="E243" s="3" t="str">
        <x:v>Payload lỗi</x:v>
      </x:c>
      <x:c r="F243" s="3" t="str">
        <x:v>Negative — POST BACKEND /api/public/visits JSON hỏng</x:v>
      </x:c>
      <x:c r="G243" s="3" t="str">
        <x:v>POST BACKEND /api/public/visits JSON hỏng</x:v>
      </x:c>
      <x:c r="H243" s="3" t="str">
        <x:v>OBS-API</x:v>
      </x:c>
      <x:c r="I243" s="3" t="str">
        <x:v>QTV có quyền tương ứng</x:v>
      </x:c>
      <x:c r="J243" s="3" t="str">
        <x:v>Negative</x:v>
      </x:c>
      <x:c r="K243" s="3" t="str">
        <x:v>Medium</x:v>
      </x:c>
      <x:c r="L243" s="3" t="str">
        <x:v>Medium</x:v>
      </x:c>
      <x:c r="M243" s="3" t="str">
        <x:v>Môi trường QA cô lập, DB/MinIO sẵn sàng; dữ liệu fixture đã tạo. Đăng nhập tài khoản ACTIVE, mustChangePassword=false.</x:v>
      </x:c>
      <x:c r="N243" s="3" t="str">
        <x:v>{"qa":</x:v>
      </x:c>
      <x:c r="O243" s="3" t="str">
        <x:v>1. Đặt Content-Type application/json
2. Gửi POST BACKEND /api/public/visits với body {"qa":
3. Kiểm tra response</x:v>
      </x:c>
      <x:c r="P243" s="3" t="str">
        <x:v>Không xử lý mutation; lỗi HTTP 400 kỳ vọng; không lộ stack/SQL. Nếu route trả 500 ghi defect.</x:v>
      </x:c>
      <x:c r="Q243" s="11" t="str"/>
      <x:c r="R243" s="8" t="str">
        <x:v>NOT RUN</x:v>
      </x:c>
      <x:c r="S243" s="11" t="str">
        <x:v>QA/UAT — cần điền URL/build</x:v>
      </x:c>
      <x:c r="T243" s="11" t="str">
        <x:v>Cần điền phiên bản thực</x:v>
      </x:c>
      <x:c r="U243" s="11" t="str"/>
      <x:c r="V243" s="12" t="str"/>
      <x:c r="W243" s="11" t="str"/>
      <x:c r="X243" s="11" t="str"/>
      <x:c r="Y243" s="3" t="str">
        <x:v>Nguồn: backend/src/modules/cms/cms.routes.ts:158. </x:v>
      </x:c>
    </x:row>
    <x:row r="244" ht="62" customHeight="1">
      <x:c r="A244" s="3" t="n">
        <x:v>243</x:v>
      </x:c>
      <x:c r="B244" s="3" t="str">
        <x:v>TC_API_014</x:v>
      </x:c>
      <x:c r="C244" s="3" t="str">
        <x:v>API</x:v>
      </x:c>
      <x:c r="D244" s="3" t="str">
        <x:v>Hợp đồng BACKEND</x:v>
      </x:c>
      <x:c r="E244" s="3" t="str">
        <x:v>Hợp đồng BACKEND</x:v>
      </x:c>
      <x:c r="F244" s="3" t="str">
        <x:v>Positive — GET BACKEND /api/admin/dashboard hợp lệ</x:v>
      </x:c>
      <x:c r="G244" s="3" t="str">
        <x:v>GET BACKEND /api/admin/dashboard hợp lệ</x:v>
      </x:c>
      <x:c r="H244" s="3" t="str">
        <x:v>OBS-API</x:v>
      </x:c>
      <x:c r="I244" s="3" t="str">
        <x:v>QTV có quyền tương ứng</x:v>
      </x:c>
      <x:c r="J244" s="3" t="str">
        <x:v>Positive</x:v>
      </x:c>
      <x:c r="K244" s="3" t="str">
        <x:v>High</x:v>
      </x:c>
      <x:c r="L244" s="3" t="str">
        <x:v>High</x:v>
      </x:c>
      <x:c r="M244" s="3" t="str">
        <x:v>Môi trường QA cô lập, DB/MinIO sẵn sàng; dữ liệu fixture đã tạo. Đăng nhập tài khoản ACTIVE, mustChangePassword=false.</x:v>
      </x:c>
      <x:c r="N244" s="3" t="str">
        <x:v>Fixture tương ứng route; tham số mặc định; ID/path hợp lệ trong QA</x:v>
      </x:c>
      <x:c r="O244" s="3" t="str">
        <x:v>1. Chuẩn bị Fixture tương ứng route; tham số mặc định; ID/path hợp lệ trong QA; Origin cùng ADMIN_URL nếu mutation admin
2. Gửi GET BACKEND /api/admin/dashboard với query/body theo fixture
3. Kiểm tra response và dữ liệu liên quan</x:v>
      </x:c>
      <x:c r="P244" s="3" t="str">
        <x:v>HTTP 200; success=true; data={totals,consultationPeriod,visitSeries,consultationSeries,applicationSeries,updatedAt}; totals khớp DB fixture; message là chuỗi.</x:v>
      </x:c>
      <x:c r="Q244" s="11" t="str"/>
      <x:c r="R244" s="8" t="str">
        <x:v>NOT RUN</x:v>
      </x:c>
      <x:c r="S244" s="11" t="str">
        <x:v>QA/UAT — cần điền URL/build</x:v>
      </x:c>
      <x:c r="T244" s="11" t="str">
        <x:v>Cần điền phiên bản thực</x:v>
      </x:c>
      <x:c r="U244" s="11" t="str"/>
      <x:c r="V244" s="12" t="str"/>
      <x:c r="W244" s="11" t="str"/>
      <x:c r="X244" s="11" t="str"/>
      <x:c r="Y244" s="3" t="str">
        <x:v>Nguồn: backend/src/modules/cms/cms.routes.ts:160. Đối với proxy CMS giữ nguyên status/body upstream. Thay placeholder bằng ID/object key fixture; GET không gửi body.</x:v>
      </x:c>
    </x:row>
    <x:row r="245" ht="49" customHeight="1">
      <x:c r="A245" s="3" t="n">
        <x:v>244</x:v>
      </x:c>
      <x:c r="B245" s="3" t="str">
        <x:v>TC_API_015</x:v>
      </x:c>
      <x:c r="C245" s="3" t="str">
        <x:v>API</x:v>
      </x:c>
      <x:c r="D245" s="3" t="str">
        <x:v>Hợp đồng BACKEND</x:v>
      </x:c>
      <x:c r="E245" s="3" t="str">
        <x:v>Hợp đồng BACKEND</x:v>
      </x:c>
      <x:c r="F245" s="3" t="str">
        <x:v>Positive — GET BACKEND /api/admin/news hợp lệ</x:v>
      </x:c>
      <x:c r="G245" s="3" t="str">
        <x:v>GET BACKEND /api/admin/news hợp lệ</x:v>
      </x:c>
      <x:c r="H245" s="3" t="str">
        <x:v>OBS-API</x:v>
      </x:c>
      <x:c r="I245" s="3" t="str">
        <x:v>QTV có quyền tương ứng</x:v>
      </x:c>
      <x:c r="J245" s="3" t="str">
        <x:v>Positive</x:v>
      </x:c>
      <x:c r="K245" s="3" t="str">
        <x:v>High</x:v>
      </x:c>
      <x:c r="L245" s="3" t="str">
        <x:v>High</x:v>
      </x:c>
      <x:c r="M245" s="3" t="str">
        <x:v>Môi trường QA cô lập, DB/MinIO sẵn sàng; dữ liệu fixture đã tạo. Đăng nhập tài khoản ACTIVE, mustChangePassword=false.</x:v>
      </x:c>
      <x:c r="N245" s="3" t="str">
        <x:v>NEWS</x:v>
      </x:c>
      <x:c r="O245" s="3" t="str">
        <x:v>1. Chuẩn bị NEWS; Origin cùng ADMIN_URL nếu mutation admin
2. Gửi GET BACKEND /api/admin/news với query/body theo fixture
3. Kiểm tra response và dữ liệu liên quan</x:v>
      </x:c>
      <x:c r="P245" s="3" t="str">
        <x:v>HTTP 200; success=true; data.posts là array; data.pagination={page,limit,total,totalPages}; message là chuỗi.</x:v>
      </x:c>
      <x:c r="Q245" s="11" t="str"/>
      <x:c r="R245" s="8" t="str">
        <x:v>NOT RUN</x:v>
      </x:c>
      <x:c r="S245" s="11" t="str">
        <x:v>QA/UAT — cần điền URL/build</x:v>
      </x:c>
      <x:c r="T245" s="11" t="str">
        <x:v>Cần điền phiên bản thực</x:v>
      </x:c>
      <x:c r="U245" s="11" t="str"/>
      <x:c r="V245" s="12" t="str"/>
      <x:c r="W245" s="11" t="str"/>
      <x:c r="X245" s="11" t="str"/>
      <x:c r="Y245" s="3" t="str">
        <x:v>Nguồn: backend/src/modules/cms/cms.routes.ts:295. Đối với proxy CMS giữ nguyên status/body upstream. Thay placeholder bằng ID/object key fixture; GET không gửi body.</x:v>
      </x:c>
    </x:row>
    <x:row r="246" ht="49" customHeight="1">
      <x:c r="A246" s="3" t="n">
        <x:v>245</x:v>
      </x:c>
      <x:c r="B246" s="3" t="str">
        <x:v>TC_API_016</x:v>
      </x:c>
      <x:c r="C246" s="3" t="str">
        <x:v>API</x:v>
      </x:c>
      <x:c r="D246" s="3" t="str">
        <x:v>Hợp đồng BACKEND</x:v>
      </x:c>
      <x:c r="E246" s="3" t="str">
        <x:v>Hợp đồng BACKEND</x:v>
      </x:c>
      <x:c r="F246" s="3" t="str">
        <x:v>Positive — GET BACKEND /api/admin/news/:id hợp lệ</x:v>
      </x:c>
      <x:c r="G246" s="3" t="str">
        <x:v>GET BACKEND /api/admin/news/:id hợp lệ</x:v>
      </x:c>
      <x:c r="H246" s="3" t="str">
        <x:v>OBS-API</x:v>
      </x:c>
      <x:c r="I246" s="3" t="str">
        <x:v>QTV có quyền tương ứng</x:v>
      </x:c>
      <x:c r="J246" s="3" t="str">
        <x:v>Positive</x:v>
      </x:c>
      <x:c r="K246" s="3" t="str">
        <x:v>High</x:v>
      </x:c>
      <x:c r="L246" s="3" t="str">
        <x:v>High</x:v>
      </x:c>
      <x:c r="M246" s="3" t="str">
        <x:v>Môi trường QA cô lập, DB/MinIO sẵn sàng; dữ liệu fixture đã tạo. Đăng nhập tài khoản ACTIVE, mustChangePassword=false.</x:v>
      </x:c>
      <x:c r="N246" s="3" t="str">
        <x:v>NEWS</x:v>
      </x:c>
      <x:c r="O246" s="3" t="str">
        <x:v>1. Chuẩn bị NEWS; Origin cùng ADMIN_URL nếu mutation admin
2. Gửi GET BACKEND /api/admin/news/:id với query/body theo fixture
3. Kiểm tra response và dữ liệu liên quan</x:v>
      </x:c>
      <x:c r="P246" s="3" t="str">
        <x:v>HTTP 200; success=true; data.post có id/slug/title/locale/category/content/status/authorId; message là chuỗi.</x:v>
      </x:c>
      <x:c r="Q246" s="11" t="str"/>
      <x:c r="R246" s="8" t="str">
        <x:v>NOT RUN</x:v>
      </x:c>
      <x:c r="S246" s="11" t="str">
        <x:v>QA/UAT — cần điền URL/build</x:v>
      </x:c>
      <x:c r="T246" s="11" t="str">
        <x:v>Cần điền phiên bản thực</x:v>
      </x:c>
      <x:c r="U246" s="11" t="str"/>
      <x:c r="V246" s="12" t="str"/>
      <x:c r="W246" s="11" t="str"/>
      <x:c r="X246" s="11" t="str"/>
      <x:c r="Y246" s="3" t="str">
        <x:v>Nguồn: backend/src/modules/cms/cms.routes.ts:296. Đối với proxy CMS giữ nguyên status/body upstream. Thay placeholder bằng ID/object key fixture; GET không gửi body.</x:v>
      </x:c>
    </x:row>
    <x:row r="247" ht="49" customHeight="1">
      <x:c r="A247" s="3" t="n">
        <x:v>246</x:v>
      </x:c>
      <x:c r="B247" s="3" t="str">
        <x:v>TC_API_017</x:v>
      </x:c>
      <x:c r="C247" s="3" t="str">
        <x:v>API</x:v>
      </x:c>
      <x:c r="D247" s="3" t="str">
        <x:v>Hợp đồng BACKEND</x:v>
      </x:c>
      <x:c r="E247" s="3" t="str">
        <x:v>Hợp đồng BACKEND</x:v>
      </x:c>
      <x:c r="F247" s="3" t="str">
        <x:v>Positive — POST BACKEND /api/admin/news hợp lệ</x:v>
      </x:c>
      <x:c r="G247" s="3" t="str">
        <x:v>POST BACKEND /api/admin/news hợp lệ</x:v>
      </x:c>
      <x:c r="H247" s="3" t="str">
        <x:v>OBS-API</x:v>
      </x:c>
      <x:c r="I247" s="3" t="str">
        <x:v>QTV có quyền tương ứng</x:v>
      </x:c>
      <x:c r="J247" s="3" t="str">
        <x:v>Positive</x:v>
      </x:c>
      <x:c r="K247" s="3" t="str">
        <x:v>High</x:v>
      </x:c>
      <x:c r="L247" s="3" t="str">
        <x:v>High</x:v>
      </x:c>
      <x:c r="M247" s="3" t="str">
        <x:v>Môi trường QA cô lập, DB/MinIO sẵn sàng; dữ liệu fixture đã tạo. Đăng nhập tài khoản ACTIVE, mustChangePassword=false.</x:v>
      </x:c>
      <x:c r="N247" s="3" t="str">
        <x:v>NEWS</x:v>
      </x:c>
      <x:c r="O247" s="3" t="str">
        <x:v>1. Chuẩn bị NEWS; Origin cùng ADMIN_URL nếu mutation admin
2. Gửi POST BACKEND /api/admin/news với query/body theo fixture
3. Kiểm tra response và dữ liệu liên quan</x:v>
      </x:c>
      <x:c r="P247" s="3" t="str">
        <x:v>HTTP 201; success=true; data.post có id/slug/title/locale/category/content/status/authorId; message là chuỗi.</x:v>
      </x:c>
      <x:c r="Q247" s="11" t="str"/>
      <x:c r="R247" s="8" t="str">
        <x:v>NOT RUN</x:v>
      </x:c>
      <x:c r="S247" s="11" t="str">
        <x:v>QA/UAT — cần điền URL/build</x:v>
      </x:c>
      <x:c r="T247" s="11" t="str">
        <x:v>Cần điền phiên bản thực</x:v>
      </x:c>
      <x:c r="U247" s="11" t="str"/>
      <x:c r="V247" s="12" t="str"/>
      <x:c r="W247" s="11" t="str"/>
      <x:c r="X247" s="11" t="str"/>
      <x:c r="Y247" s="3" t="str">
        <x:v>Nguồn: backend/src/modules/cms/cms.routes.ts:295. Đối với proxy CMS giữ nguyên status/body upstream. Thay placeholder bằng ID/object key fixture; GET không gửi body.</x:v>
      </x:c>
    </x:row>
    <x:row r="248" ht="49" customHeight="1">
      <x:c r="A248" s="3" t="n">
        <x:v>247</x:v>
      </x:c>
      <x:c r="B248" s="3" t="str">
        <x:v>TC_API_018</x:v>
      </x:c>
      <x:c r="C248" s="3" t="str">
        <x:v>API</x:v>
      </x:c>
      <x:c r="D248" s="3" t="str">
        <x:v>Payload lỗi</x:v>
      </x:c>
      <x:c r="E248" s="3" t="str">
        <x:v>Payload lỗi</x:v>
      </x:c>
      <x:c r="F248" s="3" t="str">
        <x:v>Negative — POST BACKEND /api/admin/news JSON hỏng</x:v>
      </x:c>
      <x:c r="G248" s="3" t="str">
        <x:v>POST BACKEND /api/admin/news JSON hỏng</x:v>
      </x:c>
      <x:c r="H248" s="3" t="str">
        <x:v>OBS-API</x:v>
      </x:c>
      <x:c r="I248" s="3" t="str">
        <x:v>QTV có quyền tương ứng</x:v>
      </x:c>
      <x:c r="J248" s="3" t="str">
        <x:v>Negative</x:v>
      </x:c>
      <x:c r="K248" s="3" t="str">
        <x:v>Medium</x:v>
      </x:c>
      <x:c r="L248" s="3" t="str">
        <x:v>Medium</x:v>
      </x:c>
      <x:c r="M248" s="3" t="str">
        <x:v>Môi trường QA cô lập, DB/MinIO sẵn sàng; dữ liệu fixture đã tạo. Đăng nhập tài khoản ACTIVE, mustChangePassword=false.</x:v>
      </x:c>
      <x:c r="N248" s="3" t="str">
        <x:v>{"qa":</x:v>
      </x:c>
      <x:c r="O248" s="3" t="str">
        <x:v>1. Đặt Content-Type application/json
2. Gửi POST BACKEND /api/admin/news với body {"qa":
3. Kiểm tra response</x:v>
      </x:c>
      <x:c r="P248" s="3" t="str">
        <x:v>Không xử lý mutation; lỗi HTTP 400 kỳ vọng; không lộ stack/SQL. Nếu route trả 500 ghi defect.</x:v>
      </x:c>
      <x:c r="Q248" s="11" t="str"/>
      <x:c r="R248" s="8" t="str">
        <x:v>NOT RUN</x:v>
      </x:c>
      <x:c r="S248" s="11" t="str">
        <x:v>QA/UAT — cần điền URL/build</x:v>
      </x:c>
      <x:c r="T248" s="11" t="str">
        <x:v>Cần điền phiên bản thực</x:v>
      </x:c>
      <x:c r="U248" s="11" t="str"/>
      <x:c r="V248" s="12" t="str"/>
      <x:c r="W248" s="11" t="str"/>
      <x:c r="X248" s="11" t="str"/>
      <x:c r="Y248" s="3" t="str">
        <x:v>Nguồn: backend/src/modules/cms/cms.routes.ts:295. </x:v>
      </x:c>
    </x:row>
    <x:row r="249" ht="49" customHeight="1">
      <x:c r="A249" s="3" t="n">
        <x:v>248</x:v>
      </x:c>
      <x:c r="B249" s="3" t="str">
        <x:v>TC_API_019</x:v>
      </x:c>
      <x:c r="C249" s="3" t="str">
        <x:v>API</x:v>
      </x:c>
      <x:c r="D249" s="3" t="str">
        <x:v>Hợp đồng BACKEND</x:v>
      </x:c>
      <x:c r="E249" s="3" t="str">
        <x:v>Hợp đồng BACKEND</x:v>
      </x:c>
      <x:c r="F249" s="3" t="str">
        <x:v>Positive — PUT BACKEND /api/admin/news/:id hợp lệ</x:v>
      </x:c>
      <x:c r="G249" s="3" t="str">
        <x:v>PUT BACKEND /api/admin/news/:id hợp lệ</x:v>
      </x:c>
      <x:c r="H249" s="3" t="str">
        <x:v>OBS-API</x:v>
      </x:c>
      <x:c r="I249" s="3" t="str">
        <x:v>QTV có quyền tương ứng</x:v>
      </x:c>
      <x:c r="J249" s="3" t="str">
        <x:v>Positive</x:v>
      </x:c>
      <x:c r="K249" s="3" t="str">
        <x:v>High</x:v>
      </x:c>
      <x:c r="L249" s="3" t="str">
        <x:v>High</x:v>
      </x:c>
      <x:c r="M249" s="3" t="str">
        <x:v>Môi trường QA cô lập, DB/MinIO sẵn sàng; dữ liệu fixture đã tạo. Đăng nhập tài khoản ACTIVE, mustChangePassword=false.</x:v>
      </x:c>
      <x:c r="N249" s="3" t="str">
        <x:v>NEWS</x:v>
      </x:c>
      <x:c r="O249" s="3" t="str">
        <x:v>1. Chuẩn bị NEWS; Origin cùng ADMIN_URL nếu mutation admin
2. Gửi PUT BACKEND /api/admin/news/:id với query/body theo fixture
3. Kiểm tra response và dữ liệu liên quan</x:v>
      </x:c>
      <x:c r="P249" s="3" t="str">
        <x:v>HTTP 200; success=true; data.post có id/slug/title/locale/category/content/status/authorId; message là chuỗi.</x:v>
      </x:c>
      <x:c r="Q249" s="11" t="str"/>
      <x:c r="R249" s="8" t="str">
        <x:v>NOT RUN</x:v>
      </x:c>
      <x:c r="S249" s="11" t="str">
        <x:v>QA/UAT — cần điền URL/build</x:v>
      </x:c>
      <x:c r="T249" s="11" t="str">
        <x:v>Cần điền phiên bản thực</x:v>
      </x:c>
      <x:c r="U249" s="11" t="str"/>
      <x:c r="V249" s="12" t="str"/>
      <x:c r="W249" s="11" t="str"/>
      <x:c r="X249" s="11" t="str"/>
      <x:c r="Y249" s="3" t="str">
        <x:v>Nguồn: backend/src/modules/cms/cms.routes.ts:296. Đối với proxy CMS giữ nguyên status/body upstream. Thay placeholder bằng ID/object key fixture; GET không gửi body.</x:v>
      </x:c>
    </x:row>
    <x:row r="250" ht="49" customHeight="1">
      <x:c r="A250" s="3" t="n">
        <x:v>249</x:v>
      </x:c>
      <x:c r="B250" s="3" t="str">
        <x:v>TC_API_020</x:v>
      </x:c>
      <x:c r="C250" s="3" t="str">
        <x:v>API</x:v>
      </x:c>
      <x:c r="D250" s="3" t="str">
        <x:v>Payload lỗi</x:v>
      </x:c>
      <x:c r="E250" s="3" t="str">
        <x:v>Payload lỗi</x:v>
      </x:c>
      <x:c r="F250" s="3" t="str">
        <x:v>Negative — PUT BACKEND /api/admin/news/:id JSON hỏng</x:v>
      </x:c>
      <x:c r="G250" s="3" t="str">
        <x:v>PUT BACKEND /api/admin/news/:id JSON hỏng</x:v>
      </x:c>
      <x:c r="H250" s="3" t="str">
        <x:v>OBS-API</x:v>
      </x:c>
      <x:c r="I250" s="3" t="str">
        <x:v>QTV có quyền tương ứng</x:v>
      </x:c>
      <x:c r="J250" s="3" t="str">
        <x:v>Negative</x:v>
      </x:c>
      <x:c r="K250" s="3" t="str">
        <x:v>Medium</x:v>
      </x:c>
      <x:c r="L250" s="3" t="str">
        <x:v>Medium</x:v>
      </x:c>
      <x:c r="M250" s="3" t="str">
        <x:v>Môi trường QA cô lập, DB/MinIO sẵn sàng; dữ liệu fixture đã tạo. Đăng nhập tài khoản ACTIVE, mustChangePassword=false.</x:v>
      </x:c>
      <x:c r="N250" s="3" t="str">
        <x:v>{"qa":</x:v>
      </x:c>
      <x:c r="O250" s="3" t="str">
        <x:v>1. Đặt Content-Type application/json
2. Gửi PUT BACKEND /api/admin/news/:id với body {"qa":
3. Kiểm tra response</x:v>
      </x:c>
      <x:c r="P250" s="3" t="str">
        <x:v>Không xử lý mutation; lỗi HTTP 400 kỳ vọng; không lộ stack/SQL. Nếu route trả 500 ghi defect.</x:v>
      </x:c>
      <x:c r="Q250" s="11" t="str"/>
      <x:c r="R250" s="8" t="str">
        <x:v>NOT RUN</x:v>
      </x:c>
      <x:c r="S250" s="11" t="str">
        <x:v>QA/UAT — cần điền URL/build</x:v>
      </x:c>
      <x:c r="T250" s="11" t="str">
        <x:v>Cần điền phiên bản thực</x:v>
      </x:c>
      <x:c r="U250" s="11" t="str"/>
      <x:c r="V250" s="12" t="str"/>
      <x:c r="W250" s="11" t="str"/>
      <x:c r="X250" s="11" t="str"/>
      <x:c r="Y250" s="3" t="str">
        <x:v>Nguồn: backend/src/modules/cms/cms.routes.ts:296. </x:v>
      </x:c>
    </x:row>
    <x:row r="251" ht="49" customHeight="1">
      <x:c r="A251" s="3" t="n">
        <x:v>250</x:v>
      </x:c>
      <x:c r="B251" s="3" t="str">
        <x:v>TC_API_021</x:v>
      </x:c>
      <x:c r="C251" s="3" t="str">
        <x:v>API</x:v>
      </x:c>
      <x:c r="D251" s="3" t="str">
        <x:v>Hợp đồng BACKEND</x:v>
      </x:c>
      <x:c r="E251" s="3" t="str">
        <x:v>Hợp đồng BACKEND</x:v>
      </x:c>
      <x:c r="F251" s="3" t="str">
        <x:v>Positive — DELETE BACKEND /api/admin/news/:id hợp lệ</x:v>
      </x:c>
      <x:c r="G251" s="3" t="str">
        <x:v>DELETE BACKEND /api/admin/news/:id hợp lệ</x:v>
      </x:c>
      <x:c r="H251" s="3" t="str">
        <x:v>OBS-API</x:v>
      </x:c>
      <x:c r="I251" s="3" t="str">
        <x:v>QTV có quyền tương ứng</x:v>
      </x:c>
      <x:c r="J251" s="3" t="str">
        <x:v>Positive</x:v>
      </x:c>
      <x:c r="K251" s="3" t="str">
        <x:v>High</x:v>
      </x:c>
      <x:c r="L251" s="3" t="str">
        <x:v>High</x:v>
      </x:c>
      <x:c r="M251" s="3" t="str">
        <x:v>Môi trường QA cô lập, DB/MinIO sẵn sàng; dữ liệu fixture đã tạo. Đăng nhập tài khoản ACTIVE, mustChangePassword=false.</x:v>
      </x:c>
      <x:c r="N251" s="3" t="str">
        <x:v>NEWS</x:v>
      </x:c>
      <x:c r="O251" s="3" t="str">
        <x:v>1. Chuẩn bị NEWS; Origin cùng ADMIN_URL nếu mutation admin
2. Gửi DELETE BACKEND /api/admin/news/:id với query/body theo fixture
3. Kiểm tra response và dữ liệu liên quan</x:v>
      </x:c>
      <x:c r="P251" s="3" t="str">
        <x:v>HTTP 200; success=true; data={}; message là chuỗi.</x:v>
      </x:c>
      <x:c r="Q251" s="11" t="str"/>
      <x:c r="R251" s="8" t="str">
        <x:v>NOT RUN</x:v>
      </x:c>
      <x:c r="S251" s="11" t="str">
        <x:v>QA/UAT — cần điền URL/build</x:v>
      </x:c>
      <x:c r="T251" s="11" t="str">
        <x:v>Cần điền phiên bản thực</x:v>
      </x:c>
      <x:c r="U251" s="11" t="str"/>
      <x:c r="V251" s="12" t="str"/>
      <x:c r="W251" s="11" t="str"/>
      <x:c r="X251" s="11" t="str"/>
      <x:c r="Y251" s="3" t="str">
        <x:v>Nguồn: backend/src/modules/cms/cms.routes.ts:296. Đối với proxy CMS giữ nguyên status/body upstream. Thay placeholder bằng ID/object key fixture; GET không gửi body.</x:v>
      </x:c>
    </x:row>
    <x:row r="252" ht="49" customHeight="1">
      <x:c r="A252" s="3" t="n">
        <x:v>251</x:v>
      </x:c>
      <x:c r="B252" s="3" t="str">
        <x:v>TC_API_022</x:v>
      </x:c>
      <x:c r="C252" s="3" t="str">
        <x:v>API</x:v>
      </x:c>
      <x:c r="D252" s="3" t="str">
        <x:v>Hợp đồng BACKEND</x:v>
      </x:c>
      <x:c r="E252" s="3" t="str">
        <x:v>Hợp đồng BACKEND</x:v>
      </x:c>
      <x:c r="F252" s="3" t="str">
        <x:v>Positive — GET BACKEND /api/admin/resources hợp lệ</x:v>
      </x:c>
      <x:c r="G252" s="3" t="str">
        <x:v>GET BACKEND /api/admin/resources hợp lệ</x:v>
      </x:c>
      <x:c r="H252" s="3" t="str">
        <x:v>OBS-API</x:v>
      </x:c>
      <x:c r="I252" s="3" t="str">
        <x:v>QTV có quyền tương ứng</x:v>
      </x:c>
      <x:c r="J252" s="3" t="str">
        <x:v>Positive</x:v>
      </x:c>
      <x:c r="K252" s="3" t="str">
        <x:v>High</x:v>
      </x:c>
      <x:c r="L252" s="3" t="str">
        <x:v>High</x:v>
      </x:c>
      <x:c r="M252" s="3" t="str">
        <x:v>Môi trường QA cô lập, DB/MinIO sẵn sàng; dữ liệu fixture đã tạo. Đăng nhập tài khoản ACTIVE, mustChangePassword=false.</x:v>
      </x:c>
      <x:c r="N252" s="3" t="str">
        <x:v>RESOURCE</x:v>
      </x:c>
      <x:c r="O252" s="3" t="str">
        <x:v>1. Chuẩn bị RESOURCE; Origin cùng ADMIN_URL nếu mutation admin
2. Gửi GET BACKEND /api/admin/resources với query/body theo fixture
3. Kiểm tra response và dữ liệu liên quan</x:v>
      </x:c>
      <x:c r="P252" s="3" t="str">
        <x:v>HTTP 200; success=true; data.resources là array, mỗi dòng có category; data.pagination={page,limit,total,totalPages}; message là chuỗi.</x:v>
      </x:c>
      <x:c r="Q252" s="11" t="str"/>
      <x:c r="R252" s="8" t="str">
        <x:v>NOT RUN</x:v>
      </x:c>
      <x:c r="S252" s="11" t="str">
        <x:v>QA/UAT — cần điền URL/build</x:v>
      </x:c>
      <x:c r="T252" s="11" t="str">
        <x:v>Cần điền phiên bản thực</x:v>
      </x:c>
      <x:c r="U252" s="11" t="str"/>
      <x:c r="V252" s="12" t="str"/>
      <x:c r="W252" s="11" t="str"/>
      <x:c r="X252" s="11" t="str"/>
      <x:c r="Y252" s="3" t="str">
        <x:v>Nguồn: backend/src/modules/cms/cms.routes.ts:367. Đối với proxy CMS giữ nguyên status/body upstream. Thay placeholder bằng ID/object key fixture; GET không gửi body.</x:v>
      </x:c>
    </x:row>
    <x:row r="253" ht="62" customHeight="1">
      <x:c r="A253" s="3" t="n">
        <x:v>252</x:v>
      </x:c>
      <x:c r="B253" s="3" t="str">
        <x:v>TC_API_023</x:v>
      </x:c>
      <x:c r="C253" s="3" t="str">
        <x:v>API</x:v>
      </x:c>
      <x:c r="D253" s="3" t="str">
        <x:v>Hợp đồng BACKEND</x:v>
      </x:c>
      <x:c r="E253" s="3" t="str">
        <x:v>Hợp đồng BACKEND</x:v>
      </x:c>
      <x:c r="F253" s="3" t="str">
        <x:v>Positive — GET BACKEND /api/admin/resources/:id hợp lệ</x:v>
      </x:c>
      <x:c r="G253" s="3" t="str">
        <x:v>GET BACKEND /api/admin/resources/:id hợp lệ</x:v>
      </x:c>
      <x:c r="H253" s="3" t="str">
        <x:v>OBS-API</x:v>
      </x:c>
      <x:c r="I253" s="3" t="str">
        <x:v>QTV có quyền tương ứng</x:v>
      </x:c>
      <x:c r="J253" s="3" t="str">
        <x:v>Positive</x:v>
      </x:c>
      <x:c r="K253" s="3" t="str">
        <x:v>High</x:v>
      </x:c>
      <x:c r="L253" s="3" t="str">
        <x:v>High</x:v>
      </x:c>
      <x:c r="M253" s="3" t="str">
        <x:v>Môi trường QA cô lập, DB/MinIO sẵn sàng; dữ liệu fixture đã tạo. Đăng nhập tài khoản ACTIVE, mustChangePassword=false.</x:v>
      </x:c>
      <x:c r="N253" s="3" t="str">
        <x:v>RESOURCE</x:v>
      </x:c>
      <x:c r="O253" s="3" t="str">
        <x:v>1. Chuẩn bị RESOURCE; Origin cùng ADMIN_URL nếu mutation admin
2. Gửi GET BACKEND /api/admin/resources/:id với query/body theo fixture
3. Kiểm tra response và dữ liệu liên quan</x:v>
      </x:c>
      <x:c r="P253" s="3" t="str">
        <x:v>HTTP 200; success=true; data.resource có id/slug/title/category/fileUrl/fileType/fileSize/status; message là chuỗi.</x:v>
      </x:c>
      <x:c r="Q253" s="11" t="str"/>
      <x:c r="R253" s="8" t="str">
        <x:v>NOT RUN</x:v>
      </x:c>
      <x:c r="S253" s="11" t="str">
        <x:v>QA/UAT — cần điền URL/build</x:v>
      </x:c>
      <x:c r="T253" s="11" t="str">
        <x:v>Cần điền phiên bản thực</x:v>
      </x:c>
      <x:c r="U253" s="11" t="str"/>
      <x:c r="V253" s="12" t="str"/>
      <x:c r="W253" s="11" t="str"/>
      <x:c r="X253" s="11" t="str"/>
      <x:c r="Y253" s="3" t="str">
        <x:v>Nguồn: backend/src/modules/cms/cms.routes.ts:378. Đối với proxy CMS giữ nguyên status/body upstream. Thay placeholder bằng ID/object key fixture; GET không gửi body.</x:v>
      </x:c>
    </x:row>
    <x:row r="254" ht="49" customHeight="1">
      <x:c r="A254" s="3" t="n">
        <x:v>253</x:v>
      </x:c>
      <x:c r="B254" s="3" t="str">
        <x:v>TC_API_024</x:v>
      </x:c>
      <x:c r="C254" s="3" t="str">
        <x:v>API</x:v>
      </x:c>
      <x:c r="D254" s="3" t="str">
        <x:v>Hợp đồng BACKEND</x:v>
      </x:c>
      <x:c r="E254" s="3" t="str">
        <x:v>Hợp đồng BACKEND</x:v>
      </x:c>
      <x:c r="F254" s="3" t="str">
        <x:v>Positive — POST BACKEND /api/admin/resources hợp lệ</x:v>
      </x:c>
      <x:c r="G254" s="3" t="str">
        <x:v>POST BACKEND /api/admin/resources hợp lệ</x:v>
      </x:c>
      <x:c r="H254" s="3" t="str">
        <x:v>OBS-API</x:v>
      </x:c>
      <x:c r="I254" s="3" t="str">
        <x:v>QTV có quyền tương ứng</x:v>
      </x:c>
      <x:c r="J254" s="3" t="str">
        <x:v>Positive</x:v>
      </x:c>
      <x:c r="K254" s="3" t="str">
        <x:v>High</x:v>
      </x:c>
      <x:c r="L254" s="3" t="str">
        <x:v>High</x:v>
      </x:c>
      <x:c r="M254" s="3" t="str">
        <x:v>Môi trường QA cô lập, DB/MinIO sẵn sàng; dữ liệu fixture đã tạo. Đăng nhập tài khoản ACTIVE, mustChangePassword=false.</x:v>
      </x:c>
      <x:c r="N254" s="3" t="str">
        <x:v>RESOURCE</x:v>
      </x:c>
      <x:c r="O254" s="3" t="str">
        <x:v>1. Chuẩn bị RESOURCE; Origin cùng ADMIN_URL nếu mutation admin
2. Gửi POST BACKEND /api/admin/resources với query/body theo fixture
3. Kiểm tra response và dữ liệu liên quan</x:v>
      </x:c>
      <x:c r="P254" s="3" t="str">
        <x:v>HTTP 201; success=true; data.resource có id/slug/title/category/fileUrl/fileType/fileSize/status; message là chuỗi.</x:v>
      </x:c>
      <x:c r="Q254" s="11" t="str"/>
      <x:c r="R254" s="8" t="str">
        <x:v>NOT RUN</x:v>
      </x:c>
      <x:c r="S254" s="11" t="str">
        <x:v>QA/UAT — cần điền URL/build</x:v>
      </x:c>
      <x:c r="T254" s="11" t="str">
        <x:v>Cần điền phiên bản thực</x:v>
      </x:c>
      <x:c r="U254" s="11" t="str"/>
      <x:c r="V254" s="12" t="str"/>
      <x:c r="W254" s="11" t="str"/>
      <x:c r="X254" s="11" t="str"/>
      <x:c r="Y254" s="3" t="str">
        <x:v>Nguồn: backend/src/modules/cms/cms.routes.ts:367. Đối với proxy CMS giữ nguyên status/body upstream. Thay placeholder bằng ID/object key fixture; GET không gửi body.</x:v>
      </x:c>
    </x:row>
    <x:row r="255" ht="49" customHeight="1">
      <x:c r="A255" s="3" t="n">
        <x:v>254</x:v>
      </x:c>
      <x:c r="B255" s="3" t="str">
        <x:v>TC_API_025</x:v>
      </x:c>
      <x:c r="C255" s="3" t="str">
        <x:v>API</x:v>
      </x:c>
      <x:c r="D255" s="3" t="str">
        <x:v>Payload lỗi</x:v>
      </x:c>
      <x:c r="E255" s="3" t="str">
        <x:v>Payload lỗi</x:v>
      </x:c>
      <x:c r="F255" s="3" t="str">
        <x:v>Negative — POST BACKEND /api/admin/resources JSON hỏng</x:v>
      </x:c>
      <x:c r="G255" s="3" t="str">
        <x:v>POST BACKEND /api/admin/resources JSON hỏng</x:v>
      </x:c>
      <x:c r="H255" s="3" t="str">
        <x:v>OBS-API</x:v>
      </x:c>
      <x:c r="I255" s="3" t="str">
        <x:v>QTV có quyền tương ứng</x:v>
      </x:c>
      <x:c r="J255" s="3" t="str">
        <x:v>Negative</x:v>
      </x:c>
      <x:c r="K255" s="3" t="str">
        <x:v>Medium</x:v>
      </x:c>
      <x:c r="L255" s="3" t="str">
        <x:v>Medium</x:v>
      </x:c>
      <x:c r="M255" s="3" t="str">
        <x:v>Môi trường QA cô lập, DB/MinIO sẵn sàng; dữ liệu fixture đã tạo. Đăng nhập tài khoản ACTIVE, mustChangePassword=false.</x:v>
      </x:c>
      <x:c r="N255" s="3" t="str">
        <x:v>{"qa":</x:v>
      </x:c>
      <x:c r="O255" s="3" t="str">
        <x:v>1. Đặt Content-Type application/json
2. Gửi POST BACKEND /api/admin/resources với body {"qa":
3. Kiểm tra response</x:v>
      </x:c>
      <x:c r="P255" s="3" t="str">
        <x:v>Không xử lý mutation; lỗi HTTP 400 kỳ vọng; không lộ stack/SQL. Nếu route trả 500 ghi defect.</x:v>
      </x:c>
      <x:c r="Q255" s="11" t="str"/>
      <x:c r="R255" s="8" t="str">
        <x:v>NOT RUN</x:v>
      </x:c>
      <x:c r="S255" s="11" t="str">
        <x:v>QA/UAT — cần điền URL/build</x:v>
      </x:c>
      <x:c r="T255" s="11" t="str">
        <x:v>Cần điền phiên bản thực</x:v>
      </x:c>
      <x:c r="U255" s="11" t="str"/>
      <x:c r="V255" s="12" t="str"/>
      <x:c r="W255" s="11" t="str"/>
      <x:c r="X255" s="11" t="str"/>
      <x:c r="Y255" s="3" t="str">
        <x:v>Nguồn: backend/src/modules/cms/cms.routes.ts:367. </x:v>
      </x:c>
    </x:row>
    <x:row r="256" ht="62" customHeight="1">
      <x:c r="A256" s="3" t="n">
        <x:v>255</x:v>
      </x:c>
      <x:c r="B256" s="3" t="str">
        <x:v>TC_API_026</x:v>
      </x:c>
      <x:c r="C256" s="3" t="str">
        <x:v>API</x:v>
      </x:c>
      <x:c r="D256" s="3" t="str">
        <x:v>Hợp đồng BACKEND</x:v>
      </x:c>
      <x:c r="E256" s="3" t="str">
        <x:v>Hợp đồng BACKEND</x:v>
      </x:c>
      <x:c r="F256" s="3" t="str">
        <x:v>Positive — PUT BACKEND /api/admin/resources/:id hợp lệ</x:v>
      </x:c>
      <x:c r="G256" s="3" t="str">
        <x:v>PUT BACKEND /api/admin/resources/:id hợp lệ</x:v>
      </x:c>
      <x:c r="H256" s="3" t="str">
        <x:v>OBS-API</x:v>
      </x:c>
      <x:c r="I256" s="3" t="str">
        <x:v>QTV có quyền tương ứng</x:v>
      </x:c>
      <x:c r="J256" s="3" t="str">
        <x:v>Positive</x:v>
      </x:c>
      <x:c r="K256" s="3" t="str">
        <x:v>High</x:v>
      </x:c>
      <x:c r="L256" s="3" t="str">
        <x:v>High</x:v>
      </x:c>
      <x:c r="M256" s="3" t="str">
        <x:v>Môi trường QA cô lập, DB/MinIO sẵn sàng; dữ liệu fixture đã tạo. Đăng nhập tài khoản ACTIVE, mustChangePassword=false.</x:v>
      </x:c>
      <x:c r="N256" s="3" t="str">
        <x:v>RESOURCE</x:v>
      </x:c>
      <x:c r="O256" s="3" t="str">
        <x:v>1. Chuẩn bị RESOURCE; Origin cùng ADMIN_URL nếu mutation admin
2. Gửi PUT BACKEND /api/admin/resources/:id với query/body theo fixture
3. Kiểm tra response và dữ liệu liên quan</x:v>
      </x:c>
      <x:c r="P256" s="3" t="str">
        <x:v>HTTP 200; success=true; data.resource có id/slug/title/category/fileUrl/fileType/fileSize/status; message là chuỗi.</x:v>
      </x:c>
      <x:c r="Q256" s="11" t="str"/>
      <x:c r="R256" s="8" t="str">
        <x:v>NOT RUN</x:v>
      </x:c>
      <x:c r="S256" s="11" t="str">
        <x:v>QA/UAT — cần điền URL/build</x:v>
      </x:c>
      <x:c r="T256" s="11" t="str">
        <x:v>Cần điền phiên bản thực</x:v>
      </x:c>
      <x:c r="U256" s="11" t="str"/>
      <x:c r="V256" s="12" t="str"/>
      <x:c r="W256" s="11" t="str"/>
      <x:c r="X256" s="11" t="str"/>
      <x:c r="Y256" s="3" t="str">
        <x:v>Nguồn: backend/src/modules/cms/cms.routes.ts:378. Đối với proxy CMS giữ nguyên status/body upstream. Thay placeholder bằng ID/object key fixture; GET không gửi body.</x:v>
      </x:c>
    </x:row>
    <x:row r="257" ht="49" customHeight="1">
      <x:c r="A257" s="3" t="n">
        <x:v>256</x:v>
      </x:c>
      <x:c r="B257" s="3" t="str">
        <x:v>TC_API_027</x:v>
      </x:c>
      <x:c r="C257" s="3" t="str">
        <x:v>API</x:v>
      </x:c>
      <x:c r="D257" s="3" t="str">
        <x:v>Payload lỗi</x:v>
      </x:c>
      <x:c r="E257" s="3" t="str">
        <x:v>Payload lỗi</x:v>
      </x:c>
      <x:c r="F257" s="3" t="str">
        <x:v>Negative — PUT BACKEND /api/admin/resources/:id JSON hỏng</x:v>
      </x:c>
      <x:c r="G257" s="3" t="str">
        <x:v>PUT BACKEND /api/admin/resources/:id JSON hỏng</x:v>
      </x:c>
      <x:c r="H257" s="3" t="str">
        <x:v>OBS-API</x:v>
      </x:c>
      <x:c r="I257" s="3" t="str">
        <x:v>QTV có quyền tương ứng</x:v>
      </x:c>
      <x:c r="J257" s="3" t="str">
        <x:v>Negative</x:v>
      </x:c>
      <x:c r="K257" s="3" t="str">
        <x:v>Medium</x:v>
      </x:c>
      <x:c r="L257" s="3" t="str">
        <x:v>Medium</x:v>
      </x:c>
      <x:c r="M257" s="3" t="str">
        <x:v>Môi trường QA cô lập, DB/MinIO sẵn sàng; dữ liệu fixture đã tạo. Đăng nhập tài khoản ACTIVE, mustChangePassword=false.</x:v>
      </x:c>
      <x:c r="N257" s="3" t="str">
        <x:v>{"qa":</x:v>
      </x:c>
      <x:c r="O257" s="3" t="str">
        <x:v>1. Đặt Content-Type application/json
2. Gửi PUT BACKEND /api/admin/resources/:id với body {"qa":
3. Kiểm tra response</x:v>
      </x:c>
      <x:c r="P257" s="3" t="str">
        <x:v>Không xử lý mutation; lỗi HTTP 400 kỳ vọng; không lộ stack/SQL. Nếu route trả 500 ghi defect.</x:v>
      </x:c>
      <x:c r="Q257" s="11" t="str"/>
      <x:c r="R257" s="8" t="str">
        <x:v>NOT RUN</x:v>
      </x:c>
      <x:c r="S257" s="11" t="str">
        <x:v>QA/UAT — cần điền URL/build</x:v>
      </x:c>
      <x:c r="T257" s="11" t="str">
        <x:v>Cần điền phiên bản thực</x:v>
      </x:c>
      <x:c r="U257" s="11" t="str"/>
      <x:c r="V257" s="12" t="str"/>
      <x:c r="W257" s="11" t="str"/>
      <x:c r="X257" s="11" t="str"/>
      <x:c r="Y257" s="3" t="str">
        <x:v>Nguồn: backend/src/modules/cms/cms.routes.ts:378. </x:v>
      </x:c>
    </x:row>
    <x:row r="258" ht="62" customHeight="1">
      <x:c r="A258" s="3" t="n">
        <x:v>257</x:v>
      </x:c>
      <x:c r="B258" s="3" t="str">
        <x:v>TC_API_028</x:v>
      </x:c>
      <x:c r="C258" s="3" t="str">
        <x:v>API</x:v>
      </x:c>
      <x:c r="D258" s="3" t="str">
        <x:v>Hợp đồng BACKEND</x:v>
      </x:c>
      <x:c r="E258" s="3" t="str">
        <x:v>Hợp đồng BACKEND</x:v>
      </x:c>
      <x:c r="F258" s="3" t="str">
        <x:v>Positive — DELETE BACKEND /api/admin/resources/:id hợp lệ</x:v>
      </x:c>
      <x:c r="G258" s="3" t="str">
        <x:v>DELETE BACKEND /api/admin/resources/:id hợp lệ</x:v>
      </x:c>
      <x:c r="H258" s="3" t="str">
        <x:v>OBS-API</x:v>
      </x:c>
      <x:c r="I258" s="3" t="str">
        <x:v>QTV có quyền tương ứng</x:v>
      </x:c>
      <x:c r="J258" s="3" t="str">
        <x:v>Positive</x:v>
      </x:c>
      <x:c r="K258" s="3" t="str">
        <x:v>High</x:v>
      </x:c>
      <x:c r="L258" s="3" t="str">
        <x:v>High</x:v>
      </x:c>
      <x:c r="M258" s="3" t="str">
        <x:v>Môi trường QA cô lập, DB/MinIO sẵn sàng; dữ liệu fixture đã tạo. Đăng nhập tài khoản ACTIVE, mustChangePassword=false.</x:v>
      </x:c>
      <x:c r="N258" s="3" t="str">
        <x:v>RESOURCE</x:v>
      </x:c>
      <x:c r="O258" s="3" t="str">
        <x:v>1. Chuẩn bị RESOURCE; Origin cùng ADMIN_URL nếu mutation admin
2. Gửi DELETE BACKEND /api/admin/resources/:id với query/body theo fixture
3. Kiểm tra response và dữ liệu liên quan</x:v>
      </x:c>
      <x:c r="P258" s="3" t="str">
        <x:v>HTTP 200; success=true; data={}; message là chuỗi.</x:v>
      </x:c>
      <x:c r="Q258" s="11" t="str"/>
      <x:c r="R258" s="8" t="str">
        <x:v>NOT RUN</x:v>
      </x:c>
      <x:c r="S258" s="11" t="str">
        <x:v>QA/UAT — cần điền URL/build</x:v>
      </x:c>
      <x:c r="T258" s="11" t="str">
        <x:v>Cần điền phiên bản thực</x:v>
      </x:c>
      <x:c r="U258" s="11" t="str"/>
      <x:c r="V258" s="12" t="str"/>
      <x:c r="W258" s="11" t="str"/>
      <x:c r="X258" s="11" t="str"/>
      <x:c r="Y258" s="3" t="str">
        <x:v>Nguồn: backend/src/modules/cms/cms.routes.ts:378. Đối với proxy CMS giữ nguyên status/body upstream. Thay placeholder bằng ID/object key fixture; GET không gửi body.</x:v>
      </x:c>
    </x:row>
    <x:row r="259" ht="62" customHeight="1">
      <x:c r="A259" s="3" t="n">
        <x:v>258</x:v>
      </x:c>
      <x:c r="B259" s="3" t="str">
        <x:v>TC_API_029</x:v>
      </x:c>
      <x:c r="C259" s="3" t="str">
        <x:v>API</x:v>
      </x:c>
      <x:c r="D259" s="3" t="str">
        <x:v>Hợp đồng BACKEND</x:v>
      </x:c>
      <x:c r="E259" s="3" t="str">
        <x:v>Hợp đồng BACKEND</x:v>
      </x:c>
      <x:c r="F259" s="3" t="str">
        <x:v>Positive — GET BACKEND /api/admin/resource-categories hợp lệ</x:v>
      </x:c>
      <x:c r="G259" s="3" t="str">
        <x:v>GET BACKEND /api/admin/resource-categories hợp lệ</x:v>
      </x:c>
      <x:c r="H259" s="3" t="str">
        <x:v>OBS-API</x:v>
      </x:c>
      <x:c r="I259" s="3" t="str">
        <x:v>QTV có quyền tương ứng</x:v>
      </x:c>
      <x:c r="J259" s="3" t="str">
        <x:v>Positive</x:v>
      </x:c>
      <x:c r="K259" s="3" t="str">
        <x:v>High</x:v>
      </x:c>
      <x:c r="L259" s="3" t="str">
        <x:v>High</x:v>
      </x:c>
      <x:c r="M259" s="3" t="str">
        <x:v>Môi trường QA cô lập, DB/MinIO sẵn sàng; dữ liệu fixture đã tạo. Đăng nhập tài khoản ACTIVE, mustChangePassword=false.</x:v>
      </x:c>
      <x:c r="N259" s="3" t="str">
        <x:v>CATEGORY</x:v>
      </x:c>
      <x:c r="O259" s="3" t="str">
        <x:v>1. Chuẩn bị CATEGORY; Origin cùng ADMIN_URL nếu mutation admin
2. Gửi GET BACKEND /api/admin/resource-categories với query/body theo fixture
3. Kiểm tra response và dữ liệu liên quan</x:v>
      </x:c>
      <x:c r="P259" s="3" t="str">
        <x:v>HTTP 200; success=true; data.categories là array với _count.resources; message là chuỗi.</x:v>
      </x:c>
      <x:c r="Q259" s="11" t="str"/>
      <x:c r="R259" s="8" t="str">
        <x:v>NOT RUN</x:v>
      </x:c>
      <x:c r="S259" s="11" t="str">
        <x:v>QA/UAT — cần điền URL/build</x:v>
      </x:c>
      <x:c r="T259" s="11" t="str">
        <x:v>Cần điền phiên bản thực</x:v>
      </x:c>
      <x:c r="U259" s="11" t="str"/>
      <x:c r="V259" s="12" t="str"/>
      <x:c r="W259" s="11" t="str"/>
      <x:c r="X259" s="11" t="str"/>
      <x:c r="Y259" s="3" t="str">
        <x:v>Nguồn: backend/src/modules/cms/cms.routes.ts:456. Đối với proxy CMS giữ nguyên status/body upstream. Thay placeholder bằng ID/object key fixture; GET không gửi body.</x:v>
      </x:c>
    </x:row>
    <x:row r="260" ht="62" customHeight="1">
      <x:c r="A260" s="3" t="n">
        <x:v>259</x:v>
      </x:c>
      <x:c r="B260" s="3" t="str">
        <x:v>TC_API_030</x:v>
      </x:c>
      <x:c r="C260" s="3" t="str">
        <x:v>API</x:v>
      </x:c>
      <x:c r="D260" s="3" t="str">
        <x:v>Hợp đồng BACKEND</x:v>
      </x:c>
      <x:c r="E260" s="3" t="str">
        <x:v>Hợp đồng BACKEND</x:v>
      </x:c>
      <x:c r="F260" s="3" t="str">
        <x:v>Positive — POST BACKEND /api/admin/resource-categories hợp lệ</x:v>
      </x:c>
      <x:c r="G260" s="3" t="str">
        <x:v>POST BACKEND /api/admin/resource-categories hợp lệ</x:v>
      </x:c>
      <x:c r="H260" s="3" t="str">
        <x:v>OBS-API</x:v>
      </x:c>
      <x:c r="I260" s="3" t="str">
        <x:v>QTV có quyền tương ứng</x:v>
      </x:c>
      <x:c r="J260" s="3" t="str">
        <x:v>Positive</x:v>
      </x:c>
      <x:c r="K260" s="3" t="str">
        <x:v>High</x:v>
      </x:c>
      <x:c r="L260" s="3" t="str">
        <x:v>High</x:v>
      </x:c>
      <x:c r="M260" s="3" t="str">
        <x:v>Môi trường QA cô lập, DB/MinIO sẵn sàng; dữ liệu fixture đã tạo. Đăng nhập tài khoản ACTIVE, mustChangePassword=false.</x:v>
      </x:c>
      <x:c r="N260" s="3" t="str">
        <x:v>CATEGORY</x:v>
      </x:c>
      <x:c r="O260" s="3" t="str">
        <x:v>1. Chuẩn bị CATEGORY; Origin cùng ADMIN_URL nếu mutation admin
2. Gửi POST BACKEND /api/admin/resource-categories với query/body theo fixture
3. Kiểm tra response và dữ liệu liên quan</x:v>
      </x:c>
      <x:c r="P260" s="3" t="str">
        <x:v>HTTP 201; success=true; data.category={id,name,createdAt,updatedAt}; message là chuỗi.</x:v>
      </x:c>
      <x:c r="Q260" s="11" t="str"/>
      <x:c r="R260" s="8" t="str">
        <x:v>NOT RUN</x:v>
      </x:c>
      <x:c r="S260" s="11" t="str">
        <x:v>QA/UAT — cần điền URL/build</x:v>
      </x:c>
      <x:c r="T260" s="11" t="str">
        <x:v>Cần điền phiên bản thực</x:v>
      </x:c>
      <x:c r="U260" s="11" t="str"/>
      <x:c r="V260" s="12" t="str"/>
      <x:c r="W260" s="11" t="str"/>
      <x:c r="X260" s="11" t="str"/>
      <x:c r="Y260" s="3" t="str">
        <x:v>Nguồn: backend/src/modules/cms/cms.routes.ts:456. Đối với proxy CMS giữ nguyên status/body upstream. Thay placeholder bằng ID/object key fixture; GET không gửi body.</x:v>
      </x:c>
    </x:row>
    <x:row r="261" ht="49" customHeight="1">
      <x:c r="A261" s="3" t="n">
        <x:v>260</x:v>
      </x:c>
      <x:c r="B261" s="3" t="str">
        <x:v>TC_API_031</x:v>
      </x:c>
      <x:c r="C261" s="3" t="str">
        <x:v>API</x:v>
      </x:c>
      <x:c r="D261" s="3" t="str">
        <x:v>Payload lỗi</x:v>
      </x:c>
      <x:c r="E261" s="3" t="str">
        <x:v>Payload lỗi</x:v>
      </x:c>
      <x:c r="F261" s="3" t="str">
        <x:v>Negative — POST BACKEND /api/admin/resource-categories JSON hỏng</x:v>
      </x:c>
      <x:c r="G261" s="3" t="str">
        <x:v>POST BACKEND /api/admin/resource-categories JSON hỏng</x:v>
      </x:c>
      <x:c r="H261" s="3" t="str">
        <x:v>OBS-API</x:v>
      </x:c>
      <x:c r="I261" s="3" t="str">
        <x:v>QTV có quyền tương ứng</x:v>
      </x:c>
      <x:c r="J261" s="3" t="str">
        <x:v>Negative</x:v>
      </x:c>
      <x:c r="K261" s="3" t="str">
        <x:v>Medium</x:v>
      </x:c>
      <x:c r="L261" s="3" t="str">
        <x:v>Medium</x:v>
      </x:c>
      <x:c r="M261" s="3" t="str">
        <x:v>Môi trường QA cô lập, DB/MinIO sẵn sàng; dữ liệu fixture đã tạo. Đăng nhập tài khoản ACTIVE, mustChangePassword=false.</x:v>
      </x:c>
      <x:c r="N261" s="3" t="str">
        <x:v>{"qa":</x:v>
      </x:c>
      <x:c r="O261" s="3" t="str">
        <x:v>1. Đặt Content-Type application/json
2. Gửi POST BACKEND /api/admin/resource-categories với body {"qa":
3. Kiểm tra response</x:v>
      </x:c>
      <x:c r="P261" s="3" t="str">
        <x:v>Không xử lý mutation; lỗi HTTP 400 kỳ vọng; không lộ stack/SQL. Nếu route trả 500 ghi defect.</x:v>
      </x:c>
      <x:c r="Q261" s="11" t="str"/>
      <x:c r="R261" s="8" t="str">
        <x:v>NOT RUN</x:v>
      </x:c>
      <x:c r="S261" s="11" t="str">
        <x:v>QA/UAT — cần điền URL/build</x:v>
      </x:c>
      <x:c r="T261" s="11" t="str">
        <x:v>Cần điền phiên bản thực</x:v>
      </x:c>
      <x:c r="U261" s="11" t="str"/>
      <x:c r="V261" s="12" t="str"/>
      <x:c r="W261" s="11" t="str"/>
      <x:c r="X261" s="11" t="str"/>
      <x:c r="Y261" s="3" t="str">
        <x:v>Nguồn: backend/src/modules/cms/cms.routes.ts:456. </x:v>
      </x:c>
    </x:row>
    <x:row r="262" ht="62" customHeight="1">
      <x:c r="A262" s="3" t="n">
        <x:v>261</x:v>
      </x:c>
      <x:c r="B262" s="3" t="str">
        <x:v>TC_API_032</x:v>
      </x:c>
      <x:c r="C262" s="3" t="str">
        <x:v>API</x:v>
      </x:c>
      <x:c r="D262" s="3" t="str">
        <x:v>Hợp đồng BACKEND</x:v>
      </x:c>
      <x:c r="E262" s="3" t="str">
        <x:v>Hợp đồng BACKEND</x:v>
      </x:c>
      <x:c r="F262" s="3" t="str">
        <x:v>Positive — PUT BACKEND /api/admin/resource-categories/:id hợp lệ</x:v>
      </x:c>
      <x:c r="G262" s="3" t="str">
        <x:v>PUT BACKEND /api/admin/resource-categories/:id hợp lệ</x:v>
      </x:c>
      <x:c r="H262" s="3" t="str">
        <x:v>OBS-API</x:v>
      </x:c>
      <x:c r="I262" s="3" t="str">
        <x:v>QTV có quyền tương ứng</x:v>
      </x:c>
      <x:c r="J262" s="3" t="str">
        <x:v>Positive</x:v>
      </x:c>
      <x:c r="K262" s="3" t="str">
        <x:v>High</x:v>
      </x:c>
      <x:c r="L262" s="3" t="str">
        <x:v>High</x:v>
      </x:c>
      <x:c r="M262" s="3" t="str">
        <x:v>Môi trường QA cô lập, DB/MinIO sẵn sàng; dữ liệu fixture đã tạo. Đăng nhập tài khoản ACTIVE, mustChangePassword=false.</x:v>
      </x:c>
      <x:c r="N262" s="3" t="str">
        <x:v>CATEGORY</x:v>
      </x:c>
      <x:c r="O262" s="3" t="str">
        <x:v>1. Chuẩn bị CATEGORY; Origin cùng ADMIN_URL nếu mutation admin
2. Gửi PUT BACKEND /api/admin/resource-categories/:id với query/body theo fixture
3. Kiểm tra response và dữ liệu liên quan</x:v>
      </x:c>
      <x:c r="P262" s="3" t="str">
        <x:v>HTTP 200; success=true; data.category={id,name,createdAt,updatedAt}; message là chuỗi.</x:v>
      </x:c>
      <x:c r="Q262" s="11" t="str"/>
      <x:c r="R262" s="8" t="str">
        <x:v>NOT RUN</x:v>
      </x:c>
      <x:c r="S262" s="11" t="str">
        <x:v>QA/UAT — cần điền URL/build</x:v>
      </x:c>
      <x:c r="T262" s="11" t="str">
        <x:v>Cần điền phiên bản thực</x:v>
      </x:c>
      <x:c r="U262" s="11" t="str"/>
      <x:c r="V262" s="12" t="str"/>
      <x:c r="W262" s="11" t="str"/>
      <x:c r="X262" s="11" t="str"/>
      <x:c r="Y262" s="3" t="str">
        <x:v>Nguồn: backend/src/modules/cms/cms.routes.ts:458. Đối với proxy CMS giữ nguyên status/body upstream. Thay placeholder bằng ID/object key fixture; GET không gửi body.</x:v>
      </x:c>
    </x:row>
    <x:row r="263" ht="49" customHeight="1">
      <x:c r="A263" s="3" t="n">
        <x:v>262</x:v>
      </x:c>
      <x:c r="B263" s="3" t="str">
        <x:v>TC_API_033</x:v>
      </x:c>
      <x:c r="C263" s="3" t="str">
        <x:v>API</x:v>
      </x:c>
      <x:c r="D263" s="3" t="str">
        <x:v>Payload lỗi</x:v>
      </x:c>
      <x:c r="E263" s="3" t="str">
        <x:v>Payload lỗi</x:v>
      </x:c>
      <x:c r="F263" s="3" t="str">
        <x:v>Negative — PUT BACKEND /api/admin/resource-categories/:id JSON hỏng</x:v>
      </x:c>
      <x:c r="G263" s="3" t="str">
        <x:v>PUT BACKEND /api/admin/resource-categories/:id JSON hỏng</x:v>
      </x:c>
      <x:c r="H263" s="3" t="str">
        <x:v>OBS-API</x:v>
      </x:c>
      <x:c r="I263" s="3" t="str">
        <x:v>QTV có quyền tương ứng</x:v>
      </x:c>
      <x:c r="J263" s="3" t="str">
        <x:v>Negative</x:v>
      </x:c>
      <x:c r="K263" s="3" t="str">
        <x:v>Medium</x:v>
      </x:c>
      <x:c r="L263" s="3" t="str">
        <x:v>Medium</x:v>
      </x:c>
      <x:c r="M263" s="3" t="str">
        <x:v>Môi trường QA cô lập, DB/MinIO sẵn sàng; dữ liệu fixture đã tạo. Đăng nhập tài khoản ACTIVE, mustChangePassword=false.</x:v>
      </x:c>
      <x:c r="N263" s="3" t="str">
        <x:v>{"qa":</x:v>
      </x:c>
      <x:c r="O263" s="3" t="str">
        <x:v>1. Đặt Content-Type application/json
2. Gửi PUT BACKEND /api/admin/resource-categories/:id với body {"qa":
3. Kiểm tra response</x:v>
      </x:c>
      <x:c r="P263" s="3" t="str">
        <x:v>Không xử lý mutation; lỗi HTTP 400 kỳ vọng; không lộ stack/SQL. Nếu route trả 500 ghi defect.</x:v>
      </x:c>
      <x:c r="Q263" s="11" t="str"/>
      <x:c r="R263" s="8" t="str">
        <x:v>NOT RUN</x:v>
      </x:c>
      <x:c r="S263" s="11" t="str">
        <x:v>QA/UAT — cần điền URL/build</x:v>
      </x:c>
      <x:c r="T263" s="11" t="str">
        <x:v>Cần điền phiên bản thực</x:v>
      </x:c>
      <x:c r="U263" s="11" t="str"/>
      <x:c r="V263" s="12" t="str"/>
      <x:c r="W263" s="11" t="str"/>
      <x:c r="X263" s="11" t="str"/>
      <x:c r="Y263" s="3" t="str">
        <x:v>Nguồn: backend/src/modules/cms/cms.routes.ts:458. </x:v>
      </x:c>
    </x:row>
    <x:row r="264" ht="62" customHeight="1">
      <x:c r="A264" s="3" t="n">
        <x:v>263</x:v>
      </x:c>
      <x:c r="B264" s="3" t="str">
        <x:v>TC_API_034</x:v>
      </x:c>
      <x:c r="C264" s="3" t="str">
        <x:v>API</x:v>
      </x:c>
      <x:c r="D264" s="3" t="str">
        <x:v>Hợp đồng BACKEND</x:v>
      </x:c>
      <x:c r="E264" s="3" t="str">
        <x:v>Hợp đồng BACKEND</x:v>
      </x:c>
      <x:c r="F264" s="3" t="str">
        <x:v>Positive — DELETE BACKEND /api/admin/resource-categories/:id hợp lệ</x:v>
      </x:c>
      <x:c r="G264" s="3" t="str">
        <x:v>DELETE BACKEND /api/admin/resource-categories/:id hợp lệ</x:v>
      </x:c>
      <x:c r="H264" s="3" t="str">
        <x:v>OBS-API</x:v>
      </x:c>
      <x:c r="I264" s="3" t="str">
        <x:v>QTV có quyền tương ứng</x:v>
      </x:c>
      <x:c r="J264" s="3" t="str">
        <x:v>Positive</x:v>
      </x:c>
      <x:c r="K264" s="3" t="str">
        <x:v>High</x:v>
      </x:c>
      <x:c r="L264" s="3" t="str">
        <x:v>High</x:v>
      </x:c>
      <x:c r="M264" s="3" t="str">
        <x:v>Môi trường QA cô lập, DB/MinIO sẵn sàng; dữ liệu fixture đã tạo. Đăng nhập tài khoản ACTIVE, mustChangePassword=false.</x:v>
      </x:c>
      <x:c r="N264" s="3" t="str">
        <x:v>CATEGORY</x:v>
      </x:c>
      <x:c r="O264" s="3" t="str">
        <x:v>1. Chuẩn bị CATEGORY; Origin cùng ADMIN_URL nếu mutation admin
2. Gửi DELETE BACKEND /api/admin/resource-categories/:id với query/body theo fixture
3. Kiểm tra response và dữ liệu liên quan</x:v>
      </x:c>
      <x:c r="P264" s="3" t="str">
        <x:v>HTTP 200; success=true; data={}; message là chuỗi.</x:v>
      </x:c>
      <x:c r="Q264" s="11" t="str"/>
      <x:c r="R264" s="8" t="str">
        <x:v>NOT RUN</x:v>
      </x:c>
      <x:c r="S264" s="11" t="str">
        <x:v>QA/UAT — cần điền URL/build</x:v>
      </x:c>
      <x:c r="T264" s="11" t="str">
        <x:v>Cần điền phiên bản thực</x:v>
      </x:c>
      <x:c r="U264" s="11" t="str"/>
      <x:c r="V264" s="12" t="str"/>
      <x:c r="W264" s="11" t="str"/>
      <x:c r="X264" s="11" t="str"/>
      <x:c r="Y264" s="3" t="str">
        <x:v>Nguồn: backend/src/modules/cms/cms.routes.ts:458. Đối với proxy CMS giữ nguyên status/body upstream. Thay placeholder bằng ID/object key fixture; GET không gửi body.</x:v>
      </x:c>
    </x:row>
    <x:row r="265" ht="75" customHeight="1">
      <x:c r="A265" s="3" t="n">
        <x:v>264</x:v>
      </x:c>
      <x:c r="B265" s="3" t="str">
        <x:v>TC_API_035</x:v>
      </x:c>
      <x:c r="C265" s="3" t="str">
        <x:v>API</x:v>
      </x:c>
      <x:c r="D265" s="3" t="str">
        <x:v>Hợp đồng BACKEND</x:v>
      </x:c>
      <x:c r="E265" s="3" t="str">
        <x:v>Hợp đồng BACKEND</x:v>
      </x:c>
      <x:c r="F265" s="3" t="str">
        <x:v>Positive — GET BACKEND /api/admin/applications hợp lệ</x:v>
      </x:c>
      <x:c r="G265" s="3" t="str">
        <x:v>GET BACKEND /api/admin/applications hợp lệ</x:v>
      </x:c>
      <x:c r="H265" s="3" t="str">
        <x:v>OBS-API</x:v>
      </x:c>
      <x:c r="I265" s="3" t="str">
        <x:v>QTV có quyền tương ứng</x:v>
      </x:c>
      <x:c r="J265" s="3" t="str">
        <x:v>Positive</x:v>
      </x:c>
      <x:c r="K265" s="3" t="str">
        <x:v>High</x:v>
      </x:c>
      <x:c r="L265" s="3" t="str">
        <x:v>High</x:v>
      </x:c>
      <x:c r="M265" s="3" t="str">
        <x:v>Môi trường QA cô lập, DB/MinIO sẵn sàng; dữ liệu fixture đã tạo. Đăng nhập tài khoản ACTIVE, mustChangePassword=false.</x:v>
      </x:c>
      <x:c r="N265" s="3" t="str">
        <x:v>Fixture tương ứng route; tham số mặc định; ID/path hợp lệ trong QA</x:v>
      </x:c>
      <x:c r="O265" s="3" t="str">
        <x:v>1. Chuẩn bị Fixture tương ứng route; tham số mặc định; ID/path hợp lệ trong QA; Origin cùng ADMIN_URL nếu mutation admin
2. Gửi GET BACKEND /api/admin/applications với query/body theo fixture
3. Kiểm tra response và dữ liệu liên quan</x:v>
      </x:c>
      <x:c r="P265" s="3" t="str">
        <x:v>HTTP 200; success=true; data.applications là array tối đa200, createdAt giảm dần; message là chuỗi.</x:v>
      </x:c>
      <x:c r="Q265" s="11" t="str"/>
      <x:c r="R265" s="8" t="str">
        <x:v>NOT RUN</x:v>
      </x:c>
      <x:c r="S265" s="11" t="str">
        <x:v>QA/UAT — cần điền URL/build</x:v>
      </x:c>
      <x:c r="T265" s="11" t="str">
        <x:v>Cần điền phiên bản thực</x:v>
      </x:c>
      <x:c r="U265" s="11" t="str"/>
      <x:c r="V265" s="12" t="str"/>
      <x:c r="W265" s="11" t="str"/>
      <x:c r="X265" s="11" t="str"/>
      <x:c r="Y265" s="3" t="str">
        <x:v>Nguồn: backend/src/modules/cms/cms.routes.ts:460. Đối với proxy CMS giữ nguyên status/body upstream. Thay placeholder bằng ID/object key fixture; GET không gửi body.</x:v>
      </x:c>
    </x:row>
    <x:row r="266" ht="62" customHeight="1">
      <x:c r="A266" s="3" t="n">
        <x:v>265</x:v>
      </x:c>
      <x:c r="B266" s="3" t="str">
        <x:v>TC_API_036</x:v>
      </x:c>
      <x:c r="C266" s="3" t="str">
        <x:v>API</x:v>
      </x:c>
      <x:c r="D266" s="3" t="str">
        <x:v>Hợp đồng BACKEND</x:v>
      </x:c>
      <x:c r="E266" s="3" t="str">
        <x:v>Hợp đồng BACKEND</x:v>
      </x:c>
      <x:c r="F266" s="3" t="str">
        <x:v>Positive — GET BACKEND /api/admin/site-content hợp lệ</x:v>
      </x:c>
      <x:c r="G266" s="3" t="str">
        <x:v>GET BACKEND /api/admin/site-content hợp lệ</x:v>
      </x:c>
      <x:c r="H266" s="3" t="str">
        <x:v>OBS-API</x:v>
      </x:c>
      <x:c r="I266" s="3" t="str">
        <x:v>QTV có quyền tương ứng</x:v>
      </x:c>
      <x:c r="J266" s="3" t="str">
        <x:v>Positive</x:v>
      </x:c>
      <x:c r="K266" s="3" t="str">
        <x:v>High</x:v>
      </x:c>
      <x:c r="L266" s="3" t="str">
        <x:v>High</x:v>
      </x:c>
      <x:c r="M266" s="3" t="str">
        <x:v>Môi trường QA cô lập, DB/MinIO sẵn sàng; dữ liệu fixture đã tạo. Đăng nhập tài khoản ACTIVE, mustChangePassword=false.</x:v>
      </x:c>
      <x:c r="N266" s="3" t="str">
        <x:v>SITE</x:v>
      </x:c>
      <x:c r="O266" s="3" t="str">
        <x:v>1. Chuẩn bị SITE; Origin cùng ADMIN_URL nếu mutation admin
2. Gửi GET BACKEND /api/admin/site-content với query/body theo fixture
3. Kiểm tra response và dữ liệu liên quan</x:v>
      </x:c>
      <x:c r="P266" s="3" t="str">
        <x:v>HTTP 200; success=true; data.contents là array; message là chuỗi.</x:v>
      </x:c>
      <x:c r="Q266" s="11" t="str"/>
      <x:c r="R266" s="8" t="str">
        <x:v>NOT RUN</x:v>
      </x:c>
      <x:c r="S266" s="11" t="str">
        <x:v>QA/UAT — cần điền URL/build</x:v>
      </x:c>
      <x:c r="T266" s="11" t="str">
        <x:v>Cần điền phiên bản thực</x:v>
      </x:c>
      <x:c r="U266" s="11" t="str"/>
      <x:c r="V266" s="12" t="str"/>
      <x:c r="W266" s="11" t="str"/>
      <x:c r="X266" s="11" t="str"/>
      <x:c r="Y266" s="3" t="str">
        <x:v>Nguồn: backend/src/modules/cms/cms.routes.ts:462. Đối với proxy CMS giữ nguyên status/body upstream. Thay placeholder bằng ID/object key fixture; GET không gửi body.</x:v>
      </x:c>
    </x:row>
    <x:row r="267" ht="62" customHeight="1">
      <x:c r="A267" s="3" t="n">
        <x:v>266</x:v>
      </x:c>
      <x:c r="B267" s="3" t="str">
        <x:v>TC_API_037</x:v>
      </x:c>
      <x:c r="C267" s="3" t="str">
        <x:v>API</x:v>
      </x:c>
      <x:c r="D267" s="3" t="str">
        <x:v>Hợp đồng BACKEND</x:v>
      </x:c>
      <x:c r="E267" s="3" t="str">
        <x:v>Hợp đồng BACKEND</x:v>
      </x:c>
      <x:c r="F267" s="3" t="str">
        <x:v>Positive — POST BACKEND /api/admin/site-content hợp lệ</x:v>
      </x:c>
      <x:c r="G267" s="3" t="str">
        <x:v>POST BACKEND /api/admin/site-content hợp lệ</x:v>
      </x:c>
      <x:c r="H267" s="3" t="str">
        <x:v>OBS-API</x:v>
      </x:c>
      <x:c r="I267" s="3" t="str">
        <x:v>QTV có quyền tương ứng</x:v>
      </x:c>
      <x:c r="J267" s="3" t="str">
        <x:v>Positive</x:v>
      </x:c>
      <x:c r="K267" s="3" t="str">
        <x:v>High</x:v>
      </x:c>
      <x:c r="L267" s="3" t="str">
        <x:v>High</x:v>
      </x:c>
      <x:c r="M267" s="3" t="str">
        <x:v>Môi trường QA cô lập, DB/MinIO sẵn sàng; dữ liệu fixture đã tạo. Đăng nhập tài khoản ACTIVE, mustChangePassword=false.</x:v>
      </x:c>
      <x:c r="N267" s="3" t="str">
        <x:v>SITE</x:v>
      </x:c>
      <x:c r="O267" s="3" t="str">
        <x:v>1. Chuẩn bị SITE; Origin cùng ADMIN_URL nếu mutation admin
2. Gửi POST BACKEND /api/admin/site-content với query/body theo fixture
3. Kiểm tra response và dữ liệu liên quan</x:v>
      </x:c>
      <x:c r="P267" s="3" t="str">
        <x:v>HTTP 200; success=true; data.content có key/value/locale/published khớp SITE; message là chuỗi.</x:v>
      </x:c>
      <x:c r="Q267" s="11" t="str"/>
      <x:c r="R267" s="8" t="str">
        <x:v>NOT RUN</x:v>
      </x:c>
      <x:c r="S267" s="11" t="str">
        <x:v>QA/UAT — cần điền URL/build</x:v>
      </x:c>
      <x:c r="T267" s="11" t="str">
        <x:v>Cần điền phiên bản thực</x:v>
      </x:c>
      <x:c r="U267" s="11" t="str"/>
      <x:c r="V267" s="12" t="str"/>
      <x:c r="W267" s="11" t="str"/>
      <x:c r="X267" s="11" t="str"/>
      <x:c r="Y267" s="3" t="str">
        <x:v>Nguồn: backend/src/modules/cms/cms.routes.ts:462. Đối với proxy CMS giữ nguyên status/body upstream. Thay placeholder bằng ID/object key fixture; GET không gửi body.</x:v>
      </x:c>
    </x:row>
    <x:row r="268" ht="49" customHeight="1">
      <x:c r="A268" s="3" t="n">
        <x:v>267</x:v>
      </x:c>
      <x:c r="B268" s="3" t="str">
        <x:v>TC_API_038</x:v>
      </x:c>
      <x:c r="C268" s="3" t="str">
        <x:v>API</x:v>
      </x:c>
      <x:c r="D268" s="3" t="str">
        <x:v>Payload lỗi</x:v>
      </x:c>
      <x:c r="E268" s="3" t="str">
        <x:v>Payload lỗi</x:v>
      </x:c>
      <x:c r="F268" s="3" t="str">
        <x:v>Negative — POST BACKEND /api/admin/site-content JSON hỏng</x:v>
      </x:c>
      <x:c r="G268" s="3" t="str">
        <x:v>POST BACKEND /api/admin/site-content JSON hỏng</x:v>
      </x:c>
      <x:c r="H268" s="3" t="str">
        <x:v>OBS-API</x:v>
      </x:c>
      <x:c r="I268" s="3" t="str">
        <x:v>QTV có quyền tương ứng</x:v>
      </x:c>
      <x:c r="J268" s="3" t="str">
        <x:v>Negative</x:v>
      </x:c>
      <x:c r="K268" s="3" t="str">
        <x:v>Medium</x:v>
      </x:c>
      <x:c r="L268" s="3" t="str">
        <x:v>Medium</x:v>
      </x:c>
      <x:c r="M268" s="3" t="str">
        <x:v>Môi trường QA cô lập, DB/MinIO sẵn sàng; dữ liệu fixture đã tạo. Đăng nhập tài khoản ACTIVE, mustChangePassword=false.</x:v>
      </x:c>
      <x:c r="N268" s="3" t="str">
        <x:v>{"qa":</x:v>
      </x:c>
      <x:c r="O268" s="3" t="str">
        <x:v>1. Đặt Content-Type application/json
2. Gửi POST BACKEND /api/admin/site-content với body {"qa":
3. Kiểm tra response</x:v>
      </x:c>
      <x:c r="P268" s="3" t="str">
        <x:v>Không xử lý mutation; lỗi HTTP 400 kỳ vọng; không lộ stack/SQL. Nếu route trả 500 ghi defect.</x:v>
      </x:c>
      <x:c r="Q268" s="11" t="str"/>
      <x:c r="R268" s="8" t="str">
        <x:v>NOT RUN</x:v>
      </x:c>
      <x:c r="S268" s="11" t="str">
        <x:v>QA/UAT — cần điền URL/build</x:v>
      </x:c>
      <x:c r="T268" s="11" t="str">
        <x:v>Cần điền phiên bản thực</x:v>
      </x:c>
      <x:c r="U268" s="11" t="str"/>
      <x:c r="V268" s="12" t="str"/>
      <x:c r="W268" s="11" t="str"/>
      <x:c r="X268" s="11" t="str"/>
      <x:c r="Y268" s="3" t="str">
        <x:v>Nguồn: backend/src/modules/cms/cms.routes.ts:462. </x:v>
      </x:c>
    </x:row>
    <x:row r="269" ht="62" customHeight="1">
      <x:c r="A269" s="3" t="n">
        <x:v>268</x:v>
      </x:c>
      <x:c r="B269" s="3" t="str">
        <x:v>TC_API_039</x:v>
      </x:c>
      <x:c r="C269" s="3" t="str">
        <x:v>API</x:v>
      </x:c>
      <x:c r="D269" s="3" t="str">
        <x:v>Hợp đồng BACKEND</x:v>
      </x:c>
      <x:c r="E269" s="3" t="str">
        <x:v>Hợp đồng BACKEND</x:v>
      </x:c>
      <x:c r="F269" s="3" t="str">
        <x:v>Positive — POST BACKEND /api/public/consultations hợp lệ</x:v>
      </x:c>
      <x:c r="G269" s="3" t="str">
        <x:v>POST BACKEND /api/public/consultations hợp lệ</x:v>
      </x:c>
      <x:c r="H269" s="3" t="str">
        <x:v>OBS-API</x:v>
      </x:c>
      <x:c r="I269" s="3" t="str">
        <x:v>QTV có quyền tương ứng</x:v>
      </x:c>
      <x:c r="J269" s="3" t="str">
        <x:v>Positive</x:v>
      </x:c>
      <x:c r="K269" s="3" t="str">
        <x:v>High</x:v>
      </x:c>
      <x:c r="L269" s="3" t="str">
        <x:v>High</x:v>
      </x:c>
      <x:c r="M269" s="3" t="str">
        <x:v>Môi trường QA cô lập, DB/MinIO sẵn sàng; dữ liệu fixture đã tạo. Đăng nhập tài khoản ACTIVE, mustChangePassword=false.</x:v>
      </x:c>
      <x:c r="N269" s="3" t="str">
        <x:v>CONSULT</x:v>
      </x:c>
      <x:c r="O269" s="3" t="str">
        <x:v>1. Chuẩn bị CONSULT; Origin cùng ADMIN_URL nếu mutation admin
2. Gửi POST BACKEND /api/public/consultations với query/body theo fixture
3. Kiểm tra response và dữ liệu liên quan</x:v>
      </x:c>
      <x:c r="P269" s="3" t="str">
        <x:v>HTTP 201; success=true; data.id là ID lead mới; message là chuỗi.</x:v>
      </x:c>
      <x:c r="Q269" s="11" t="str"/>
      <x:c r="R269" s="8" t="str">
        <x:v>NOT RUN</x:v>
      </x:c>
      <x:c r="S269" s="11" t="str">
        <x:v>QA/UAT — cần điền URL/build</x:v>
      </x:c>
      <x:c r="T269" s="11" t="str">
        <x:v>Cần điền phiên bản thực</x:v>
      </x:c>
      <x:c r="U269" s="11" t="str"/>
      <x:c r="V269" s="12" t="str"/>
      <x:c r="W269" s="11" t="str"/>
      <x:c r="X269" s="11" t="str"/>
      <x:c r="Y269" s="3" t="str">
        <x:v>Nguồn: backend/src/modules/consultations/consultations.routes.ts:29. Đối với proxy CMS giữ nguyên status/body upstream. Thay placeholder bằng ID/object key fixture; GET không gửi body.</x:v>
      </x:c>
    </x:row>
    <x:row r="270" ht="49" customHeight="1">
      <x:c r="A270" s="3" t="n">
        <x:v>269</x:v>
      </x:c>
      <x:c r="B270" s="3" t="str">
        <x:v>TC_API_040</x:v>
      </x:c>
      <x:c r="C270" s="3" t="str">
        <x:v>API</x:v>
      </x:c>
      <x:c r="D270" s="3" t="str">
        <x:v>Payload lỗi</x:v>
      </x:c>
      <x:c r="E270" s="3" t="str">
        <x:v>Payload lỗi</x:v>
      </x:c>
      <x:c r="F270" s="3" t="str">
        <x:v>Negative — POST BACKEND /api/public/consultations JSON hỏng</x:v>
      </x:c>
      <x:c r="G270" s="3" t="str">
        <x:v>POST BACKEND /api/public/consultations JSON hỏng</x:v>
      </x:c>
      <x:c r="H270" s="3" t="str">
        <x:v>OBS-API</x:v>
      </x:c>
      <x:c r="I270" s="3" t="str">
        <x:v>QTV có quyền tương ứng</x:v>
      </x:c>
      <x:c r="J270" s="3" t="str">
        <x:v>Negative</x:v>
      </x:c>
      <x:c r="K270" s="3" t="str">
        <x:v>Medium</x:v>
      </x:c>
      <x:c r="L270" s="3" t="str">
        <x:v>Medium</x:v>
      </x:c>
      <x:c r="M270" s="3" t="str">
        <x:v>Môi trường QA cô lập, DB/MinIO sẵn sàng; dữ liệu fixture đã tạo. Đăng nhập tài khoản ACTIVE, mustChangePassword=false.</x:v>
      </x:c>
      <x:c r="N270" s="3" t="str">
        <x:v>{"qa":</x:v>
      </x:c>
      <x:c r="O270" s="3" t="str">
        <x:v>1. Đặt Content-Type application/json
2. Gửi POST BACKEND /api/public/consultations với body {"qa":
3. Kiểm tra response</x:v>
      </x:c>
      <x:c r="P270" s="3" t="str">
        <x:v>Không xử lý mutation; lỗi HTTP 400 kỳ vọng; không lộ stack/SQL. Nếu route trả 500 ghi defect.</x:v>
      </x:c>
      <x:c r="Q270" s="11" t="str"/>
      <x:c r="R270" s="8" t="str">
        <x:v>NOT RUN</x:v>
      </x:c>
      <x:c r="S270" s="11" t="str">
        <x:v>QA/UAT — cần điền URL/build</x:v>
      </x:c>
      <x:c r="T270" s="11" t="str">
        <x:v>Cần điền phiên bản thực</x:v>
      </x:c>
      <x:c r="U270" s="11" t="str"/>
      <x:c r="V270" s="12" t="str"/>
      <x:c r="W270" s="11" t="str"/>
      <x:c r="X270" s="11" t="str"/>
      <x:c r="Y270" s="3" t="str">
        <x:v>Nguồn: backend/src/modules/consultations/consultations.routes.ts:29. </x:v>
      </x:c>
    </x:row>
    <x:row r="271" ht="62" customHeight="1">
      <x:c r="A271" s="3" t="n">
        <x:v>270</x:v>
      </x:c>
      <x:c r="B271" s="3" t="str">
        <x:v>TC_API_041</x:v>
      </x:c>
      <x:c r="C271" s="3" t="str">
        <x:v>API</x:v>
      </x:c>
      <x:c r="D271" s="3" t="str">
        <x:v>Hợp đồng BACKEND</x:v>
      </x:c>
      <x:c r="E271" s="3" t="str">
        <x:v>Hợp đồng BACKEND</x:v>
      </x:c>
      <x:c r="F271" s="3" t="str">
        <x:v>Positive — GET BACKEND /api/admin/consultations hợp lệ</x:v>
      </x:c>
      <x:c r="G271" s="3" t="str">
        <x:v>GET BACKEND /api/admin/consultations hợp lệ</x:v>
      </x:c>
      <x:c r="H271" s="3" t="str">
        <x:v>OBS-API</x:v>
      </x:c>
      <x:c r="I271" s="3" t="str">
        <x:v>QTV có quyền tương ứng</x:v>
      </x:c>
      <x:c r="J271" s="3" t="str">
        <x:v>Positive</x:v>
      </x:c>
      <x:c r="K271" s="3" t="str">
        <x:v>High</x:v>
      </x:c>
      <x:c r="L271" s="3" t="str">
        <x:v>High</x:v>
      </x:c>
      <x:c r="M271" s="3" t="str">
        <x:v>Môi trường QA cô lập, DB/MinIO sẵn sàng; dữ liệu fixture đã tạo. Đăng nhập tài khoản ACTIVE, mustChangePassword=false.</x:v>
      </x:c>
      <x:c r="N271" s="3" t="str">
        <x:v>Lead fixture</x:v>
      </x:c>
      <x:c r="O271" s="3" t="str">
        <x:v>1. Chuẩn bị Lead fixture; Origin cùng ADMIN_URL nếu mutation admin
2. Gửi GET BACKEND /api/admin/consultations với query/body theo fixture
3. Kiểm tra response và dữ liệu liên quan</x:v>
      </x:c>
      <x:c r="P271" s="3" t="str">
        <x:v>HTTP 200; success=true; data.consultations là array có assignedAdmin; message là chuỗi.</x:v>
      </x:c>
      <x:c r="Q271" s="11" t="str"/>
      <x:c r="R271" s="8" t="str">
        <x:v>NOT RUN</x:v>
      </x:c>
      <x:c r="S271" s="11" t="str">
        <x:v>QA/UAT — cần điền URL/build</x:v>
      </x:c>
      <x:c r="T271" s="11" t="str">
        <x:v>Cần điền phiên bản thực</x:v>
      </x:c>
      <x:c r="U271" s="11" t="str"/>
      <x:c r="V271" s="12" t="str"/>
      <x:c r="W271" s="11" t="str"/>
      <x:c r="X271" s="11" t="str"/>
      <x:c r="Y271" s="3" t="str">
        <x:v>Nguồn: backend/src/modules/consultations/consultations.routes.ts:86. Đối với proxy CMS giữ nguyên status/body upstream. Thay placeholder bằng ID/object key fixture; GET không gửi body.</x:v>
      </x:c>
    </x:row>
    <x:row r="272" ht="75" customHeight="1">
      <x:c r="A272" s="3" t="n">
        <x:v>271</x:v>
      </x:c>
      <x:c r="B272" s="3" t="str">
        <x:v>TC_API_042</x:v>
      </x:c>
      <x:c r="C272" s="3" t="str">
        <x:v>API</x:v>
      </x:c>
      <x:c r="D272" s="3" t="str">
        <x:v>Hợp đồng BACKEND</x:v>
      </x:c>
      <x:c r="E272" s="3" t="str">
        <x:v>Hợp đồng BACKEND</x:v>
      </x:c>
      <x:c r="F272" s="3" t="str">
        <x:v>Positive — PATCH BACKEND /api/admin/consultations/:id/status hợp lệ</x:v>
      </x:c>
      <x:c r="G272" s="3" t="str">
        <x:v>PATCH BACKEND /api/admin/consultations/:id/status hợp lệ</x:v>
      </x:c>
      <x:c r="H272" s="3" t="str">
        <x:v>OBS-API</x:v>
      </x:c>
      <x:c r="I272" s="3" t="str">
        <x:v>QTV có quyền tương ứng</x:v>
      </x:c>
      <x:c r="J272" s="3" t="str">
        <x:v>Positive</x:v>
      </x:c>
      <x:c r="K272" s="3" t="str">
        <x:v>High</x:v>
      </x:c>
      <x:c r="L272" s="3" t="str">
        <x:v>High</x:v>
      </x:c>
      <x:c r="M272" s="3" t="str">
        <x:v>Môi trường QA cô lập, DB/MinIO sẵn sàng; dữ liệu fixture đã tạo. Đăng nhập tài khoản ACTIVE, mustChangePassword=false.</x:v>
      </x:c>
      <x:c r="N272" s="3" t="str">
        <x:v>status=CONTACTING</x:v>
      </x:c>
      <x:c r="O272" s="3" t="str">
        <x:v>1. Chuẩn bị status=CONTACTING; Origin cùng ADMIN_URL nếu mutation admin
2. Gửi PATCH BACKEND /api/admin/consultations/:id/status với query/body theo fixture
3. Kiểm tra response và dữ liệu liên quan</x:v>
      </x:c>
      <x:c r="P272" s="3" t="str">
        <x:v>HTTP 200; success=true; data.consultation.status=CONTACTING; message là chuỗi.</x:v>
      </x:c>
      <x:c r="Q272" s="11" t="str"/>
      <x:c r="R272" s="8" t="str">
        <x:v>NOT RUN</x:v>
      </x:c>
      <x:c r="S272" s="11" t="str">
        <x:v>QA/UAT — cần điền URL/build</x:v>
      </x:c>
      <x:c r="T272" s="11" t="str">
        <x:v>Cần điền phiên bản thực</x:v>
      </x:c>
      <x:c r="U272" s="11" t="str"/>
      <x:c r="V272" s="12" t="str"/>
      <x:c r="W272" s="11" t="str"/>
      <x:c r="X272" s="11" t="str"/>
      <x:c r="Y272" s="3" t="str">
        <x:v>Nguồn: backend/src/modules/consultations/consultations.routes.ts:105. Đối với proxy CMS giữ nguyên status/body upstream. Thay placeholder bằng ID/object key fixture; GET không gửi body.</x:v>
      </x:c>
    </x:row>
    <x:row r="273" ht="62" customHeight="1">
      <x:c r="A273" s="3" t="n">
        <x:v>272</x:v>
      </x:c>
      <x:c r="B273" s="3" t="str">
        <x:v>TC_API_043</x:v>
      </x:c>
      <x:c r="C273" s="3" t="str">
        <x:v>API</x:v>
      </x:c>
      <x:c r="D273" s="3" t="str">
        <x:v>Payload lỗi</x:v>
      </x:c>
      <x:c r="E273" s="3" t="str">
        <x:v>Payload lỗi</x:v>
      </x:c>
      <x:c r="F273" s="3" t="str">
        <x:v>Negative — PATCH BACKEND /api/admin/consultations/:id/status JSON hỏng</x:v>
      </x:c>
      <x:c r="G273" s="3" t="str">
        <x:v>PATCH BACKEND /api/admin/consultations/:id/status JSON hỏng</x:v>
      </x:c>
      <x:c r="H273" s="3" t="str">
        <x:v>OBS-API</x:v>
      </x:c>
      <x:c r="I273" s="3" t="str">
        <x:v>QTV có quyền tương ứng</x:v>
      </x:c>
      <x:c r="J273" s="3" t="str">
        <x:v>Negative</x:v>
      </x:c>
      <x:c r="K273" s="3" t="str">
        <x:v>Medium</x:v>
      </x:c>
      <x:c r="L273" s="3" t="str">
        <x:v>Medium</x:v>
      </x:c>
      <x:c r="M273" s="3" t="str">
        <x:v>Môi trường QA cô lập, DB/MinIO sẵn sàng; dữ liệu fixture đã tạo. Đăng nhập tài khoản ACTIVE, mustChangePassword=false.</x:v>
      </x:c>
      <x:c r="N273" s="3" t="str">
        <x:v>{"qa":</x:v>
      </x:c>
      <x:c r="O273" s="3" t="str">
        <x:v>1. Đặt Content-Type application/json
2. Gửi PATCH BACKEND /api/admin/consultations/:id/status với body {"qa":
3. Kiểm tra response</x:v>
      </x:c>
      <x:c r="P273" s="3" t="str">
        <x:v>Không xử lý mutation; lỗi HTTP 400 kỳ vọng; không lộ stack/SQL. Nếu route trả 500 ghi defect.</x:v>
      </x:c>
      <x:c r="Q273" s="11" t="str"/>
      <x:c r="R273" s="8" t="str">
        <x:v>NOT RUN</x:v>
      </x:c>
      <x:c r="S273" s="11" t="str">
        <x:v>QA/UAT — cần điền URL/build</x:v>
      </x:c>
      <x:c r="T273" s="11" t="str">
        <x:v>Cần điền phiên bản thực</x:v>
      </x:c>
      <x:c r="U273" s="11" t="str"/>
      <x:c r="V273" s="12" t="str"/>
      <x:c r="W273" s="11" t="str"/>
      <x:c r="X273" s="11" t="str"/>
      <x:c r="Y273" s="3" t="str">
        <x:v>Nguồn: backend/src/modules/consultations/consultations.routes.ts:105. </x:v>
      </x:c>
    </x:row>
    <x:row r="274" ht="62" customHeight="1">
      <x:c r="A274" s="3" t="n">
        <x:v>273</x:v>
      </x:c>
      <x:c r="B274" s="3" t="str">
        <x:v>TC_API_044</x:v>
      </x:c>
      <x:c r="C274" s="3" t="str">
        <x:v>API</x:v>
      </x:c>
      <x:c r="D274" s="3" t="str">
        <x:v>Hợp đồng ADMIN</x:v>
      </x:c>
      <x:c r="E274" s="3" t="str">
        <x:v>Hợp đồng ADMIN</x:v>
      </x:c>
      <x:c r="F274" s="3" t="str">
        <x:v>Positive — GET ADMIN /api/admin/notifications hợp lệ</x:v>
      </x:c>
      <x:c r="G274" s="3" t="str">
        <x:v>GET ADMIN /api/admin/notifications hợp lệ</x:v>
      </x:c>
      <x:c r="H274" s="3" t="str">
        <x:v>OBS-API</x:v>
      </x:c>
      <x:c r="I274" s="3" t="str">
        <x:v>QTV có quyền tương ứng</x:v>
      </x:c>
      <x:c r="J274" s="3" t="str">
        <x:v>Positive</x:v>
      </x:c>
      <x:c r="K274" s="3" t="str">
        <x:v>High</x:v>
      </x:c>
      <x:c r="L274" s="3" t="str">
        <x:v>High</x:v>
      </x:c>
      <x:c r="M274" s="3" t="str">
        <x:v>Môi trường QA cô lập, DB/MinIO sẵn sàng; dữ liệu fixture đã tạo. Đăng nhập tài khoản ACTIVE, mustChangePassword=false.</x:v>
      </x:c>
      <x:c r="N274" s="3" t="str">
        <x:v>Fixture tương ứng route; tham số mặc định; ID/path hợp lệ trong QA</x:v>
      </x:c>
      <x:c r="O274" s="3" t="str">
        <x:v>1. Chuẩn bị Fixture tương ứng route; tham số mặc định; ID/path hợp lệ trong QA; Origin cùng ADMIN_URL nếu mutation admin
2. Gửi GET ADMIN /api/admin/notifications với query/body theo fixture
3. Kiểm tra response và dữ liệu liên quan</x:v>
      </x:c>
      <x:c r="P274" s="3" t="str">
        <x:v>HTTP200; notifications array theo createdAt giảm dần; mỗi mục có id,action,actorName,title,icon,category,createdAt,metadata; không vượt limit.</x:v>
      </x:c>
      <x:c r="Q274" s="11" t="str"/>
      <x:c r="R274" s="8" t="str">
        <x:v>NOT RUN</x:v>
      </x:c>
      <x:c r="S274" s="11" t="str">
        <x:v>QA/UAT — cần điền URL/build</x:v>
      </x:c>
      <x:c r="T274" s="11" t="str">
        <x:v>Cần điền phiên bản thực</x:v>
      </x:c>
      <x:c r="U274" s="11" t="str"/>
      <x:c r="V274" s="12" t="str"/>
      <x:c r="W274" s="11" t="str"/>
      <x:c r="X274" s="11" t="str"/>
      <x:c r="Y274" s="3" t="str">
        <x:v>Nguồn: admin/src/app/api/admin/notifications/route.ts. Đối với proxy CMS giữ nguyên status/body upstream. Thay placeholder bằng ID/object key fixture; GET không gửi body.</x:v>
      </x:c>
    </x:row>
    <x:row r="275" ht="62" customHeight="1">
      <x:c r="A275" s="3" t="n">
        <x:v>274</x:v>
      </x:c>
      <x:c r="B275" s="3" t="str">
        <x:v>TC_API_045</x:v>
      </x:c>
      <x:c r="C275" s="3" t="str">
        <x:v>API</x:v>
      </x:c>
      <x:c r="D275" s="3" t="str">
        <x:v>Hợp đồng ADMIN</x:v>
      </x:c>
      <x:c r="E275" s="3" t="str">
        <x:v>Hợp đồng ADMIN</x:v>
      </x:c>
      <x:c r="F275" s="3" t="str">
        <x:v>Positive — GET ADMIN /api/admin/users hợp lệ</x:v>
      </x:c>
      <x:c r="G275" s="3" t="str">
        <x:v>GET ADMIN /api/admin/users hợp lệ</x:v>
      </x:c>
      <x:c r="H275" s="3" t="str">
        <x:v>OBS-API</x:v>
      </x:c>
      <x:c r="I275" s="3" t="str">
        <x:v>QTV có quyền tương ứng</x:v>
      </x:c>
      <x:c r="J275" s="3" t="str">
        <x:v>Positive</x:v>
      </x:c>
      <x:c r="K275" s="3" t="str">
        <x:v>High</x:v>
      </x:c>
      <x:c r="L275" s="3" t="str">
        <x:v>High</x:v>
      </x:c>
      <x:c r="M275" s="3" t="str">
        <x:v>Môi trường QA cô lập, DB/MinIO sẵn sàng; dữ liệu fixture đã tạo. Đăng nhập tài khoản ACTIVE, mustChangePassword=false.</x:v>
      </x:c>
      <x:c r="N275" s="3" t="str">
        <x:v>USER; id=USER_ID; role/status/password theo endpoint</x:v>
      </x:c>
      <x:c r="O275" s="3" t="str">
        <x:v>1. Chuẩn bị USER; id=USER_ID; role/status/password theo endpoint; Origin cùng ADMIN_URL nếu mutation admin
2. Gửi GET ADMIN /api/admin/users với query/body theo fixture
3. Kiểm tra response và dữ liệu liên quan</x:v>
      </x:c>
      <x:c r="P275" s="3" t="str">
        <x:v>HTTP200; admins array chứa id,username,fullName,email,phone,status,role; không chứa passwordHash/token.</x:v>
      </x:c>
      <x:c r="Q275" s="11" t="str"/>
      <x:c r="R275" s="8" t="str">
        <x:v>NOT RUN</x:v>
      </x:c>
      <x:c r="S275" s="11" t="str">
        <x:v>QA/UAT — cần điền URL/build</x:v>
      </x:c>
      <x:c r="T275" s="11" t="str">
        <x:v>Cần điền phiên bản thực</x:v>
      </x:c>
      <x:c r="U275" s="11" t="str"/>
      <x:c r="V275" s="12" t="str"/>
      <x:c r="W275" s="11" t="str"/>
      <x:c r="X275" s="11" t="str"/>
      <x:c r="Y275" s="3" t="str">
        <x:v>Nguồn: admin/src/app/api/admin/users/route.ts. Đối với proxy CMS giữ nguyên status/body upstream. Thay placeholder bằng ID/object key fixture; GET không gửi body.</x:v>
      </x:c>
    </x:row>
    <x:row r="276" ht="62" customHeight="1">
      <x:c r="A276" s="3" t="n">
        <x:v>275</x:v>
      </x:c>
      <x:c r="B276" s="3" t="str">
        <x:v>TC_API_046</x:v>
      </x:c>
      <x:c r="C276" s="3" t="str">
        <x:v>API</x:v>
      </x:c>
      <x:c r="D276" s="3" t="str">
        <x:v>Hợp đồng ADMIN</x:v>
      </x:c>
      <x:c r="E276" s="3" t="str">
        <x:v>Hợp đồng ADMIN</x:v>
      </x:c>
      <x:c r="F276" s="3" t="str">
        <x:v>Positive — POST ADMIN /api/admin/users hợp lệ</x:v>
      </x:c>
      <x:c r="G276" s="3" t="str">
        <x:v>POST ADMIN /api/admin/users hợp lệ</x:v>
      </x:c>
      <x:c r="H276" s="3" t="str">
        <x:v>OBS-API</x:v>
      </x:c>
      <x:c r="I276" s="3" t="str">
        <x:v>QTV có quyền tương ứng</x:v>
      </x:c>
      <x:c r="J276" s="3" t="str">
        <x:v>Positive</x:v>
      </x:c>
      <x:c r="K276" s="3" t="str">
        <x:v>High</x:v>
      </x:c>
      <x:c r="L276" s="3" t="str">
        <x:v>High</x:v>
      </x:c>
      <x:c r="M276" s="3" t="str">
        <x:v>Môi trường QA cô lập, DB/MinIO sẵn sàng; dữ liệu fixture đã tạo. Đăng nhập tài khoản ACTIVE, mustChangePassword=false.</x:v>
      </x:c>
      <x:c r="N276" s="3" t="str">
        <x:v>USER; id=USER_ID; role/status/password theo endpoint</x:v>
      </x:c>
      <x:c r="O276" s="3" t="str">
        <x:v>1. Chuẩn bị USER; id=USER_ID; role/status/password theo endpoint; Origin cùng ADMIN_URL nếu mutation admin
2. Gửi POST ADMIN /api/admin/users với query/body theo fixture
3. Kiểm tra response và dữ liệu liên quan</x:v>
      </x:c>
      <x:c r="P276" s="3" t="str">
        <x:v>HTTP 201; JSON theo route source; không ép envelope backend cho admin/frontend. ID/trường dữ liệu đối chiếu fixture.</x:v>
      </x:c>
      <x:c r="Q276" s="11" t="str"/>
      <x:c r="R276" s="8" t="str">
        <x:v>NOT RUN</x:v>
      </x:c>
      <x:c r="S276" s="11" t="str">
        <x:v>QA/UAT — cần điền URL/build</x:v>
      </x:c>
      <x:c r="T276" s="11" t="str">
        <x:v>Cần điền phiên bản thực</x:v>
      </x:c>
      <x:c r="U276" s="11" t="str"/>
      <x:c r="V276" s="12" t="str"/>
      <x:c r="W276" s="11" t="str"/>
      <x:c r="X276" s="11" t="str"/>
      <x:c r="Y276" s="3" t="str">
        <x:v>Nguồn: admin/src/app/api/admin/users/route.ts. Đối với proxy CMS giữ nguyên status/body upstream. Thay placeholder bằng ID/object key fixture; GET không gửi body.</x:v>
      </x:c>
    </x:row>
    <x:row r="277" ht="49" customHeight="1">
      <x:c r="A277" s="3" t="n">
        <x:v>276</x:v>
      </x:c>
      <x:c r="B277" s="3" t="str">
        <x:v>TC_API_047</x:v>
      </x:c>
      <x:c r="C277" s="3" t="str">
        <x:v>API</x:v>
      </x:c>
      <x:c r="D277" s="3" t="str">
        <x:v>Payload lỗi</x:v>
      </x:c>
      <x:c r="E277" s="3" t="str">
        <x:v>Payload lỗi</x:v>
      </x:c>
      <x:c r="F277" s="3" t="str">
        <x:v>Negative — POST ADMIN /api/admin/users JSON hỏng</x:v>
      </x:c>
      <x:c r="G277" s="3" t="str">
        <x:v>POST ADMIN /api/admin/users JSON hỏng</x:v>
      </x:c>
      <x:c r="H277" s="3" t="str">
        <x:v>OBS-API</x:v>
      </x:c>
      <x:c r="I277" s="3" t="str">
        <x:v>QTV có quyền tương ứng</x:v>
      </x:c>
      <x:c r="J277" s="3" t="str">
        <x:v>Negative</x:v>
      </x:c>
      <x:c r="K277" s="3" t="str">
        <x:v>Medium</x:v>
      </x:c>
      <x:c r="L277" s="3" t="str">
        <x:v>Medium</x:v>
      </x:c>
      <x:c r="M277" s="3" t="str">
        <x:v>Môi trường QA cô lập, DB/MinIO sẵn sàng; dữ liệu fixture đã tạo. Đăng nhập tài khoản ACTIVE, mustChangePassword=false.</x:v>
      </x:c>
      <x:c r="N277" s="3" t="str">
        <x:v>{"qa":</x:v>
      </x:c>
      <x:c r="O277" s="3" t="str">
        <x:v>1. Đặt Content-Type application/json
2. Gửi POST ADMIN /api/admin/users với body {"qa":
3. Kiểm tra response</x:v>
      </x:c>
      <x:c r="P277" s="3" t="str">
        <x:v>Không xử lý mutation; lỗi HTTP 400 kỳ vọng; không lộ stack/SQL. Nếu route trả 500 ghi defect.</x:v>
      </x:c>
      <x:c r="Q277" s="11" t="str"/>
      <x:c r="R277" s="8" t="str">
        <x:v>NOT RUN</x:v>
      </x:c>
      <x:c r="S277" s="11" t="str">
        <x:v>QA/UAT — cần điền URL/build</x:v>
      </x:c>
      <x:c r="T277" s="11" t="str">
        <x:v>Cần điền phiên bản thực</x:v>
      </x:c>
      <x:c r="U277" s="11" t="str"/>
      <x:c r="V277" s="12" t="str"/>
      <x:c r="W277" s="11" t="str"/>
      <x:c r="X277" s="11" t="str"/>
      <x:c r="Y277" s="3" t="str">
        <x:v>Nguồn: admin/src/app/api/admin/users/route.ts. </x:v>
      </x:c>
    </x:row>
    <x:row r="278" ht="62" customHeight="1">
      <x:c r="A278" s="3" t="n">
        <x:v>277</x:v>
      </x:c>
      <x:c r="B278" s="3" t="str">
        <x:v>TC_API_048</x:v>
      </x:c>
      <x:c r="C278" s="3" t="str">
        <x:v>API</x:v>
      </x:c>
      <x:c r="D278" s="3" t="str">
        <x:v>Hợp đồng ADMIN</x:v>
      </x:c>
      <x:c r="E278" s="3" t="str">
        <x:v>Hợp đồng ADMIN</x:v>
      </x:c>
      <x:c r="F278" s="3" t="str">
        <x:v>Positive — POST ADMIN /api/admin/auth/change-password hợp lệ</x:v>
      </x:c>
      <x:c r="G278" s="3" t="str">
        <x:v>POST ADMIN /api/admin/auth/change-password hợp lệ</x:v>
      </x:c>
      <x:c r="H278" s="3" t="str">
        <x:v>OBS-API</x:v>
      </x:c>
      <x:c r="I278" s="3" t="str">
        <x:v>QTV có quyền tương ứng</x:v>
      </x:c>
      <x:c r="J278" s="3" t="str">
        <x:v>Positive</x:v>
      </x:c>
      <x:c r="K278" s="3" t="str">
        <x:v>High</x:v>
      </x:c>
      <x:c r="L278" s="3" t="str">
        <x:v>High</x:v>
      </x:c>
      <x:c r="M278" s="3" t="str">
        <x:v>Môi trường QA cô lập, DB/MinIO sẵn sàng; dữ liệu fixture đã tạo. Đăng nhập tài khoản ACTIVE, mustChangePassword=false.</x:v>
      </x:c>
      <x:c r="N278" s="3" t="str">
        <x:v>CHANGE</x:v>
      </x:c>
      <x:c r="O278" s="3" t="str">
        <x:v>1. Chuẩn bị CHANGE; Origin cùng ADMIN_URL nếu mutation admin
2. Gửi POST ADMIN /api/admin/auth/change-password với query/body theo fixture
3. Kiểm tra response và dữ liệu liên quan</x:v>
      </x:c>
      <x:c r="P278" s="3" t="str">
        <x:v>HTTP 200; JSON theo route source; không ép envelope backend cho admin/frontend. ID/trường dữ liệu đối chiếu fixture.</x:v>
      </x:c>
      <x:c r="Q278" s="11" t="str"/>
      <x:c r="R278" s="8" t="str">
        <x:v>NOT RUN</x:v>
      </x:c>
      <x:c r="S278" s="11" t="str">
        <x:v>QA/UAT — cần điền URL/build</x:v>
      </x:c>
      <x:c r="T278" s="11" t="str">
        <x:v>Cần điền phiên bản thực</x:v>
      </x:c>
      <x:c r="U278" s="11" t="str"/>
      <x:c r="V278" s="12" t="str"/>
      <x:c r="W278" s="11" t="str"/>
      <x:c r="X278" s="11" t="str"/>
      <x:c r="Y278" s="3" t="str">
        <x:v>Nguồn: admin/src/app/api/admin/auth/change-password/route.ts. Đối với proxy CMS giữ nguyên status/body upstream. Thay placeholder bằng ID/object key fixture; GET không gửi body.</x:v>
      </x:c>
    </x:row>
    <x:row r="279" ht="49" customHeight="1">
      <x:c r="A279" s="3" t="n">
        <x:v>278</x:v>
      </x:c>
      <x:c r="B279" s="3" t="str">
        <x:v>TC_API_049</x:v>
      </x:c>
      <x:c r="C279" s="3" t="str">
        <x:v>API</x:v>
      </x:c>
      <x:c r="D279" s="3" t="str">
        <x:v>Payload lỗi</x:v>
      </x:c>
      <x:c r="E279" s="3" t="str">
        <x:v>Payload lỗi</x:v>
      </x:c>
      <x:c r="F279" s="3" t="str">
        <x:v>Negative — POST ADMIN /api/admin/auth/change-password JSON hỏng</x:v>
      </x:c>
      <x:c r="G279" s="3" t="str">
        <x:v>POST ADMIN /api/admin/auth/change-password JSON hỏng</x:v>
      </x:c>
      <x:c r="H279" s="3" t="str">
        <x:v>OBS-API</x:v>
      </x:c>
      <x:c r="I279" s="3" t="str">
        <x:v>QTV có quyền tương ứng</x:v>
      </x:c>
      <x:c r="J279" s="3" t="str">
        <x:v>Negative</x:v>
      </x:c>
      <x:c r="K279" s="3" t="str">
        <x:v>Medium</x:v>
      </x:c>
      <x:c r="L279" s="3" t="str">
        <x:v>Medium</x:v>
      </x:c>
      <x:c r="M279" s="3" t="str">
        <x:v>Môi trường QA cô lập, DB/MinIO sẵn sàng; dữ liệu fixture đã tạo. Đăng nhập tài khoản ACTIVE, mustChangePassword=false.</x:v>
      </x:c>
      <x:c r="N279" s="3" t="str">
        <x:v>{"qa":</x:v>
      </x:c>
      <x:c r="O279" s="3" t="str">
        <x:v>1. Đặt Content-Type application/json
2. Gửi POST ADMIN /api/admin/auth/change-password với body {"qa":
3. Kiểm tra response</x:v>
      </x:c>
      <x:c r="P279" s="3" t="str">
        <x:v>Không xử lý mutation; lỗi HTTP 400 kỳ vọng; không lộ stack/SQL. Nếu route trả 500 ghi defect.</x:v>
      </x:c>
      <x:c r="Q279" s="11" t="str"/>
      <x:c r="R279" s="8" t="str">
        <x:v>NOT RUN</x:v>
      </x:c>
      <x:c r="S279" s="11" t="str">
        <x:v>QA/UAT — cần điền URL/build</x:v>
      </x:c>
      <x:c r="T279" s="11" t="str">
        <x:v>Cần điền phiên bản thực</x:v>
      </x:c>
      <x:c r="U279" s="11" t="str"/>
      <x:c r="V279" s="12" t="str"/>
      <x:c r="W279" s="11" t="str"/>
      <x:c r="X279" s="11" t="str"/>
      <x:c r="Y279" s="3" t="str">
        <x:v>Nguồn: admin/src/app/api/admin/auth/change-password/route.ts. </x:v>
      </x:c>
    </x:row>
    <x:row r="280" ht="75" customHeight="1">
      <x:c r="A280" s="3" t="n">
        <x:v>279</x:v>
      </x:c>
      <x:c r="B280" s="3" t="str">
        <x:v>TC_API_050</x:v>
      </x:c>
      <x:c r="C280" s="3" t="str">
        <x:v>API</x:v>
      </x:c>
      <x:c r="D280" s="3" t="str">
        <x:v>Hợp đồng ADMIN</x:v>
      </x:c>
      <x:c r="E280" s="3" t="str">
        <x:v>Hợp đồng ADMIN</x:v>
      </x:c>
      <x:c r="F280" s="3" t="str">
        <x:v>Positive — POST ADMIN /api/admin/auth/forgot-password hợp lệ</x:v>
      </x:c>
      <x:c r="G280" s="3" t="str">
        <x:v>POST ADMIN /api/admin/auth/forgot-password hợp lệ</x:v>
      </x:c>
      <x:c r="H280" s="3" t="str">
        <x:v>OBS-API</x:v>
      </x:c>
      <x:c r="I280" s="3" t="str">
        <x:v>QTV có quyền tương ứng</x:v>
      </x:c>
      <x:c r="J280" s="3" t="str">
        <x:v>Positive</x:v>
      </x:c>
      <x:c r="K280" s="3" t="str">
        <x:v>High</x:v>
      </x:c>
      <x:c r="L280" s="3" t="str">
        <x:v>High</x:v>
      </x:c>
      <x:c r="M280" s="3" t="str">
        <x:v>Môi trường QA cô lập, DB/MinIO sẵn sàng; dữ liệu fixture đã tạo. Đăng nhập tài khoản ACTIVE, mustChangePassword=false.</x:v>
      </x:c>
      <x:c r="N280" s="3" t="str">
        <x:v>email=qa@example.test</x:v>
      </x:c>
      <x:c r="O280" s="3" t="str">
        <x:v>1. Chuẩn bị email=qa@example.test; Origin cùng ADMIN_URL nếu mutation admin
2. Gửi POST ADMIN /api/admin/auth/forgot-password với query/body theo fixture
3. Kiểm tra response và dữ liệu liên quan</x:v>
      </x:c>
      <x:c r="P280" s="3" t="str">
        <x:v>HTTP 200; JSON theo route source; không ép envelope backend cho admin/frontend. ID/trường dữ liệu đối chiếu fixture.</x:v>
      </x:c>
      <x:c r="Q280" s="11" t="str"/>
      <x:c r="R280" s="8" t="str">
        <x:v>NOT RUN</x:v>
      </x:c>
      <x:c r="S280" s="11" t="str">
        <x:v>QA/UAT — cần điền URL/build</x:v>
      </x:c>
      <x:c r="T280" s="11" t="str">
        <x:v>Cần điền phiên bản thực</x:v>
      </x:c>
      <x:c r="U280" s="11" t="str"/>
      <x:c r="V280" s="12" t="str"/>
      <x:c r="W280" s="11" t="str"/>
      <x:c r="X280" s="11" t="str"/>
      <x:c r="Y280" s="3" t="str">
        <x:v>Nguồn: admin/src/app/api/admin/auth/forgot-password/route.ts. Đối với proxy CMS giữ nguyên status/body upstream. Thay placeholder bằng ID/object key fixture; GET không gửi body.</x:v>
      </x:c>
    </x:row>
    <x:row r="281" ht="49" customHeight="1">
      <x:c r="A281" s="3" t="n">
        <x:v>280</x:v>
      </x:c>
      <x:c r="B281" s="3" t="str">
        <x:v>TC_API_051</x:v>
      </x:c>
      <x:c r="C281" s="3" t="str">
        <x:v>API</x:v>
      </x:c>
      <x:c r="D281" s="3" t="str">
        <x:v>Payload lỗi</x:v>
      </x:c>
      <x:c r="E281" s="3" t="str">
        <x:v>Payload lỗi</x:v>
      </x:c>
      <x:c r="F281" s="3" t="str">
        <x:v>Negative — POST ADMIN /api/admin/auth/forgot-password JSON hỏng</x:v>
      </x:c>
      <x:c r="G281" s="3" t="str">
        <x:v>POST ADMIN /api/admin/auth/forgot-password JSON hỏng</x:v>
      </x:c>
      <x:c r="H281" s="3" t="str">
        <x:v>OBS-API</x:v>
      </x:c>
      <x:c r="I281" s="3" t="str">
        <x:v>QTV có quyền tương ứng</x:v>
      </x:c>
      <x:c r="J281" s="3" t="str">
        <x:v>Negative</x:v>
      </x:c>
      <x:c r="K281" s="3" t="str">
        <x:v>Medium</x:v>
      </x:c>
      <x:c r="L281" s="3" t="str">
        <x:v>Medium</x:v>
      </x:c>
      <x:c r="M281" s="3" t="str">
        <x:v>Môi trường QA cô lập, DB/MinIO sẵn sàng; dữ liệu fixture đã tạo. Đăng nhập tài khoản ACTIVE, mustChangePassword=false.</x:v>
      </x:c>
      <x:c r="N281" s="3" t="str">
        <x:v>{"qa":</x:v>
      </x:c>
      <x:c r="O281" s="3" t="str">
        <x:v>1. Đặt Content-Type application/json
2. Gửi POST ADMIN /api/admin/auth/forgot-password với body {"qa":
3. Kiểm tra response</x:v>
      </x:c>
      <x:c r="P281" s="3" t="str">
        <x:v>Không xử lý mutation; lỗi HTTP 400 kỳ vọng; không lộ stack/SQL. Nếu route trả 500 ghi defect.</x:v>
      </x:c>
      <x:c r="Q281" s="11" t="str"/>
      <x:c r="R281" s="8" t="str">
        <x:v>NOT RUN</x:v>
      </x:c>
      <x:c r="S281" s="11" t="str">
        <x:v>QA/UAT — cần điền URL/build</x:v>
      </x:c>
      <x:c r="T281" s="11" t="str">
        <x:v>Cần điền phiên bản thực</x:v>
      </x:c>
      <x:c r="U281" s="11" t="str"/>
      <x:c r="V281" s="12" t="str"/>
      <x:c r="W281" s="11" t="str"/>
      <x:c r="X281" s="11" t="str"/>
      <x:c r="Y281" s="3" t="str">
        <x:v>Nguồn: admin/src/app/api/admin/auth/forgot-password/route.ts. </x:v>
      </x:c>
    </x:row>
    <x:row r="282" ht="49" customHeight="1">
      <x:c r="A282" s="3" t="n">
        <x:v>281</x:v>
      </x:c>
      <x:c r="B282" s="3" t="str">
        <x:v>TC_API_052</x:v>
      </x:c>
      <x:c r="C282" s="3" t="str">
        <x:v>API</x:v>
      </x:c>
      <x:c r="D282" s="3" t="str">
        <x:v>Hợp đồng ADMIN</x:v>
      </x:c>
      <x:c r="E282" s="3" t="str">
        <x:v>Hợp đồng ADMIN</x:v>
      </x:c>
      <x:c r="F282" s="3" t="str">
        <x:v>Positive — POST ADMIN /api/admin/auth/login hợp lệ</x:v>
      </x:c>
      <x:c r="G282" s="3" t="str">
        <x:v>POST ADMIN /api/admin/auth/login hợp lệ</x:v>
      </x:c>
      <x:c r="H282" s="3" t="str">
        <x:v>OBS-API</x:v>
      </x:c>
      <x:c r="I282" s="3" t="str">
        <x:v>QTV có quyền tương ứng</x:v>
      </x:c>
      <x:c r="J282" s="3" t="str">
        <x:v>Positive</x:v>
      </x:c>
      <x:c r="K282" s="3" t="str">
        <x:v>High</x:v>
      </x:c>
      <x:c r="L282" s="3" t="str">
        <x:v>High</x:v>
      </x:c>
      <x:c r="M282" s="3" t="str">
        <x:v>Môi trường QA cô lập, DB/MinIO sẵn sàng; dữ liệu fixture đã tạo. Đăng nhập tài khoản ACTIVE, mustChangePassword=false.</x:v>
      </x:c>
      <x:c r="N282" s="3" t="str">
        <x:v>LOGIN</x:v>
      </x:c>
      <x:c r="O282" s="3" t="str">
        <x:v>1. Chuẩn bị LOGIN; Origin cùng ADMIN_URL nếu mutation admin
2. Gửi POST ADMIN /api/admin/auth/login với query/body theo fixture
3. Kiểm tra response và dữ liệu liên quan</x:v>
      </x:c>
      <x:c r="P282" s="3" t="str">
        <x:v>HTTP200; {admin:{id,username,fullName,role},redirectTo:"/admin/dashboard"}; có cookie vgg_admin_session với phiên ACTIVE.</x:v>
      </x:c>
      <x:c r="Q282" s="11" t="str"/>
      <x:c r="R282" s="8" t="str">
        <x:v>NOT RUN</x:v>
      </x:c>
      <x:c r="S282" s="11" t="str">
        <x:v>QA/UAT — cần điền URL/build</x:v>
      </x:c>
      <x:c r="T282" s="11" t="str">
        <x:v>Cần điền phiên bản thực</x:v>
      </x:c>
      <x:c r="U282" s="11" t="str"/>
      <x:c r="V282" s="12" t="str"/>
      <x:c r="W282" s="11" t="str"/>
      <x:c r="X282" s="11" t="str"/>
      <x:c r="Y282" s="3" t="str">
        <x:v>Nguồn: admin/src/app/api/admin/auth/login/route.ts. Đối với proxy CMS giữ nguyên status/body upstream. Thay placeholder bằng ID/object key fixture; GET không gửi body.</x:v>
      </x:c>
    </x:row>
    <x:row r="283" ht="49" customHeight="1">
      <x:c r="A283" s="3" t="n">
        <x:v>282</x:v>
      </x:c>
      <x:c r="B283" s="3" t="str">
        <x:v>TC_API_053</x:v>
      </x:c>
      <x:c r="C283" s="3" t="str">
        <x:v>API</x:v>
      </x:c>
      <x:c r="D283" s="3" t="str">
        <x:v>Payload lỗi</x:v>
      </x:c>
      <x:c r="E283" s="3" t="str">
        <x:v>Payload lỗi</x:v>
      </x:c>
      <x:c r="F283" s="3" t="str">
        <x:v>Negative — POST ADMIN /api/admin/auth/login JSON hỏng</x:v>
      </x:c>
      <x:c r="G283" s="3" t="str">
        <x:v>POST ADMIN /api/admin/auth/login JSON hỏng</x:v>
      </x:c>
      <x:c r="H283" s="3" t="str">
        <x:v>OBS-API</x:v>
      </x:c>
      <x:c r="I283" s="3" t="str">
        <x:v>QTV có quyền tương ứng</x:v>
      </x:c>
      <x:c r="J283" s="3" t="str">
        <x:v>Negative</x:v>
      </x:c>
      <x:c r="K283" s="3" t="str">
        <x:v>Medium</x:v>
      </x:c>
      <x:c r="L283" s="3" t="str">
        <x:v>Medium</x:v>
      </x:c>
      <x:c r="M283" s="3" t="str">
        <x:v>Môi trường QA cô lập, DB/MinIO sẵn sàng; dữ liệu fixture đã tạo. Đăng nhập tài khoản ACTIVE, mustChangePassword=false.</x:v>
      </x:c>
      <x:c r="N283" s="3" t="str">
        <x:v>{"qa":</x:v>
      </x:c>
      <x:c r="O283" s="3" t="str">
        <x:v>1. Đặt Content-Type application/json
2. Gửi POST ADMIN /api/admin/auth/login với body {"qa":
3. Kiểm tra response</x:v>
      </x:c>
      <x:c r="P283" s="3" t="str">
        <x:v>Không xử lý mutation; lỗi HTTP 400 kỳ vọng; không lộ stack/SQL. Nếu route trả 500 ghi defect.</x:v>
      </x:c>
      <x:c r="Q283" s="11" t="str"/>
      <x:c r="R283" s="8" t="str">
        <x:v>NOT RUN</x:v>
      </x:c>
      <x:c r="S283" s="11" t="str">
        <x:v>QA/UAT — cần điền URL/build</x:v>
      </x:c>
      <x:c r="T283" s="11" t="str">
        <x:v>Cần điền phiên bản thực</x:v>
      </x:c>
      <x:c r="U283" s="11" t="str"/>
      <x:c r="V283" s="12" t="str"/>
      <x:c r="W283" s="11" t="str"/>
      <x:c r="X283" s="11" t="str"/>
      <x:c r="Y283" s="3" t="str">
        <x:v>Nguồn: admin/src/app/api/admin/auth/login/route.ts. </x:v>
      </x:c>
    </x:row>
    <x:row r="284" ht="62" customHeight="1">
      <x:c r="A284" s="3" t="n">
        <x:v>283</x:v>
      </x:c>
      <x:c r="B284" s="3" t="str">
        <x:v>TC_API_054</x:v>
      </x:c>
      <x:c r="C284" s="3" t="str">
        <x:v>API</x:v>
      </x:c>
      <x:c r="D284" s="3" t="str">
        <x:v>Hợp đồng ADMIN</x:v>
      </x:c>
      <x:c r="E284" s="3" t="str">
        <x:v>Hợp đồng ADMIN</x:v>
      </x:c>
      <x:c r="F284" s="3" t="str">
        <x:v>Positive — POST ADMIN /api/admin/auth/logout hợp lệ</x:v>
      </x:c>
      <x:c r="G284" s="3" t="str">
        <x:v>POST ADMIN /api/admin/auth/logout hợp lệ</x:v>
      </x:c>
      <x:c r="H284" s="3" t="str">
        <x:v>OBS-API</x:v>
      </x:c>
      <x:c r="I284" s="3" t="str">
        <x:v>QTV có quyền tương ứng</x:v>
      </x:c>
      <x:c r="J284" s="3" t="str">
        <x:v>Positive</x:v>
      </x:c>
      <x:c r="K284" s="3" t="str">
        <x:v>High</x:v>
      </x:c>
      <x:c r="L284" s="3" t="str">
        <x:v>High</x:v>
      </x:c>
      <x:c r="M284" s="3" t="str">
        <x:v>Môi trường QA cô lập, DB/MinIO sẵn sàng; dữ liệu fixture đã tạo. Đăng nhập tài khoản ACTIVE, mustChangePassword=false.</x:v>
      </x:c>
      <x:c r="N284" s="3" t="str">
        <x:v>Fixture tương ứng route; tham số mặc định; ID/path hợp lệ trong QA</x:v>
      </x:c>
      <x:c r="O284" s="3" t="str">
        <x:v>1. Chuẩn bị Fixture tương ứng route; tham số mặc định; ID/path hợp lệ trong QA; Origin cùng ADMIN_URL nếu mutation admin
2. Gửi POST ADMIN /api/admin/auth/logout với query/body theo fixture
3. Kiểm tra response và dữ liệu liên quan</x:v>
      </x:c>
      <x:c r="P284" s="3" t="str">
        <x:v>HTTP 200; JSON theo route source; không ép envelope backend cho admin/frontend. ID/trường dữ liệu đối chiếu fixture.</x:v>
      </x:c>
      <x:c r="Q284" s="11" t="str"/>
      <x:c r="R284" s="8" t="str">
        <x:v>NOT RUN</x:v>
      </x:c>
      <x:c r="S284" s="11" t="str">
        <x:v>QA/UAT — cần điền URL/build</x:v>
      </x:c>
      <x:c r="T284" s="11" t="str">
        <x:v>Cần điền phiên bản thực</x:v>
      </x:c>
      <x:c r="U284" s="11" t="str"/>
      <x:c r="V284" s="12" t="str"/>
      <x:c r="W284" s="11" t="str"/>
      <x:c r="X284" s="11" t="str"/>
      <x:c r="Y284" s="3" t="str">
        <x:v>Nguồn: admin/src/app/api/admin/auth/logout/route.ts. Đối với proxy CMS giữ nguyên status/body upstream. Thay placeholder bằng ID/object key fixture; GET không gửi body.</x:v>
      </x:c>
    </x:row>
    <x:row r="285" ht="62" customHeight="1">
      <x:c r="A285" s="3" t="n">
        <x:v>284</x:v>
      </x:c>
      <x:c r="B285" s="3" t="str">
        <x:v>TC_API_055</x:v>
      </x:c>
      <x:c r="C285" s="3" t="str">
        <x:v>API</x:v>
      </x:c>
      <x:c r="D285" s="3" t="str">
        <x:v>Hợp đồng ADMIN</x:v>
      </x:c>
      <x:c r="E285" s="3" t="str">
        <x:v>Hợp đồng ADMIN</x:v>
      </x:c>
      <x:c r="F285" s="3" t="str">
        <x:v>Positive — GET ADMIN /api/admin/auth/me hợp lệ</x:v>
      </x:c>
      <x:c r="G285" s="3" t="str">
        <x:v>GET ADMIN /api/admin/auth/me hợp lệ</x:v>
      </x:c>
      <x:c r="H285" s="3" t="str">
        <x:v>OBS-API</x:v>
      </x:c>
      <x:c r="I285" s="3" t="str">
        <x:v>QTV có quyền tương ứng</x:v>
      </x:c>
      <x:c r="J285" s="3" t="str">
        <x:v>Positive</x:v>
      </x:c>
      <x:c r="K285" s="3" t="str">
        <x:v>High</x:v>
      </x:c>
      <x:c r="L285" s="3" t="str">
        <x:v>High</x:v>
      </x:c>
      <x:c r="M285" s="3" t="str">
        <x:v>Môi trường QA cô lập, DB/MinIO sẵn sàng; dữ liệu fixture đã tạo. Đăng nhập tài khoản ACTIVE, mustChangePassword=false.</x:v>
      </x:c>
      <x:c r="N285" s="3" t="str">
        <x:v>Fixture tương ứng route; tham số mặc định; ID/path hợp lệ trong QA</x:v>
      </x:c>
      <x:c r="O285" s="3" t="str">
        <x:v>1. Chuẩn bị Fixture tương ứng route; tham số mặc định; ID/path hợp lệ trong QA; Origin cùng ADMIN_URL nếu mutation admin
2. Gửi GET ADMIN /api/admin/auth/me với query/body theo fixture
3. Kiểm tra response và dữ liệu liên quan</x:v>
      </x:c>
      <x:c r="P285" s="3" t="str">
        <x:v>HTTP200; JSON có id,username,fullName,email,phone,status,mustChangePassword,role,permissions.</x:v>
      </x:c>
      <x:c r="Q285" s="11" t="str"/>
      <x:c r="R285" s="8" t="str">
        <x:v>NOT RUN</x:v>
      </x:c>
      <x:c r="S285" s="11" t="str">
        <x:v>QA/UAT — cần điền URL/build</x:v>
      </x:c>
      <x:c r="T285" s="11" t="str">
        <x:v>Cần điền phiên bản thực</x:v>
      </x:c>
      <x:c r="U285" s="11" t="str"/>
      <x:c r="V285" s="12" t="str"/>
      <x:c r="W285" s="11" t="str"/>
      <x:c r="X285" s="11" t="str"/>
      <x:c r="Y285" s="3" t="str">
        <x:v>Nguồn: admin/src/app/api/admin/auth/me/route.ts. Đối với proxy CMS giữ nguyên status/body upstream. Thay placeholder bằng ID/object key fixture; GET không gửi body.</x:v>
      </x:c>
    </x:row>
    <x:row r="286" ht="62" customHeight="1">
      <x:c r="A286" s="3" t="n">
        <x:v>285</x:v>
      </x:c>
      <x:c r="B286" s="3" t="str">
        <x:v>TC_API_056</x:v>
      </x:c>
      <x:c r="C286" s="3" t="str">
        <x:v>API</x:v>
      </x:c>
      <x:c r="D286" s="3" t="str">
        <x:v>Hợp đồng ADMIN</x:v>
      </x:c>
      <x:c r="E286" s="3" t="str">
        <x:v>Hợp đồng ADMIN</x:v>
      </x:c>
      <x:c r="F286" s="3" t="str">
        <x:v>Positive — PATCH ADMIN /api/admin/auth/me hợp lệ</x:v>
      </x:c>
      <x:c r="G286" s="3" t="str">
        <x:v>PATCH ADMIN /api/admin/auth/me hợp lệ</x:v>
      </x:c>
      <x:c r="H286" s="3" t="str">
        <x:v>OBS-API</x:v>
      </x:c>
      <x:c r="I286" s="3" t="str">
        <x:v>QTV có quyền tương ứng</x:v>
      </x:c>
      <x:c r="J286" s="3" t="str">
        <x:v>Positive</x:v>
      </x:c>
      <x:c r="K286" s="3" t="str">
        <x:v>High</x:v>
      </x:c>
      <x:c r="L286" s="3" t="str">
        <x:v>High</x:v>
      </x:c>
      <x:c r="M286" s="3" t="str">
        <x:v>Môi trường QA cô lập, DB/MinIO sẵn sàng; dữ liệu fixture đã tạo. Đăng nhập tài khoản ACTIVE, mustChangePassword=false.</x:v>
      </x:c>
      <x:c r="N286" s="3" t="str">
        <x:v>Fixture tương ứng route; tham số mặc định; ID/path hợp lệ trong QA</x:v>
      </x:c>
      <x:c r="O286" s="3" t="str">
        <x:v>1. Chuẩn bị Fixture tương ứng route; tham số mặc định; ID/path hợp lệ trong QA; Origin cùng ADMIN_URL nếu mutation admin
2. Gửi PATCH ADMIN /api/admin/auth/me với query/body theo fixture
3. Kiểm tra response và dữ liệu liên quan</x:v>
      </x:c>
      <x:c r="P286" s="3" t="str">
        <x:v>HTTP200; JSON có message và admin chứa các trường hồ sơ vừa lưu; DB cập nhật chính user.</x:v>
      </x:c>
      <x:c r="Q286" s="11" t="str"/>
      <x:c r="R286" s="8" t="str">
        <x:v>NOT RUN</x:v>
      </x:c>
      <x:c r="S286" s="11" t="str">
        <x:v>QA/UAT — cần điền URL/build</x:v>
      </x:c>
      <x:c r="T286" s="11" t="str">
        <x:v>Cần điền phiên bản thực</x:v>
      </x:c>
      <x:c r="U286" s="11" t="str"/>
      <x:c r="V286" s="12" t="str"/>
      <x:c r="W286" s="11" t="str"/>
      <x:c r="X286" s="11" t="str"/>
      <x:c r="Y286" s="3" t="str">
        <x:v>Nguồn: admin/src/app/api/admin/auth/me/route.ts. Đối với proxy CMS giữ nguyên status/body upstream. Thay placeholder bằng ID/object key fixture; GET không gửi body.</x:v>
      </x:c>
    </x:row>
    <x:row r="287" ht="49" customHeight="1">
      <x:c r="A287" s="3" t="n">
        <x:v>286</x:v>
      </x:c>
      <x:c r="B287" s="3" t="str">
        <x:v>TC_API_057</x:v>
      </x:c>
      <x:c r="C287" s="3" t="str">
        <x:v>API</x:v>
      </x:c>
      <x:c r="D287" s="3" t="str">
        <x:v>Payload lỗi</x:v>
      </x:c>
      <x:c r="E287" s="3" t="str">
        <x:v>Payload lỗi</x:v>
      </x:c>
      <x:c r="F287" s="3" t="str">
        <x:v>Negative — PATCH ADMIN /api/admin/auth/me JSON hỏng</x:v>
      </x:c>
      <x:c r="G287" s="3" t="str">
        <x:v>PATCH ADMIN /api/admin/auth/me JSON hỏng</x:v>
      </x:c>
      <x:c r="H287" s="3" t="str">
        <x:v>OBS-API</x:v>
      </x:c>
      <x:c r="I287" s="3" t="str">
        <x:v>QTV có quyền tương ứng</x:v>
      </x:c>
      <x:c r="J287" s="3" t="str">
        <x:v>Negative</x:v>
      </x:c>
      <x:c r="K287" s="3" t="str">
        <x:v>Medium</x:v>
      </x:c>
      <x:c r="L287" s="3" t="str">
        <x:v>Medium</x:v>
      </x:c>
      <x:c r="M287" s="3" t="str">
        <x:v>Môi trường QA cô lập, DB/MinIO sẵn sàng; dữ liệu fixture đã tạo. Đăng nhập tài khoản ACTIVE, mustChangePassword=false.</x:v>
      </x:c>
      <x:c r="N287" s="3" t="str">
        <x:v>{"qa":</x:v>
      </x:c>
      <x:c r="O287" s="3" t="str">
        <x:v>1. Đặt Content-Type application/json
2. Gửi PATCH ADMIN /api/admin/auth/me với body {"qa":
3. Kiểm tra response</x:v>
      </x:c>
      <x:c r="P287" s="3" t="str">
        <x:v>Không xử lý mutation; lỗi HTTP 400 kỳ vọng; không lộ stack/SQL. Nếu route trả 500 ghi defect.</x:v>
      </x:c>
      <x:c r="Q287" s="11" t="str"/>
      <x:c r="R287" s="8" t="str">
        <x:v>NOT RUN</x:v>
      </x:c>
      <x:c r="S287" s="11" t="str">
        <x:v>QA/UAT — cần điền URL/build</x:v>
      </x:c>
      <x:c r="T287" s="11" t="str">
        <x:v>Cần điền phiên bản thực</x:v>
      </x:c>
      <x:c r="U287" s="11" t="str"/>
      <x:c r="V287" s="12" t="str"/>
      <x:c r="W287" s="11" t="str"/>
      <x:c r="X287" s="11" t="str"/>
      <x:c r="Y287" s="3" t="str">
        <x:v>Nguồn: admin/src/app/api/admin/auth/me/route.ts. </x:v>
      </x:c>
    </x:row>
    <x:row r="288" ht="75" customHeight="1">
      <x:c r="A288" s="3" t="n">
        <x:v>287</x:v>
      </x:c>
      <x:c r="B288" s="3" t="str">
        <x:v>TC_API_058</x:v>
      </x:c>
      <x:c r="C288" s="3" t="str">
        <x:v>API</x:v>
      </x:c>
      <x:c r="D288" s="3" t="str">
        <x:v>Hợp đồng ADMIN</x:v>
      </x:c>
      <x:c r="E288" s="3" t="str">
        <x:v>Hợp đồng ADMIN</x:v>
      </x:c>
      <x:c r="F288" s="3" t="str">
        <x:v>Positive — POST ADMIN /api/admin/auth/reset-password hợp lệ</x:v>
      </x:c>
      <x:c r="G288" s="3" t="str">
        <x:v>POST ADMIN /api/admin/auth/reset-password hợp lệ</x:v>
      </x:c>
      <x:c r="H288" s="3" t="str">
        <x:v>OBS-API</x:v>
      </x:c>
      <x:c r="I288" s="3" t="str">
        <x:v>QTV có quyền tương ứng</x:v>
      </x:c>
      <x:c r="J288" s="3" t="str">
        <x:v>Positive</x:v>
      </x:c>
      <x:c r="K288" s="3" t="str">
        <x:v>High</x:v>
      </x:c>
      <x:c r="L288" s="3" t="str">
        <x:v>High</x:v>
      </x:c>
      <x:c r="M288" s="3" t="str">
        <x:v>Môi trường QA cô lập, DB/MinIO sẵn sàng; dữ liệu fixture đã tạo. Đăng nhập tài khoản ACTIVE, mustChangePassword=false.</x:v>
      </x:c>
      <x:c r="N288" s="3" t="str">
        <x:v>token còn hạn từ SMTP QA, password/confirm fixture</x:v>
      </x:c>
      <x:c r="O288" s="3" t="str">
        <x:v>1. Chuẩn bị token còn hạn từ SMTP QA, password/confirm fixture; Origin cùng ADMIN_URL nếu mutation admin
2. Gửi POST ADMIN /api/admin/auth/reset-password với query/body theo fixture
3. Kiểm tra response và dữ liệu liên quan</x:v>
      </x:c>
      <x:c r="P288" s="3" t="str">
        <x:v>HTTP 200; JSON theo route source; không ép envelope backend cho admin/frontend. ID/trường dữ liệu đối chiếu fixture.</x:v>
      </x:c>
      <x:c r="Q288" s="11" t="str"/>
      <x:c r="R288" s="8" t="str">
        <x:v>NOT RUN</x:v>
      </x:c>
      <x:c r="S288" s="11" t="str">
        <x:v>QA/UAT — cần điền URL/build</x:v>
      </x:c>
      <x:c r="T288" s="11" t="str">
        <x:v>Cần điền phiên bản thực</x:v>
      </x:c>
      <x:c r="U288" s="11" t="str"/>
      <x:c r="V288" s="12" t="str"/>
      <x:c r="W288" s="11" t="str"/>
      <x:c r="X288" s="11" t="str"/>
      <x:c r="Y288" s="3" t="str">
        <x:v>Nguồn: admin/src/app/api/admin/auth/reset-password/route.ts. Đối với proxy CMS giữ nguyên status/body upstream. Thay placeholder bằng ID/object key fixture; GET không gửi body.</x:v>
      </x:c>
    </x:row>
    <x:row r="289" ht="49" customHeight="1">
      <x:c r="A289" s="3" t="n">
        <x:v>288</x:v>
      </x:c>
      <x:c r="B289" s="3" t="str">
        <x:v>TC_API_059</x:v>
      </x:c>
      <x:c r="C289" s="3" t="str">
        <x:v>API</x:v>
      </x:c>
      <x:c r="D289" s="3" t="str">
        <x:v>Payload lỗi</x:v>
      </x:c>
      <x:c r="E289" s="3" t="str">
        <x:v>Payload lỗi</x:v>
      </x:c>
      <x:c r="F289" s="3" t="str">
        <x:v>Negative — POST ADMIN /api/admin/auth/reset-password JSON hỏng</x:v>
      </x:c>
      <x:c r="G289" s="3" t="str">
        <x:v>POST ADMIN /api/admin/auth/reset-password JSON hỏng</x:v>
      </x:c>
      <x:c r="H289" s="3" t="str">
        <x:v>OBS-API</x:v>
      </x:c>
      <x:c r="I289" s="3" t="str">
        <x:v>QTV có quyền tương ứng</x:v>
      </x:c>
      <x:c r="J289" s="3" t="str">
        <x:v>Negative</x:v>
      </x:c>
      <x:c r="K289" s="3" t="str">
        <x:v>Medium</x:v>
      </x:c>
      <x:c r="L289" s="3" t="str">
        <x:v>Medium</x:v>
      </x:c>
      <x:c r="M289" s="3" t="str">
        <x:v>Môi trường QA cô lập, DB/MinIO sẵn sàng; dữ liệu fixture đã tạo. Đăng nhập tài khoản ACTIVE, mustChangePassword=false.</x:v>
      </x:c>
      <x:c r="N289" s="3" t="str">
        <x:v>{"qa":</x:v>
      </x:c>
      <x:c r="O289" s="3" t="str">
        <x:v>1. Đặt Content-Type application/json
2. Gửi POST ADMIN /api/admin/auth/reset-password với body {"qa":
3. Kiểm tra response</x:v>
      </x:c>
      <x:c r="P289" s="3" t="str">
        <x:v>Không xử lý mutation; lỗi HTTP 400 kỳ vọng; không lộ stack/SQL. Nếu route trả 500 ghi defect.</x:v>
      </x:c>
      <x:c r="Q289" s="11" t="str"/>
      <x:c r="R289" s="8" t="str">
        <x:v>NOT RUN</x:v>
      </x:c>
      <x:c r="S289" s="11" t="str">
        <x:v>QA/UAT — cần điền URL/build</x:v>
      </x:c>
      <x:c r="T289" s="11" t="str">
        <x:v>Cần điền phiên bản thực</x:v>
      </x:c>
      <x:c r="U289" s="11" t="str"/>
      <x:c r="V289" s="12" t="str"/>
      <x:c r="W289" s="11" t="str"/>
      <x:c r="X289" s="11" t="str"/>
      <x:c r="Y289" s="3" t="str">
        <x:v>Nguồn: admin/src/app/api/admin/auth/reset-password/route.ts. </x:v>
      </x:c>
    </x:row>
    <x:row r="290" ht="62" customHeight="1">
      <x:c r="A290" s="3" t="n">
        <x:v>289</x:v>
      </x:c>
      <x:c r="B290" s="3" t="str">
        <x:v>TC_API_060</x:v>
      </x:c>
      <x:c r="C290" s="3" t="str">
        <x:v>API</x:v>
      </x:c>
      <x:c r="D290" s="3" t="str">
        <x:v>Hợp đồng ADMIN</x:v>
      </x:c>
      <x:c r="E290" s="3" t="str">
        <x:v>Hợp đồng ADMIN</x:v>
      </x:c>
      <x:c r="F290" s="3" t="str">
        <x:v>Positive — GET ADMIN /api/admin/users/[id] hợp lệ</x:v>
      </x:c>
      <x:c r="G290" s="3" t="str">
        <x:v>GET ADMIN /api/admin/users/[id] hợp lệ</x:v>
      </x:c>
      <x:c r="H290" s="3" t="str">
        <x:v>OBS-API</x:v>
      </x:c>
      <x:c r="I290" s="3" t="str">
        <x:v>QTV có quyền tương ứng</x:v>
      </x:c>
      <x:c r="J290" s="3" t="str">
        <x:v>Positive</x:v>
      </x:c>
      <x:c r="K290" s="3" t="str">
        <x:v>High</x:v>
      </x:c>
      <x:c r="L290" s="3" t="str">
        <x:v>High</x:v>
      </x:c>
      <x:c r="M290" s="3" t="str">
        <x:v>Môi trường QA cô lập, DB/MinIO sẵn sàng; dữ liệu fixture đã tạo. Đăng nhập tài khoản ACTIVE, mustChangePassword=false.</x:v>
      </x:c>
      <x:c r="N290" s="3" t="str">
        <x:v>USER; id=USER_ID; role/status/password theo endpoint</x:v>
      </x:c>
      <x:c r="O290" s="3" t="str">
        <x:v>1. Chuẩn bị USER; id=USER_ID; role/status/password theo endpoint; Origin cùng ADMIN_URL nếu mutation admin
2. Gửi GET ADMIN /api/admin/users/[id] với query/body theo fixture
3. Kiểm tra response và dữ liệu liên quan</x:v>
      </x:c>
      <x:c r="P290" s="3" t="str">
        <x:v>HTTP200; admin object chứa id,username,fullName,email,phone,status,role; không chứa passwordHash/token.</x:v>
      </x:c>
      <x:c r="Q290" s="11" t="str"/>
      <x:c r="R290" s="8" t="str">
        <x:v>NOT RUN</x:v>
      </x:c>
      <x:c r="S290" s="11" t="str">
        <x:v>QA/UAT — cần điền URL/build</x:v>
      </x:c>
      <x:c r="T290" s="11" t="str">
        <x:v>Cần điền phiên bản thực</x:v>
      </x:c>
      <x:c r="U290" s="11" t="str"/>
      <x:c r="V290" s="12" t="str"/>
      <x:c r="W290" s="11" t="str"/>
      <x:c r="X290" s="11" t="str"/>
      <x:c r="Y290" s="3" t="str">
        <x:v>Nguồn: admin/src/app/api/admin/users/[id]/route.ts. Đối với proxy CMS giữ nguyên status/body upstream. Thay placeholder bằng ID/object key fixture; GET không gửi body.</x:v>
      </x:c>
    </x:row>
    <x:row r="291" ht="62" customHeight="1">
      <x:c r="A291" s="3" t="n">
        <x:v>290</x:v>
      </x:c>
      <x:c r="B291" s="3" t="str">
        <x:v>TC_API_061</x:v>
      </x:c>
      <x:c r="C291" s="3" t="str">
        <x:v>API</x:v>
      </x:c>
      <x:c r="D291" s="3" t="str">
        <x:v>Hợp đồng ADMIN</x:v>
      </x:c>
      <x:c r="E291" s="3" t="str">
        <x:v>Hợp đồng ADMIN</x:v>
      </x:c>
      <x:c r="F291" s="3" t="str">
        <x:v>Positive — PATCH ADMIN /api/admin/users/[id] hợp lệ</x:v>
      </x:c>
      <x:c r="G291" s="3" t="str">
        <x:v>PATCH ADMIN /api/admin/users/[id] hợp lệ</x:v>
      </x:c>
      <x:c r="H291" s="3" t="str">
        <x:v>OBS-API</x:v>
      </x:c>
      <x:c r="I291" s="3" t="str">
        <x:v>QTV có quyền tương ứng</x:v>
      </x:c>
      <x:c r="J291" s="3" t="str">
        <x:v>Positive</x:v>
      </x:c>
      <x:c r="K291" s="3" t="str">
        <x:v>High</x:v>
      </x:c>
      <x:c r="L291" s="3" t="str">
        <x:v>High</x:v>
      </x:c>
      <x:c r="M291" s="3" t="str">
        <x:v>Môi trường QA cô lập, DB/MinIO sẵn sàng; dữ liệu fixture đã tạo. Đăng nhập tài khoản ACTIVE, mustChangePassword=false.</x:v>
      </x:c>
      <x:c r="N291" s="3" t="str">
        <x:v>USER; id=USER_ID; role/status/password theo endpoint</x:v>
      </x:c>
      <x:c r="O291" s="3" t="str">
        <x:v>1. Chuẩn bị USER; id=USER_ID; role/status/password theo endpoint; Origin cùng ADMIN_URL nếu mutation admin
2. Gửi PATCH ADMIN /api/admin/users/[id] với query/body theo fixture
3. Kiểm tra response và dữ liệu liên quan</x:v>
      </x:c>
      <x:c r="P291" s="3" t="str">
        <x:v>HTTP 200; JSON theo route source; không ép envelope backend cho admin/frontend. ID/trường dữ liệu đối chiếu fixture.</x:v>
      </x:c>
      <x:c r="Q291" s="11" t="str"/>
      <x:c r="R291" s="8" t="str">
        <x:v>NOT RUN</x:v>
      </x:c>
      <x:c r="S291" s="11" t="str">
        <x:v>QA/UAT — cần điền URL/build</x:v>
      </x:c>
      <x:c r="T291" s="11" t="str">
        <x:v>Cần điền phiên bản thực</x:v>
      </x:c>
      <x:c r="U291" s="11" t="str"/>
      <x:c r="V291" s="12" t="str"/>
      <x:c r="W291" s="11" t="str"/>
      <x:c r="X291" s="11" t="str"/>
      <x:c r="Y291" s="3" t="str">
        <x:v>Nguồn: admin/src/app/api/admin/users/[id]/route.ts. Đối với proxy CMS giữ nguyên status/body upstream. Thay placeholder bằng ID/object key fixture; GET không gửi body.</x:v>
      </x:c>
    </x:row>
    <x:row r="292" ht="49" customHeight="1">
      <x:c r="A292" s="3" t="n">
        <x:v>291</x:v>
      </x:c>
      <x:c r="B292" s="3" t="str">
        <x:v>TC_API_062</x:v>
      </x:c>
      <x:c r="C292" s="3" t="str">
        <x:v>API</x:v>
      </x:c>
      <x:c r="D292" s="3" t="str">
        <x:v>Payload lỗi</x:v>
      </x:c>
      <x:c r="E292" s="3" t="str">
        <x:v>Payload lỗi</x:v>
      </x:c>
      <x:c r="F292" s="3" t="str">
        <x:v>Negative — PATCH ADMIN /api/admin/users/[id] JSON hỏng</x:v>
      </x:c>
      <x:c r="G292" s="3" t="str">
        <x:v>PATCH ADMIN /api/admin/users/[id] JSON hỏng</x:v>
      </x:c>
      <x:c r="H292" s="3" t="str">
        <x:v>OBS-API</x:v>
      </x:c>
      <x:c r="I292" s="3" t="str">
        <x:v>QTV có quyền tương ứng</x:v>
      </x:c>
      <x:c r="J292" s="3" t="str">
        <x:v>Negative</x:v>
      </x:c>
      <x:c r="K292" s="3" t="str">
        <x:v>Medium</x:v>
      </x:c>
      <x:c r="L292" s="3" t="str">
        <x:v>Medium</x:v>
      </x:c>
      <x:c r="M292" s="3" t="str">
        <x:v>Môi trường QA cô lập, DB/MinIO sẵn sàng; dữ liệu fixture đã tạo. Đăng nhập tài khoản ACTIVE, mustChangePassword=false.</x:v>
      </x:c>
      <x:c r="N292" s="3" t="str">
        <x:v>{"qa":</x:v>
      </x:c>
      <x:c r="O292" s="3" t="str">
        <x:v>1. Đặt Content-Type application/json
2. Gửi PATCH ADMIN /api/admin/users/[id] với body {"qa":
3. Kiểm tra response</x:v>
      </x:c>
      <x:c r="P292" s="3" t="str">
        <x:v>Không xử lý mutation; lỗi HTTP 400 kỳ vọng; không lộ stack/SQL. Nếu route trả 500 ghi defect.</x:v>
      </x:c>
      <x:c r="Q292" s="11" t="str"/>
      <x:c r="R292" s="8" t="str">
        <x:v>NOT RUN</x:v>
      </x:c>
      <x:c r="S292" s="11" t="str">
        <x:v>QA/UAT — cần điền URL/build</x:v>
      </x:c>
      <x:c r="T292" s="11" t="str">
        <x:v>Cần điền phiên bản thực</x:v>
      </x:c>
      <x:c r="U292" s="11" t="str"/>
      <x:c r="V292" s="12" t="str"/>
      <x:c r="W292" s="11" t="str"/>
      <x:c r="X292" s="11" t="str"/>
      <x:c r="Y292" s="3" t="str">
        <x:v>Nguồn: admin/src/app/api/admin/users/[id]/route.ts. </x:v>
      </x:c>
    </x:row>
    <x:row r="293" ht="62" customHeight="1">
      <x:c r="A293" s="3" t="n">
        <x:v>292</x:v>
      </x:c>
      <x:c r="B293" s="3" t="str">
        <x:v>TC_API_063</x:v>
      </x:c>
      <x:c r="C293" s="3" t="str">
        <x:v>API</x:v>
      </x:c>
      <x:c r="D293" s="3" t="str">
        <x:v>Hợp đồng ADMIN</x:v>
      </x:c>
      <x:c r="E293" s="3" t="str">
        <x:v>Hợp đồng ADMIN</x:v>
      </x:c>
      <x:c r="F293" s="3" t="str">
        <x:v>Positive — DELETE ADMIN /api/admin/users/[id] hợp lệ</x:v>
      </x:c>
      <x:c r="G293" s="3" t="str">
        <x:v>DELETE ADMIN /api/admin/users/[id] hợp lệ</x:v>
      </x:c>
      <x:c r="H293" s="3" t="str">
        <x:v>OBS-API</x:v>
      </x:c>
      <x:c r="I293" s="3" t="str">
        <x:v>QTV có quyền tương ứng</x:v>
      </x:c>
      <x:c r="J293" s="3" t="str">
        <x:v>Positive</x:v>
      </x:c>
      <x:c r="K293" s="3" t="str">
        <x:v>High</x:v>
      </x:c>
      <x:c r="L293" s="3" t="str">
        <x:v>High</x:v>
      </x:c>
      <x:c r="M293" s="3" t="str">
        <x:v>Môi trường QA cô lập, DB/MinIO sẵn sàng; dữ liệu fixture đã tạo. Đăng nhập tài khoản ACTIVE, mustChangePassword=false.</x:v>
      </x:c>
      <x:c r="N293" s="3" t="str">
        <x:v>USER; id=USER_ID; role/status/password theo endpoint</x:v>
      </x:c>
      <x:c r="O293" s="3" t="str">
        <x:v>1. Chuẩn bị USER; id=USER_ID; role/status/password theo endpoint; Origin cùng ADMIN_URL nếu mutation admin
2. Gửi DELETE ADMIN /api/admin/users/[id] với query/body theo fixture
3. Kiểm tra response và dữ liệu liên quan</x:v>
      </x:c>
      <x:c r="P293" s="3" t="str">
        <x:v>HTTP 200; JSON theo route source; không ép envelope backend cho admin/frontend. ID/trường dữ liệu đối chiếu fixture.</x:v>
      </x:c>
      <x:c r="Q293" s="11" t="str"/>
      <x:c r="R293" s="8" t="str">
        <x:v>NOT RUN</x:v>
      </x:c>
      <x:c r="S293" s="11" t="str">
        <x:v>QA/UAT — cần điền URL/build</x:v>
      </x:c>
      <x:c r="T293" s="11" t="str">
        <x:v>Cần điền phiên bản thực</x:v>
      </x:c>
      <x:c r="U293" s="11" t="str"/>
      <x:c r="V293" s="12" t="str"/>
      <x:c r="W293" s="11" t="str"/>
      <x:c r="X293" s="11" t="str"/>
      <x:c r="Y293" s="3" t="str">
        <x:v>Nguồn: admin/src/app/api/admin/users/[id]/route.ts. Đối với proxy CMS giữ nguyên status/body upstream. Thay placeholder bằng ID/object key fixture; GET không gửi body.</x:v>
      </x:c>
    </x:row>
    <x:row r="294" ht="75" customHeight="1">
      <x:c r="A294" s="3" t="n">
        <x:v>293</x:v>
      </x:c>
      <x:c r="B294" s="3" t="str">
        <x:v>TC_API_064</x:v>
      </x:c>
      <x:c r="C294" s="3" t="str">
        <x:v>API</x:v>
      </x:c>
      <x:c r="D294" s="3" t="str">
        <x:v>Hợp đồng ADMIN</x:v>
      </x:c>
      <x:c r="E294" s="3" t="str">
        <x:v>Hợp đồng ADMIN</x:v>
      </x:c>
      <x:c r="F294" s="3" t="str">
        <x:v>Positive — POST ADMIN /api/admin/users/[id]/reset-password hợp lệ</x:v>
      </x:c>
      <x:c r="G294" s="3" t="str">
        <x:v>POST ADMIN /api/admin/users/[id]/reset-password hợp lệ</x:v>
      </x:c>
      <x:c r="H294" s="3" t="str">
        <x:v>OBS-API</x:v>
      </x:c>
      <x:c r="I294" s="3" t="str">
        <x:v>QTV có quyền tương ứng</x:v>
      </x:c>
      <x:c r="J294" s="3" t="str">
        <x:v>Positive</x:v>
      </x:c>
      <x:c r="K294" s="3" t="str">
        <x:v>High</x:v>
      </x:c>
      <x:c r="L294" s="3" t="str">
        <x:v>High</x:v>
      </x:c>
      <x:c r="M294" s="3" t="str">
        <x:v>Môi trường QA cô lập, DB/MinIO sẵn sàng; dữ liệu fixture đã tạo. Đăng nhập tài khoản ACTIVE, mustChangePassword=false.</x:v>
      </x:c>
      <x:c r="N294" s="3" t="str">
        <x:v>token còn hạn từ SMTP QA, password/confirm fixture</x:v>
      </x:c>
      <x:c r="O294" s="3" t="str">
        <x:v>1. Chuẩn bị token còn hạn từ SMTP QA, password/confirm fixture; Origin cùng ADMIN_URL nếu mutation admin
2. Gửi POST ADMIN /api/admin/users/[id]/reset-password với query/body theo fixture
3. Kiểm tra response và dữ liệu liên quan</x:v>
      </x:c>
      <x:c r="P294" s="3" t="str">
        <x:v>HTTP 200; JSON theo route source; không ép envelope backend cho admin/frontend. ID/trường dữ liệu đối chiếu fixture.</x:v>
      </x:c>
      <x:c r="Q294" s="11" t="str"/>
      <x:c r="R294" s="8" t="str">
        <x:v>NOT RUN</x:v>
      </x:c>
      <x:c r="S294" s="11" t="str">
        <x:v>QA/UAT — cần điền URL/build</x:v>
      </x:c>
      <x:c r="T294" s="11" t="str">
        <x:v>Cần điền phiên bản thực</x:v>
      </x:c>
      <x:c r="U294" s="11" t="str"/>
      <x:c r="V294" s="12" t="str"/>
      <x:c r="W294" s="11" t="str"/>
      <x:c r="X294" s="11" t="str"/>
      <x:c r="Y294" s="3" t="str">
        <x:v>Nguồn: admin/src/app/api/admin/users/[id]/reset-password/route.ts. Đối với proxy CMS giữ nguyên status/body upstream. Thay placeholder bằng ID/object key fixture; GET không gửi body.</x:v>
      </x:c>
    </x:row>
    <x:row r="295" ht="62" customHeight="1">
      <x:c r="A295" s="3" t="n">
        <x:v>294</x:v>
      </x:c>
      <x:c r="B295" s="3" t="str">
        <x:v>TC_API_065</x:v>
      </x:c>
      <x:c r="C295" s="3" t="str">
        <x:v>API</x:v>
      </x:c>
      <x:c r="D295" s="3" t="str">
        <x:v>Payload lỗi</x:v>
      </x:c>
      <x:c r="E295" s="3" t="str">
        <x:v>Payload lỗi</x:v>
      </x:c>
      <x:c r="F295" s="3" t="str">
        <x:v>Negative — POST ADMIN /api/admin/users/[id]/reset-password JSON hỏng</x:v>
      </x:c>
      <x:c r="G295" s="3" t="str">
        <x:v>POST ADMIN /api/admin/users/[id]/reset-password JSON hỏng</x:v>
      </x:c>
      <x:c r="H295" s="3" t="str">
        <x:v>OBS-API</x:v>
      </x:c>
      <x:c r="I295" s="3" t="str">
        <x:v>QTV có quyền tương ứng</x:v>
      </x:c>
      <x:c r="J295" s="3" t="str">
        <x:v>Negative</x:v>
      </x:c>
      <x:c r="K295" s="3" t="str">
        <x:v>Medium</x:v>
      </x:c>
      <x:c r="L295" s="3" t="str">
        <x:v>Medium</x:v>
      </x:c>
      <x:c r="M295" s="3" t="str">
        <x:v>Môi trường QA cô lập, DB/MinIO sẵn sàng; dữ liệu fixture đã tạo. Đăng nhập tài khoản ACTIVE, mustChangePassword=false.</x:v>
      </x:c>
      <x:c r="N295" s="3" t="str">
        <x:v>{"qa":</x:v>
      </x:c>
      <x:c r="O295" s="3" t="str">
        <x:v>1. Đặt Content-Type application/json
2. Gửi POST ADMIN /api/admin/users/[id]/reset-password với body {"qa":
3. Kiểm tra response</x:v>
      </x:c>
      <x:c r="P295" s="3" t="str">
        <x:v>Không xử lý mutation; lỗi HTTP 400 kỳ vọng; không lộ stack/SQL. Nếu route trả 500 ghi defect.</x:v>
      </x:c>
      <x:c r="Q295" s="11" t="str"/>
      <x:c r="R295" s="8" t="str">
        <x:v>NOT RUN</x:v>
      </x:c>
      <x:c r="S295" s="11" t="str">
        <x:v>QA/UAT — cần điền URL/build</x:v>
      </x:c>
      <x:c r="T295" s="11" t="str">
        <x:v>Cần điền phiên bản thực</x:v>
      </x:c>
      <x:c r="U295" s="11" t="str"/>
      <x:c r="V295" s="12" t="str"/>
      <x:c r="W295" s="11" t="str"/>
      <x:c r="X295" s="11" t="str"/>
      <x:c r="Y295" s="3" t="str">
        <x:v>Nguồn: admin/src/app/api/admin/users/[id]/reset-password/route.ts. </x:v>
      </x:c>
    </x:row>
    <x:row r="296" ht="75" customHeight="1">
      <x:c r="A296" s="3" t="n">
        <x:v>295</x:v>
      </x:c>
      <x:c r="B296" s="3" t="str">
        <x:v>TC_API_066</x:v>
      </x:c>
      <x:c r="C296" s="3" t="str">
        <x:v>API</x:v>
      </x:c>
      <x:c r="D296" s="3" t="str">
        <x:v>Hợp đồng ADMIN</x:v>
      </x:c>
      <x:c r="E296" s="3" t="str">
        <x:v>Hợp đồng ADMIN</x:v>
      </x:c>
      <x:c r="F296" s="3" t="str">
        <x:v>Positive — PATCH ADMIN /api/admin/users/[id]/role hợp lệ</x:v>
      </x:c>
      <x:c r="G296" s="3" t="str">
        <x:v>PATCH ADMIN /api/admin/users/[id]/role hợp lệ</x:v>
      </x:c>
      <x:c r="H296" s="3" t="str">
        <x:v>OBS-API</x:v>
      </x:c>
      <x:c r="I296" s="3" t="str">
        <x:v>QTV có quyền tương ứng</x:v>
      </x:c>
      <x:c r="J296" s="3" t="str">
        <x:v>Positive</x:v>
      </x:c>
      <x:c r="K296" s="3" t="str">
        <x:v>High</x:v>
      </x:c>
      <x:c r="L296" s="3" t="str">
        <x:v>High</x:v>
      </x:c>
      <x:c r="M296" s="3" t="str">
        <x:v>Môi trường QA cô lập, DB/MinIO sẵn sàng; dữ liệu fixture đã tạo. Đăng nhập tài khoản ACTIVE, mustChangePassword=false.</x:v>
      </x:c>
      <x:c r="N296" s="3" t="str">
        <x:v>USER; id=USER_ID; role/status/password theo endpoint</x:v>
      </x:c>
      <x:c r="O296" s="3" t="str">
        <x:v>1. Chuẩn bị USER; id=USER_ID; role/status/password theo endpoint; Origin cùng ADMIN_URL nếu mutation admin
2. Gửi PATCH ADMIN /api/admin/users/[id]/role với query/body theo fixture
3. Kiểm tra response và dữ liệu liên quan</x:v>
      </x:c>
      <x:c r="P296" s="3" t="str">
        <x:v>HTTP 200; JSON theo route source; không ép envelope backend cho admin/frontend. ID/trường dữ liệu đối chiếu fixture.</x:v>
      </x:c>
      <x:c r="Q296" s="11" t="str"/>
      <x:c r="R296" s="8" t="str">
        <x:v>NOT RUN</x:v>
      </x:c>
      <x:c r="S296" s="11" t="str">
        <x:v>QA/UAT — cần điền URL/build</x:v>
      </x:c>
      <x:c r="T296" s="11" t="str">
        <x:v>Cần điền phiên bản thực</x:v>
      </x:c>
      <x:c r="U296" s="11" t="str"/>
      <x:c r="V296" s="12" t="str"/>
      <x:c r="W296" s="11" t="str"/>
      <x:c r="X296" s="11" t="str"/>
      <x:c r="Y296" s="3" t="str">
        <x:v>Nguồn: admin/src/app/api/admin/users/[id]/role/route.ts. Đối với proxy CMS giữ nguyên status/body upstream. Thay placeholder bằng ID/object key fixture; GET không gửi body.</x:v>
      </x:c>
    </x:row>
    <x:row r="297" ht="49" customHeight="1">
      <x:c r="A297" s="3" t="n">
        <x:v>296</x:v>
      </x:c>
      <x:c r="B297" s="3" t="str">
        <x:v>TC_API_067</x:v>
      </x:c>
      <x:c r="C297" s="3" t="str">
        <x:v>API</x:v>
      </x:c>
      <x:c r="D297" s="3" t="str">
        <x:v>Payload lỗi</x:v>
      </x:c>
      <x:c r="E297" s="3" t="str">
        <x:v>Payload lỗi</x:v>
      </x:c>
      <x:c r="F297" s="3" t="str">
        <x:v>Negative — PATCH ADMIN /api/admin/users/[id]/role JSON hỏng</x:v>
      </x:c>
      <x:c r="G297" s="3" t="str">
        <x:v>PATCH ADMIN /api/admin/users/[id]/role JSON hỏng</x:v>
      </x:c>
      <x:c r="H297" s="3" t="str">
        <x:v>OBS-API</x:v>
      </x:c>
      <x:c r="I297" s="3" t="str">
        <x:v>QTV có quyền tương ứng</x:v>
      </x:c>
      <x:c r="J297" s="3" t="str">
        <x:v>Negative</x:v>
      </x:c>
      <x:c r="K297" s="3" t="str">
        <x:v>Medium</x:v>
      </x:c>
      <x:c r="L297" s="3" t="str">
        <x:v>Medium</x:v>
      </x:c>
      <x:c r="M297" s="3" t="str">
        <x:v>Môi trường QA cô lập, DB/MinIO sẵn sàng; dữ liệu fixture đã tạo. Đăng nhập tài khoản ACTIVE, mustChangePassword=false.</x:v>
      </x:c>
      <x:c r="N297" s="3" t="str">
        <x:v>{"qa":</x:v>
      </x:c>
      <x:c r="O297" s="3" t="str">
        <x:v>1. Đặt Content-Type application/json
2. Gửi PATCH ADMIN /api/admin/users/[id]/role với body {"qa":
3. Kiểm tra response</x:v>
      </x:c>
      <x:c r="P297" s="3" t="str">
        <x:v>Không xử lý mutation; lỗi HTTP 400 kỳ vọng; không lộ stack/SQL. Nếu route trả 500 ghi defect.</x:v>
      </x:c>
      <x:c r="Q297" s="11" t="str"/>
      <x:c r="R297" s="8" t="str">
        <x:v>NOT RUN</x:v>
      </x:c>
      <x:c r="S297" s="11" t="str">
        <x:v>QA/UAT — cần điền URL/build</x:v>
      </x:c>
      <x:c r="T297" s="11" t="str">
        <x:v>Cần điền phiên bản thực</x:v>
      </x:c>
      <x:c r="U297" s="11" t="str"/>
      <x:c r="V297" s="12" t="str"/>
      <x:c r="W297" s="11" t="str"/>
      <x:c r="X297" s="11" t="str"/>
      <x:c r="Y297" s="3" t="str">
        <x:v>Nguồn: admin/src/app/api/admin/users/[id]/role/route.ts. </x:v>
      </x:c>
    </x:row>
    <x:row r="298" ht="75" customHeight="1">
      <x:c r="A298" s="3" t="n">
        <x:v>297</x:v>
      </x:c>
      <x:c r="B298" s="3" t="str">
        <x:v>TC_API_068</x:v>
      </x:c>
      <x:c r="C298" s="3" t="str">
        <x:v>API</x:v>
      </x:c>
      <x:c r="D298" s="3" t="str">
        <x:v>Hợp đồng ADMIN</x:v>
      </x:c>
      <x:c r="E298" s="3" t="str">
        <x:v>Hợp đồng ADMIN</x:v>
      </x:c>
      <x:c r="F298" s="3" t="str">
        <x:v>Positive — PATCH ADMIN /api/admin/users/[id]/status hợp lệ</x:v>
      </x:c>
      <x:c r="G298" s="3" t="str">
        <x:v>PATCH ADMIN /api/admin/users/[id]/status hợp lệ</x:v>
      </x:c>
      <x:c r="H298" s="3" t="str">
        <x:v>OBS-API</x:v>
      </x:c>
      <x:c r="I298" s="3" t="str">
        <x:v>QTV có quyền tương ứng</x:v>
      </x:c>
      <x:c r="J298" s="3" t="str">
        <x:v>Positive</x:v>
      </x:c>
      <x:c r="K298" s="3" t="str">
        <x:v>High</x:v>
      </x:c>
      <x:c r="L298" s="3" t="str">
        <x:v>High</x:v>
      </x:c>
      <x:c r="M298" s="3" t="str">
        <x:v>Môi trường QA cô lập, DB/MinIO sẵn sàng; dữ liệu fixture đã tạo. Đăng nhập tài khoản ACTIVE, mustChangePassword=false.</x:v>
      </x:c>
      <x:c r="N298" s="3" t="str">
        <x:v>USER; id=USER_ID; role/status/password theo endpoint</x:v>
      </x:c>
      <x:c r="O298" s="3" t="str">
        <x:v>1. Chuẩn bị USER; id=USER_ID; role/status/password theo endpoint; Origin cùng ADMIN_URL nếu mutation admin
2. Gửi PATCH ADMIN /api/admin/users/[id]/status với query/body theo fixture
3. Kiểm tra response và dữ liệu liên quan</x:v>
      </x:c>
      <x:c r="P298" s="3" t="str">
        <x:v>HTTP 200; JSON theo route source; không ép envelope backend cho admin/frontend. ID/trường dữ liệu đối chiếu fixture.</x:v>
      </x:c>
      <x:c r="Q298" s="11" t="str"/>
      <x:c r="R298" s="8" t="str">
        <x:v>NOT RUN</x:v>
      </x:c>
      <x:c r="S298" s="11" t="str">
        <x:v>QA/UAT — cần điền URL/build</x:v>
      </x:c>
      <x:c r="T298" s="11" t="str">
        <x:v>Cần điền phiên bản thực</x:v>
      </x:c>
      <x:c r="U298" s="11" t="str"/>
      <x:c r="V298" s="12" t="str"/>
      <x:c r="W298" s="11" t="str"/>
      <x:c r="X298" s="11" t="str"/>
      <x:c r="Y298" s="3" t="str">
        <x:v>Nguồn: admin/src/app/api/admin/users/[id]/status/route.ts. Đối với proxy CMS giữ nguyên status/body upstream. Thay placeholder bằng ID/object key fixture; GET không gửi body.</x:v>
      </x:c>
    </x:row>
    <x:row r="299" ht="49" customHeight="1">
      <x:c r="A299" s="3" t="n">
        <x:v>298</x:v>
      </x:c>
      <x:c r="B299" s="3" t="str">
        <x:v>TC_API_069</x:v>
      </x:c>
      <x:c r="C299" s="3" t="str">
        <x:v>API</x:v>
      </x:c>
      <x:c r="D299" s="3" t="str">
        <x:v>Payload lỗi</x:v>
      </x:c>
      <x:c r="E299" s="3" t="str">
        <x:v>Payload lỗi</x:v>
      </x:c>
      <x:c r="F299" s="3" t="str">
        <x:v>Negative — PATCH ADMIN /api/admin/users/[id]/status JSON hỏng</x:v>
      </x:c>
      <x:c r="G299" s="3" t="str">
        <x:v>PATCH ADMIN /api/admin/users/[id]/status JSON hỏng</x:v>
      </x:c>
      <x:c r="H299" s="3" t="str">
        <x:v>OBS-API</x:v>
      </x:c>
      <x:c r="I299" s="3" t="str">
        <x:v>QTV có quyền tương ứng</x:v>
      </x:c>
      <x:c r="J299" s="3" t="str">
        <x:v>Negative</x:v>
      </x:c>
      <x:c r="K299" s="3" t="str">
        <x:v>Medium</x:v>
      </x:c>
      <x:c r="L299" s="3" t="str">
        <x:v>Medium</x:v>
      </x:c>
      <x:c r="M299" s="3" t="str">
        <x:v>Môi trường QA cô lập, DB/MinIO sẵn sàng; dữ liệu fixture đã tạo. Đăng nhập tài khoản ACTIVE, mustChangePassword=false.</x:v>
      </x:c>
      <x:c r="N299" s="3" t="str">
        <x:v>{"qa":</x:v>
      </x:c>
      <x:c r="O299" s="3" t="str">
        <x:v>1. Đặt Content-Type application/json
2. Gửi PATCH ADMIN /api/admin/users/[id]/status với body {"qa":
3. Kiểm tra response</x:v>
      </x:c>
      <x:c r="P299" s="3" t="str">
        <x:v>Không xử lý mutation; lỗi HTTP 400 kỳ vọng; không lộ stack/SQL. Nếu route trả 500 ghi defect.</x:v>
      </x:c>
      <x:c r="Q299" s="11" t="str"/>
      <x:c r="R299" s="8" t="str">
        <x:v>NOT RUN</x:v>
      </x:c>
      <x:c r="S299" s="11" t="str">
        <x:v>QA/UAT — cần điền URL/build</x:v>
      </x:c>
      <x:c r="T299" s="11" t="str">
        <x:v>Cần điền phiên bản thực</x:v>
      </x:c>
      <x:c r="U299" s="11" t="str"/>
      <x:c r="V299" s="12" t="str"/>
      <x:c r="W299" s="11" t="str"/>
      <x:c r="X299" s="11" t="str"/>
      <x:c r="Y299" s="3" t="str">
        <x:v>Nguồn: admin/src/app/api/admin/users/[id]/status/route.ts. </x:v>
      </x:c>
    </x:row>
    <x:row r="300" ht="62" customHeight="1">
      <x:c r="A300" s="3" t="n">
        <x:v>299</x:v>
      </x:c>
      <x:c r="B300" s="3" t="str">
        <x:v>TC_API_070</x:v>
      </x:c>
      <x:c r="C300" s="3" t="str">
        <x:v>API</x:v>
      </x:c>
      <x:c r="D300" s="3" t="str">
        <x:v>Hợp đồng ADMIN</x:v>
      </x:c>
      <x:c r="E300" s="3" t="str">
        <x:v>Hợp đồng ADMIN</x:v>
      </x:c>
      <x:c r="F300" s="3" t="str">
        <x:v>Positive — POST ADMIN /api/cms/import-word hợp lệ</x:v>
      </x:c>
      <x:c r="G300" s="3" t="str">
        <x:v>POST ADMIN /api/cms/import-word hợp lệ</x:v>
      </x:c>
      <x:c r="H300" s="3" t="str">
        <x:v>OBS-API</x:v>
      </x:c>
      <x:c r="I300" s="3" t="str">
        <x:v>QTV có quyền tương ứng</x:v>
      </x:c>
      <x:c r="J300" s="3" t="str">
        <x:v>Positive</x:v>
      </x:c>
      <x:c r="K300" s="3" t="str">
        <x:v>High</x:v>
      </x:c>
      <x:c r="L300" s="3" t="str">
        <x:v>High</x:v>
      </x:c>
      <x:c r="M300" s="3" t="str">
        <x:v>Môi trường QA cô lập, DB/MinIO sẵn sàng; dữ liệu fixture đã tạo. Đăng nhập tài khoản ACTIVE, mustChangePassword=false.</x:v>
      </x:c>
      <x:c r="N300" s="3" t="str">
        <x:v>multipart field=file, fixture hợp lệ theo định dạng endpoint</x:v>
      </x:c>
      <x:c r="O300" s="3" t="str">
        <x:v>1. Chuẩn bị multipart field=file, fixture hợp lệ theo định dạng endpoint; Origin cùng ADMIN_URL nếu mutation admin
2. Gửi POST ADMIN /api/cms/import-word với query/body theo fixture
3. Kiểm tra response và dữ liệu liên quan</x:v>
      </x:c>
      <x:c r="P300" s="3" t="str">
        <x:v>HTTP 200; JSON theo route source; không ép envelope backend cho admin/frontend. ID/trường dữ liệu đối chiếu fixture.</x:v>
      </x:c>
      <x:c r="Q300" s="11" t="str"/>
      <x:c r="R300" s="8" t="str">
        <x:v>NOT RUN</x:v>
      </x:c>
      <x:c r="S300" s="11" t="str">
        <x:v>QA/UAT — cần điền URL/build</x:v>
      </x:c>
      <x:c r="T300" s="11" t="str">
        <x:v>Cần điền phiên bản thực</x:v>
      </x:c>
      <x:c r="U300" s="11" t="str"/>
      <x:c r="V300" s="12" t="str"/>
      <x:c r="W300" s="11" t="str"/>
      <x:c r="X300" s="11" t="str"/>
      <x:c r="Y300" s="3" t="str">
        <x:v>Nguồn: admin/src/app/api/cms/import-word/route.ts. Đối với proxy CMS giữ nguyên status/body upstream. Thay placeholder bằng ID/object key fixture; GET không gửi body.</x:v>
      </x:c>
    </x:row>
    <x:row r="301" ht="62" customHeight="1">
      <x:c r="A301" s="3" t="n">
        <x:v>300</x:v>
      </x:c>
      <x:c r="B301" s="3" t="str">
        <x:v>TC_API_071</x:v>
      </x:c>
      <x:c r="C301" s="3" t="str">
        <x:v>API</x:v>
      </x:c>
      <x:c r="D301" s="3" t="str">
        <x:v>Hợp đồng ADMIN</x:v>
      </x:c>
      <x:c r="E301" s="3" t="str">
        <x:v>Hợp đồng ADMIN</x:v>
      </x:c>
      <x:c r="F301" s="3" t="str">
        <x:v>Positive — POST ADMIN /api/cms/upload-image hợp lệ</x:v>
      </x:c>
      <x:c r="G301" s="3" t="str">
        <x:v>POST ADMIN /api/cms/upload-image hợp lệ</x:v>
      </x:c>
      <x:c r="H301" s="3" t="str">
        <x:v>OBS-API</x:v>
      </x:c>
      <x:c r="I301" s="3" t="str">
        <x:v>QTV có quyền tương ứng</x:v>
      </x:c>
      <x:c r="J301" s="3" t="str">
        <x:v>Positive</x:v>
      </x:c>
      <x:c r="K301" s="3" t="str">
        <x:v>High</x:v>
      </x:c>
      <x:c r="L301" s="3" t="str">
        <x:v>High</x:v>
      </x:c>
      <x:c r="M301" s="3" t="str">
        <x:v>Môi trường QA cô lập, DB/MinIO sẵn sàng; dữ liệu fixture đã tạo. Đăng nhập tài khoản ACTIVE, mustChangePassword=false.</x:v>
      </x:c>
      <x:c r="N301" s="3" t="str">
        <x:v>multipart field=file, fixture hợp lệ theo định dạng endpoint</x:v>
      </x:c>
      <x:c r="O301" s="3" t="str">
        <x:v>1. Chuẩn bị multipart field=file, fixture hợp lệ theo định dạng endpoint; Origin cùng ADMIN_URL nếu mutation admin
2. Gửi POST ADMIN /api/cms/upload-image với query/body theo fixture
3. Kiểm tra response và dữ liệu liên quan</x:v>
      </x:c>
      <x:c r="P301" s="3" t="str">
        <x:v>HTTP 200; JSON theo route source; không ép envelope backend cho admin/frontend. ID/trường dữ liệu đối chiếu fixture.</x:v>
      </x:c>
      <x:c r="Q301" s="11" t="str"/>
      <x:c r="R301" s="8" t="str">
        <x:v>NOT RUN</x:v>
      </x:c>
      <x:c r="S301" s="11" t="str">
        <x:v>QA/UAT — cần điền URL/build</x:v>
      </x:c>
      <x:c r="T301" s="11" t="str">
        <x:v>Cần điền phiên bản thực</x:v>
      </x:c>
      <x:c r="U301" s="11" t="str"/>
      <x:c r="V301" s="12" t="str"/>
      <x:c r="W301" s="11" t="str"/>
      <x:c r="X301" s="11" t="str"/>
      <x:c r="Y301" s="3" t="str">
        <x:v>Nguồn: admin/src/app/api/cms/upload-image/route.ts. Đối với proxy CMS giữ nguyên status/body upstream. Thay placeholder bằng ID/object key fixture; GET không gửi body.</x:v>
      </x:c>
    </x:row>
    <x:row r="302" ht="75" customHeight="1">
      <x:c r="A302" s="3" t="n">
        <x:v>301</x:v>
      </x:c>
      <x:c r="B302" s="3" t="str">
        <x:v>TC_API_072</x:v>
      </x:c>
      <x:c r="C302" s="3" t="str">
        <x:v>API</x:v>
      </x:c>
      <x:c r="D302" s="3" t="str">
        <x:v>Hợp đồng ADMIN</x:v>
      </x:c>
      <x:c r="E302" s="3" t="str">
        <x:v>Hợp đồng ADMIN</x:v>
      </x:c>
      <x:c r="F302" s="3" t="str">
        <x:v>Positive — POST ADMIN /api/cms/upload-resource hợp lệ</x:v>
      </x:c>
      <x:c r="G302" s="3" t="str">
        <x:v>POST ADMIN /api/cms/upload-resource hợp lệ</x:v>
      </x:c>
      <x:c r="H302" s="3" t="str">
        <x:v>OBS-API</x:v>
      </x:c>
      <x:c r="I302" s="3" t="str">
        <x:v>QTV có quyền tương ứng</x:v>
      </x:c>
      <x:c r="J302" s="3" t="str">
        <x:v>Positive</x:v>
      </x:c>
      <x:c r="K302" s="3" t="str">
        <x:v>High</x:v>
      </x:c>
      <x:c r="L302" s="3" t="str">
        <x:v>High</x:v>
      </x:c>
      <x:c r="M302" s="3" t="str">
        <x:v>Môi trường QA cô lập, DB/MinIO sẵn sàng; dữ liệu fixture đã tạo. Đăng nhập tài khoản ACTIVE, mustChangePassword=false.</x:v>
      </x:c>
      <x:c r="N302" s="3" t="str">
        <x:v>multipart field=file, fixture hợp lệ theo định dạng endpoint</x:v>
      </x:c>
      <x:c r="O302" s="3" t="str">
        <x:v>1. Chuẩn bị multipart field=file, fixture hợp lệ theo định dạng endpoint; Origin cùng ADMIN_URL nếu mutation admin
2. Gửi POST ADMIN /api/cms/upload-resource với query/body theo fixture
3. Kiểm tra response và dữ liệu liên quan</x:v>
      </x:c>
      <x:c r="P302" s="3" t="str">
        <x:v>HTTP 200; JSON theo route source; không ép envelope backend cho admin/frontend. ID/trường dữ liệu đối chiếu fixture.</x:v>
      </x:c>
      <x:c r="Q302" s="11" t="str"/>
      <x:c r="R302" s="8" t="str">
        <x:v>NOT RUN</x:v>
      </x:c>
      <x:c r="S302" s="11" t="str">
        <x:v>QA/UAT — cần điền URL/build</x:v>
      </x:c>
      <x:c r="T302" s="11" t="str">
        <x:v>Cần điền phiên bản thực</x:v>
      </x:c>
      <x:c r="U302" s="11" t="str"/>
      <x:c r="V302" s="12" t="str"/>
      <x:c r="W302" s="11" t="str"/>
      <x:c r="X302" s="11" t="str"/>
      <x:c r="Y302" s="3" t="str">
        <x:v>Nguồn: admin/src/app/api/cms/upload-resource/route.ts. Đối với proxy CMS giữ nguyên status/body upstream. Thay placeholder bằng ID/object key fixture; GET không gửi body.</x:v>
      </x:c>
    </x:row>
    <x:row r="303" ht="75" customHeight="1">
      <x:c r="A303" s="3" t="n">
        <x:v>302</x:v>
      </x:c>
      <x:c r="B303" s="3" t="str">
        <x:v>TC_API_073</x:v>
      </x:c>
      <x:c r="C303" s="3" t="str">
        <x:v>API</x:v>
      </x:c>
      <x:c r="D303" s="3" t="str">
        <x:v>Hợp đồng ADMIN</x:v>
      </x:c>
      <x:c r="E303" s="3" t="str">
        <x:v>Hợp đồng ADMIN</x:v>
      </x:c>
      <x:c r="F303" s="3" t="str">
        <x:v>Positive — GET ADMIN /api/cms/[...path] hợp lệ</x:v>
      </x:c>
      <x:c r="G303" s="3" t="str">
        <x:v>GET ADMIN /api/cms/[...path] hợp lệ</x:v>
      </x:c>
      <x:c r="H303" s="3" t="str">
        <x:v>OBS-API</x:v>
      </x:c>
      <x:c r="I303" s="3" t="str">
        <x:v>QTV có quyền tương ứng</x:v>
      </x:c>
      <x:c r="J303" s="3" t="str">
        <x:v>Positive</x:v>
      </x:c>
      <x:c r="K303" s="3" t="str">
        <x:v>High</x:v>
      </x:c>
      <x:c r="L303" s="3" t="str">
        <x:v>High</x:v>
      </x:c>
      <x:c r="M303" s="3" t="str">
        <x:v>Môi trường QA cô lập, DB/MinIO sẵn sàng; dữ liệu fixture đã tạo. Đăng nhập tài khoản ACTIVE, mustChangePassword=false.</x:v>
      </x:c>
      <x:c r="N303" s="3" t="str">
        <x:v>Thay [...path]=news; với PATCH dùng consultations/{LEAD_ID}/status. Media dùng object key QA tồn tại.</x:v>
      </x:c>
      <x:c r="O303" s="3" t="str">
        <x:v>1. Chuẩn bị Thay [...path]=news; với PATCH dùng consultations/{LEAD_ID}/status. Media dùng object key QA tồn tại.; Origin cùng ADMIN_URL nếu mutation admin
2. Gửi GET ADMIN /api/cms/[...path] với query/body theo fixture
3. Kiểm tra response và dữ liệu liên quan</x:v>
      </x:c>
      <x:c r="P303" s="3" t="str">
        <x:v>HTTP 200; JSON theo route source; không ép envelope backend cho admin/frontend. ID/trường dữ liệu đối chiếu fixture.</x:v>
      </x:c>
      <x:c r="Q303" s="11" t="str"/>
      <x:c r="R303" s="8" t="str">
        <x:v>NOT RUN</x:v>
      </x:c>
      <x:c r="S303" s="11" t="str">
        <x:v>QA/UAT — cần điền URL/build</x:v>
      </x:c>
      <x:c r="T303" s="11" t="str">
        <x:v>Cần điền phiên bản thực</x:v>
      </x:c>
      <x:c r="U303" s="11" t="str"/>
      <x:c r="V303" s="12" t="str"/>
      <x:c r="W303" s="11" t="str"/>
      <x:c r="X303" s="11" t="str"/>
      <x:c r="Y303" s="3" t="str">
        <x:v>Nguồn: admin/src/app/api/cms/[...path]/route.ts. Đối với proxy CMS giữ nguyên status/body upstream. Thay placeholder bằng ID/object key fixture; GET không gửi body.</x:v>
      </x:c>
    </x:row>
    <x:row r="304" ht="75" customHeight="1">
      <x:c r="A304" s="3" t="n">
        <x:v>303</x:v>
      </x:c>
      <x:c r="B304" s="3" t="str">
        <x:v>TC_API_074</x:v>
      </x:c>
      <x:c r="C304" s="3" t="str">
        <x:v>API</x:v>
      </x:c>
      <x:c r="D304" s="3" t="str">
        <x:v>Hợp đồng ADMIN</x:v>
      </x:c>
      <x:c r="E304" s="3" t="str">
        <x:v>Hợp đồng ADMIN</x:v>
      </x:c>
      <x:c r="F304" s="3" t="str">
        <x:v>Positive — POST ADMIN /api/cms/[...path] hợp lệ</x:v>
      </x:c>
      <x:c r="G304" s="3" t="str">
        <x:v>POST ADMIN /api/cms/[...path] hợp lệ</x:v>
      </x:c>
      <x:c r="H304" s="3" t="str">
        <x:v>OBS-API</x:v>
      </x:c>
      <x:c r="I304" s="3" t="str">
        <x:v>QTV có quyền tương ứng</x:v>
      </x:c>
      <x:c r="J304" s="3" t="str">
        <x:v>Positive</x:v>
      </x:c>
      <x:c r="K304" s="3" t="str">
        <x:v>High</x:v>
      </x:c>
      <x:c r="L304" s="3" t="str">
        <x:v>High</x:v>
      </x:c>
      <x:c r="M304" s="3" t="str">
        <x:v>Môi trường QA cô lập, DB/MinIO sẵn sàng; dữ liệu fixture đã tạo. Đăng nhập tài khoản ACTIVE, mustChangePassword=false.</x:v>
      </x:c>
      <x:c r="N304" s="3" t="str">
        <x:v>Thay [...path]=news; với PATCH dùng consultations/{LEAD_ID}/status. Media dùng object key QA tồn tại.</x:v>
      </x:c>
      <x:c r="O304" s="3" t="str">
        <x:v>1. Chuẩn bị Thay [...path]=news; với PATCH dùng consultations/{LEAD_ID}/status. Media dùng object key QA tồn tại.; Origin cùng ADMIN_URL nếu mutation admin
2. Gửi POST ADMIN /api/cms/[...path] với query/body theo fixture
3. Kiểm tra response và dữ liệu liên quan</x:v>
      </x:c>
      <x:c r="P304" s="3" t="str">
        <x:v>HTTP 200; JSON theo route source; không ép envelope backend cho admin/frontend. ID/trường dữ liệu đối chiếu fixture.</x:v>
      </x:c>
      <x:c r="Q304" s="11" t="str"/>
      <x:c r="R304" s="8" t="str">
        <x:v>NOT RUN</x:v>
      </x:c>
      <x:c r="S304" s="11" t="str">
        <x:v>QA/UAT — cần điền URL/build</x:v>
      </x:c>
      <x:c r="T304" s="11" t="str">
        <x:v>Cần điền phiên bản thực</x:v>
      </x:c>
      <x:c r="U304" s="11" t="str"/>
      <x:c r="V304" s="12" t="str"/>
      <x:c r="W304" s="11" t="str"/>
      <x:c r="X304" s="11" t="str"/>
      <x:c r="Y304" s="3" t="str">
        <x:v>Nguồn: admin/src/app/api/cms/[...path]/route.ts. Đối với proxy CMS giữ nguyên status/body upstream. Thay placeholder bằng ID/object key fixture; GET không gửi body.</x:v>
      </x:c>
    </x:row>
    <x:row r="305" ht="75" customHeight="1">
      <x:c r="A305" s="3" t="n">
        <x:v>304</x:v>
      </x:c>
      <x:c r="B305" s="3" t="str">
        <x:v>TC_API_075</x:v>
      </x:c>
      <x:c r="C305" s="3" t="str">
        <x:v>API</x:v>
      </x:c>
      <x:c r="D305" s="3" t="str">
        <x:v>Hợp đồng ADMIN</x:v>
      </x:c>
      <x:c r="E305" s="3" t="str">
        <x:v>Hợp đồng ADMIN</x:v>
      </x:c>
      <x:c r="F305" s="3" t="str">
        <x:v>Positive — PUT ADMIN /api/cms/[...path] hợp lệ</x:v>
      </x:c>
      <x:c r="G305" s="3" t="str">
        <x:v>PUT ADMIN /api/cms/[...path] hợp lệ</x:v>
      </x:c>
      <x:c r="H305" s="3" t="str">
        <x:v>OBS-API</x:v>
      </x:c>
      <x:c r="I305" s="3" t="str">
        <x:v>QTV có quyền tương ứng</x:v>
      </x:c>
      <x:c r="J305" s="3" t="str">
        <x:v>Positive</x:v>
      </x:c>
      <x:c r="K305" s="3" t="str">
        <x:v>High</x:v>
      </x:c>
      <x:c r="L305" s="3" t="str">
        <x:v>High</x:v>
      </x:c>
      <x:c r="M305" s="3" t="str">
        <x:v>Môi trường QA cô lập, DB/MinIO sẵn sàng; dữ liệu fixture đã tạo. Đăng nhập tài khoản ACTIVE, mustChangePassword=false.</x:v>
      </x:c>
      <x:c r="N305" s="3" t="str">
        <x:v>Thay [...path]=news; với PATCH dùng consultations/{LEAD_ID}/status. Media dùng object key QA tồn tại.</x:v>
      </x:c>
      <x:c r="O305" s="3" t="str">
        <x:v>1. Chuẩn bị Thay [...path]=news; với PATCH dùng consultations/{LEAD_ID}/status. Media dùng object key QA tồn tại.; Origin cùng ADMIN_URL nếu mutation admin
2. Gửi PUT ADMIN /api/cms/[...path] với query/body theo fixture
3. Kiểm tra response và dữ liệu liên quan</x:v>
      </x:c>
      <x:c r="P305" s="3" t="str">
        <x:v>HTTP 200; JSON theo route source; không ép envelope backend cho admin/frontend. ID/trường dữ liệu đối chiếu fixture.</x:v>
      </x:c>
      <x:c r="Q305" s="11" t="str"/>
      <x:c r="R305" s="8" t="str">
        <x:v>NOT RUN</x:v>
      </x:c>
      <x:c r="S305" s="11" t="str">
        <x:v>QA/UAT — cần điền URL/build</x:v>
      </x:c>
      <x:c r="T305" s="11" t="str">
        <x:v>Cần điền phiên bản thực</x:v>
      </x:c>
      <x:c r="U305" s="11" t="str"/>
      <x:c r="V305" s="12" t="str"/>
      <x:c r="W305" s="11" t="str"/>
      <x:c r="X305" s="11" t="str"/>
      <x:c r="Y305" s="3" t="str">
        <x:v>Nguồn: admin/src/app/api/cms/[...path]/route.ts. Đối với proxy CMS giữ nguyên status/body upstream. Thay placeholder bằng ID/object key fixture; GET không gửi body.</x:v>
      </x:c>
    </x:row>
    <x:row r="306" ht="75" customHeight="1">
      <x:c r="A306" s="3" t="n">
        <x:v>305</x:v>
      </x:c>
      <x:c r="B306" s="3" t="str">
        <x:v>TC_API_076</x:v>
      </x:c>
      <x:c r="C306" s="3" t="str">
        <x:v>API</x:v>
      </x:c>
      <x:c r="D306" s="3" t="str">
        <x:v>Hợp đồng ADMIN</x:v>
      </x:c>
      <x:c r="E306" s="3" t="str">
        <x:v>Hợp đồng ADMIN</x:v>
      </x:c>
      <x:c r="F306" s="3" t="str">
        <x:v>Positive — PATCH ADMIN /api/cms/[...path] hợp lệ</x:v>
      </x:c>
      <x:c r="G306" s="3" t="str">
        <x:v>PATCH ADMIN /api/cms/[...path] hợp lệ</x:v>
      </x:c>
      <x:c r="H306" s="3" t="str">
        <x:v>OBS-API</x:v>
      </x:c>
      <x:c r="I306" s="3" t="str">
        <x:v>QTV có quyền tương ứng</x:v>
      </x:c>
      <x:c r="J306" s="3" t="str">
        <x:v>Positive</x:v>
      </x:c>
      <x:c r="K306" s="3" t="str">
        <x:v>High</x:v>
      </x:c>
      <x:c r="L306" s="3" t="str">
        <x:v>High</x:v>
      </x:c>
      <x:c r="M306" s="3" t="str">
        <x:v>Môi trường QA cô lập, DB/MinIO sẵn sàng; dữ liệu fixture đã tạo. Đăng nhập tài khoản ACTIVE, mustChangePassword=false.</x:v>
      </x:c>
      <x:c r="N306" s="3" t="str">
        <x:v>Thay [...path]=news; với PATCH dùng consultations/{LEAD_ID}/status. Media dùng object key QA tồn tại.</x:v>
      </x:c>
      <x:c r="O306" s="3" t="str">
        <x:v>1. Chuẩn bị Thay [...path]=news; với PATCH dùng consultations/{LEAD_ID}/status. Media dùng object key QA tồn tại.; Origin cùng ADMIN_URL nếu mutation admin
2. Gửi PATCH ADMIN /api/cms/[...path] với query/body theo fixture
3. Kiểm tra response và dữ liệu liên quan</x:v>
      </x:c>
      <x:c r="P306" s="3" t="str">
        <x:v>HTTP 200; JSON theo route source; không ép envelope backend cho admin/frontend. ID/trường dữ liệu đối chiếu fixture.</x:v>
      </x:c>
      <x:c r="Q306" s="11" t="str"/>
      <x:c r="R306" s="8" t="str">
        <x:v>NOT RUN</x:v>
      </x:c>
      <x:c r="S306" s="11" t="str">
        <x:v>QA/UAT — cần điền URL/build</x:v>
      </x:c>
      <x:c r="T306" s="11" t="str">
        <x:v>Cần điền phiên bản thực</x:v>
      </x:c>
      <x:c r="U306" s="11" t="str"/>
      <x:c r="V306" s="12" t="str"/>
      <x:c r="W306" s="11" t="str"/>
      <x:c r="X306" s="11" t="str"/>
      <x:c r="Y306" s="3" t="str">
        <x:v>Nguồn: admin/src/app/api/cms/[...path]/route.ts. Đối với proxy CMS giữ nguyên status/body upstream. Thay placeholder bằng ID/object key fixture; GET không gửi body.</x:v>
      </x:c>
    </x:row>
    <x:row r="307" ht="75" customHeight="1">
      <x:c r="A307" s="3" t="n">
        <x:v>306</x:v>
      </x:c>
      <x:c r="B307" s="3" t="str">
        <x:v>TC_API_077</x:v>
      </x:c>
      <x:c r="C307" s="3" t="str">
        <x:v>API</x:v>
      </x:c>
      <x:c r="D307" s="3" t="str">
        <x:v>Hợp đồng ADMIN</x:v>
      </x:c>
      <x:c r="E307" s="3" t="str">
        <x:v>Hợp đồng ADMIN</x:v>
      </x:c>
      <x:c r="F307" s="3" t="str">
        <x:v>Positive — DELETE ADMIN /api/cms/[...path] hợp lệ</x:v>
      </x:c>
      <x:c r="G307" s="3" t="str">
        <x:v>DELETE ADMIN /api/cms/[...path] hợp lệ</x:v>
      </x:c>
      <x:c r="H307" s="3" t="str">
        <x:v>OBS-API</x:v>
      </x:c>
      <x:c r="I307" s="3" t="str">
        <x:v>QTV có quyền tương ứng</x:v>
      </x:c>
      <x:c r="J307" s="3" t="str">
        <x:v>Positive</x:v>
      </x:c>
      <x:c r="K307" s="3" t="str">
        <x:v>High</x:v>
      </x:c>
      <x:c r="L307" s="3" t="str">
        <x:v>High</x:v>
      </x:c>
      <x:c r="M307" s="3" t="str">
        <x:v>Môi trường QA cô lập, DB/MinIO sẵn sàng; dữ liệu fixture đã tạo. Đăng nhập tài khoản ACTIVE, mustChangePassword=false.</x:v>
      </x:c>
      <x:c r="N307" s="3" t="str">
        <x:v>Thay [...path]=news; với PATCH dùng consultations/{LEAD_ID}/status. Media dùng object key QA tồn tại.</x:v>
      </x:c>
      <x:c r="O307" s="3" t="str">
        <x:v>1. Chuẩn bị Thay [...path]=news; với PATCH dùng consultations/{LEAD_ID}/status. Media dùng object key QA tồn tại.; Origin cùng ADMIN_URL nếu mutation admin
2. Gửi DELETE ADMIN /api/cms/[...path] với query/body theo fixture
3. Kiểm tra response và dữ liệu liên quan</x:v>
      </x:c>
      <x:c r="P307" s="3" t="str">
        <x:v>HTTP 200; JSON theo route source; không ép envelope backend cho admin/frontend. ID/trường dữ liệu đối chiếu fixture.</x:v>
      </x:c>
      <x:c r="Q307" s="11" t="str"/>
      <x:c r="R307" s="8" t="str">
        <x:v>NOT RUN</x:v>
      </x:c>
      <x:c r="S307" s="11" t="str">
        <x:v>QA/UAT — cần điền URL/build</x:v>
      </x:c>
      <x:c r="T307" s="11" t="str">
        <x:v>Cần điền phiên bản thực</x:v>
      </x:c>
      <x:c r="U307" s="11" t="str"/>
      <x:c r="V307" s="12" t="str"/>
      <x:c r="W307" s="11" t="str"/>
      <x:c r="X307" s="11" t="str"/>
      <x:c r="Y307" s="3" t="str">
        <x:v>Nguồn: admin/src/app/api/cms/[...path]/route.ts. Đối với proxy CMS giữ nguyên status/body upstream. Thay placeholder bằng ID/object key fixture; GET không gửi body.</x:v>
      </x:c>
    </x:row>
    <x:row r="308" ht="75" customHeight="1">
      <x:c r="A308" s="3" t="n">
        <x:v>307</x:v>
      </x:c>
      <x:c r="B308" s="3" t="str">
        <x:v>TC_API_078</x:v>
      </x:c>
      <x:c r="C308" s="3" t="str">
        <x:v>API</x:v>
      </x:c>
      <x:c r="D308" s="3" t="str">
        <x:v>Hợp đồng ADMIN</x:v>
      </x:c>
      <x:c r="E308" s="3" t="str">
        <x:v>Hợp đồng ADMIN</x:v>
      </x:c>
      <x:c r="F308" s="3" t="str">
        <x:v>Positive — GET ADMIN /api/media/[...path] hợp lệ</x:v>
      </x:c>
      <x:c r="G308" s="3" t="str">
        <x:v>GET ADMIN /api/media/[...path] hợp lệ</x:v>
      </x:c>
      <x:c r="H308" s="3" t="str">
        <x:v>OBS-API</x:v>
      </x:c>
      <x:c r="I308" s="3" t="str">
        <x:v>QTV có quyền tương ứng</x:v>
      </x:c>
      <x:c r="J308" s="3" t="str">
        <x:v>Positive</x:v>
      </x:c>
      <x:c r="K308" s="3" t="str">
        <x:v>High</x:v>
      </x:c>
      <x:c r="L308" s="3" t="str">
        <x:v>High</x:v>
      </x:c>
      <x:c r="M308" s="3" t="str">
        <x:v>Môi trường QA cô lập, DB/MinIO sẵn sàng; dữ liệu fixture đã tạo. Đăng nhập tài khoản ACTIVE, mustChangePassword=false.</x:v>
      </x:c>
      <x:c r="N308" s="3" t="str">
        <x:v>Thay [...path]=news; với PATCH dùng consultations/{LEAD_ID}/status. Media dùng object key QA tồn tại.</x:v>
      </x:c>
      <x:c r="O308" s="3" t="str">
        <x:v>1. Chuẩn bị Thay [...path]=news; với PATCH dùng consultations/{LEAD_ID}/status. Media dùng object key QA tồn tại.; Origin cùng ADMIN_URL nếu mutation admin
2. Gửi GET ADMIN /api/media/[...path] với query/body theo fixture
3. Kiểm tra response và dữ liệu liên quan</x:v>
      </x:c>
      <x:c r="P308" s="3" t="str">
        <x:v>HTTP 200; Body nhị phân khớp SHA256 fixture; Content-Type và Content-Length phù hợp.</x:v>
      </x:c>
      <x:c r="Q308" s="11" t="str"/>
      <x:c r="R308" s="8" t="str">
        <x:v>NOT RUN</x:v>
      </x:c>
      <x:c r="S308" s="11" t="str">
        <x:v>QA/UAT — cần điền URL/build</x:v>
      </x:c>
      <x:c r="T308" s="11" t="str">
        <x:v>Cần điền phiên bản thực</x:v>
      </x:c>
      <x:c r="U308" s="11" t="str"/>
      <x:c r="V308" s="12" t="str"/>
      <x:c r="W308" s="11" t="str"/>
      <x:c r="X308" s="11" t="str"/>
      <x:c r="Y308" s="3" t="str">
        <x:v>Nguồn: admin/src/app/api/media/[...path]/route.ts. Đối với proxy CMS giữ nguyên status/body upstream. Thay placeholder bằng ID/object key fixture; GET không gửi body.</x:v>
      </x:c>
    </x:row>
    <x:row r="309" ht="49" customHeight="1">
      <x:c r="A309" s="3" t="n">
        <x:v>308</x:v>
      </x:c>
      <x:c r="B309" s="3" t="str">
        <x:v>TC_API_079</x:v>
      </x:c>
      <x:c r="C309" s="3" t="str">
        <x:v>API</x:v>
      </x:c>
      <x:c r="D309" s="3" t="str">
        <x:v>Hợp đồng FRONTEND</x:v>
      </x:c>
      <x:c r="E309" s="3" t="str">
        <x:v>Hợp đồng FRONTEND</x:v>
      </x:c>
      <x:c r="F309" s="3" t="str">
        <x:v>Positive — POST FRONTEND /api/consultations hợp lệ</x:v>
      </x:c>
      <x:c r="G309" s="3" t="str">
        <x:v>POST FRONTEND /api/consultations hợp lệ</x:v>
      </x:c>
      <x:c r="H309" s="3" t="str">
        <x:v>OBS-API</x:v>
      </x:c>
      <x:c r="I309" s="3" t="str">
        <x:v>QTV có quyền tương ứng</x:v>
      </x:c>
      <x:c r="J309" s="3" t="str">
        <x:v>Positive</x:v>
      </x:c>
      <x:c r="K309" s="3" t="str">
        <x:v>High</x:v>
      </x:c>
      <x:c r="L309" s="3" t="str">
        <x:v>High</x:v>
      </x:c>
      <x:c r="M309" s="3" t="str">
        <x:v>Môi trường QA cô lập, DB/MinIO sẵn sàng; dữ liệu fixture đã tạo. Đăng nhập tài khoản ACTIVE, mustChangePassword=false.</x:v>
      </x:c>
      <x:c r="N309" s="3" t="str">
        <x:v>CONSULT</x:v>
      </x:c>
      <x:c r="O309" s="3" t="str">
        <x:v>1. Chuẩn bị CONSULT; Origin cùng ADMIN_URL nếu mutation admin
2. Gửi POST FRONTEND /api/consultations với query/body theo fixture
3. Kiểm tra response và dữ liệu liên quan</x:v>
      </x:c>
      <x:c r="P309" s="3" t="str">
        <x:v>HTTP 201; Chỉ {message}; proxy giữ HTTP 201 và không chuyển thành envelope data.id.</x:v>
      </x:c>
      <x:c r="Q309" s="11" t="str"/>
      <x:c r="R309" s="8" t="str">
        <x:v>NOT RUN</x:v>
      </x:c>
      <x:c r="S309" s="11" t="str">
        <x:v>QA/UAT — cần điền URL/build</x:v>
      </x:c>
      <x:c r="T309" s="11" t="str">
        <x:v>Cần điền phiên bản thực</x:v>
      </x:c>
      <x:c r="U309" s="11" t="str"/>
      <x:c r="V309" s="12" t="str"/>
      <x:c r="W309" s="11" t="str"/>
      <x:c r="X309" s="11" t="str"/>
      <x:c r="Y309" s="3" t="str">
        <x:v>Nguồn: frontend/src/app/api/consultations/route.ts. Đối với proxy CMS giữ nguyên status/body upstream. Thay placeholder bằng ID/object key fixture; GET không gửi body.</x:v>
      </x:c>
    </x:row>
    <x:row r="310" ht="49" customHeight="1">
      <x:c r="A310" s="3" t="n">
        <x:v>309</x:v>
      </x:c>
      <x:c r="B310" s="3" t="str">
        <x:v>TC_API_080</x:v>
      </x:c>
      <x:c r="C310" s="3" t="str">
        <x:v>API</x:v>
      </x:c>
      <x:c r="D310" s="3" t="str">
        <x:v>Payload lỗi</x:v>
      </x:c>
      <x:c r="E310" s="3" t="str">
        <x:v>Payload lỗi</x:v>
      </x:c>
      <x:c r="F310" s="3" t="str">
        <x:v>Negative — POST FRONTEND /api/consultations JSON hỏng</x:v>
      </x:c>
      <x:c r="G310" s="3" t="str">
        <x:v>POST FRONTEND /api/consultations JSON hỏng</x:v>
      </x:c>
      <x:c r="H310" s="3" t="str">
        <x:v>OBS-API</x:v>
      </x:c>
      <x:c r="I310" s="3" t="str">
        <x:v>QTV có quyền tương ứng</x:v>
      </x:c>
      <x:c r="J310" s="3" t="str">
        <x:v>Negative</x:v>
      </x:c>
      <x:c r="K310" s="3" t="str">
        <x:v>Medium</x:v>
      </x:c>
      <x:c r="L310" s="3" t="str">
        <x:v>Medium</x:v>
      </x:c>
      <x:c r="M310" s="3" t="str">
        <x:v>Môi trường QA cô lập, DB/MinIO sẵn sàng; dữ liệu fixture đã tạo. Đăng nhập tài khoản ACTIVE, mustChangePassword=false.</x:v>
      </x:c>
      <x:c r="N310" s="3" t="str">
        <x:v>{"qa":</x:v>
      </x:c>
      <x:c r="O310" s="3" t="str">
        <x:v>1. Đặt Content-Type application/json
2. Gửi POST FRONTEND /api/consultations với body {"qa":
3. Kiểm tra response</x:v>
      </x:c>
      <x:c r="P310" s="3" t="str">
        <x:v>Không xử lý mutation; lỗi HTTP 400 kỳ vọng; không lộ stack/SQL. Nếu route trả 500 ghi defect.</x:v>
      </x:c>
      <x:c r="Q310" s="11" t="str"/>
      <x:c r="R310" s="8" t="str">
        <x:v>NOT RUN</x:v>
      </x:c>
      <x:c r="S310" s="11" t="str">
        <x:v>QA/UAT — cần điền URL/build</x:v>
      </x:c>
      <x:c r="T310" s="11" t="str">
        <x:v>Cần điền phiên bản thực</x:v>
      </x:c>
      <x:c r="U310" s="11" t="str"/>
      <x:c r="V310" s="12" t="str"/>
      <x:c r="W310" s="11" t="str"/>
      <x:c r="X310" s="11" t="str"/>
      <x:c r="Y310" s="3" t="str">
        <x:v>Nguồn: frontend/src/app/api/consultations/route.ts. </x:v>
      </x:c>
    </x:row>
    <x:row r="311" ht="49" customHeight="1">
      <x:c r="A311" s="3" t="n">
        <x:v>310</x:v>
      </x:c>
      <x:c r="B311" s="3" t="str">
        <x:v>TC_API_081</x:v>
      </x:c>
      <x:c r="C311" s="3" t="str">
        <x:v>API</x:v>
      </x:c>
      <x:c r="D311" s="3" t="str">
        <x:v>Hợp đồng FRONTEND</x:v>
      </x:c>
      <x:c r="E311" s="3" t="str">
        <x:v>Hợp đồng FRONTEND</x:v>
      </x:c>
      <x:c r="F311" s="3" t="str">
        <x:v>Positive — POST FRONTEND /api/analytics/visit hợp lệ</x:v>
      </x:c>
      <x:c r="G311" s="3" t="str">
        <x:v>POST FRONTEND /api/analytics/visit hợp lệ</x:v>
      </x:c>
      <x:c r="H311" s="3" t="str">
        <x:v>OBS-API</x:v>
      </x:c>
      <x:c r="I311" s="3" t="str">
        <x:v>QTV có quyền tương ứng</x:v>
      </x:c>
      <x:c r="J311" s="3" t="str">
        <x:v>Positive</x:v>
      </x:c>
      <x:c r="K311" s="3" t="str">
        <x:v>High</x:v>
      </x:c>
      <x:c r="L311" s="3" t="str">
        <x:v>High</x:v>
      </x:c>
      <x:c r="M311" s="3" t="str">
        <x:v>Môi trường QA cô lập, DB/MinIO sẵn sàng; dữ liệu fixture đã tạo. Đăng nhập tài khoản ACTIVE, mustChangePassword=false.</x:v>
      </x:c>
      <x:c r="N311" s="3" t="str">
        <x:v>VISIT</x:v>
      </x:c>
      <x:c r="O311" s="3" t="str">
        <x:v>1. Chuẩn bị VISIT; Origin cùng ADMIN_URL nếu mutation admin
2. Gửi POST FRONTEND /api/analytics/visit với query/body theo fixture
3. Kiểm tra response và dữ liệu liên quan</x:v>
      </x:c>
      <x:c r="P311" s="3" t="str">
        <x:v>HTTP201; JSON {success:true,data:{},message:""} được chuyển nguyên từ backend; PageVisit chứa path/locale/visitorId fixture.</x:v>
      </x:c>
      <x:c r="Q311" s="11" t="str"/>
      <x:c r="R311" s="8" t="str">
        <x:v>NOT RUN</x:v>
      </x:c>
      <x:c r="S311" s="11" t="str">
        <x:v>QA/UAT — cần điền URL/build</x:v>
      </x:c>
      <x:c r="T311" s="11" t="str">
        <x:v>Cần điền phiên bản thực</x:v>
      </x:c>
      <x:c r="U311" s="11" t="str"/>
      <x:c r="V311" s="12" t="str"/>
      <x:c r="W311" s="11" t="str"/>
      <x:c r="X311" s="11" t="str"/>
      <x:c r="Y311" s="3" t="str">
        <x:v>Nguồn: frontend/src/app/api/analytics/visit/route.ts. Đối với proxy CMS giữ nguyên status/body upstream. Thay placeholder bằng ID/object key fixture; GET không gửi body.</x:v>
      </x:c>
    </x:row>
    <x:row r="312" ht="49" customHeight="1">
      <x:c r="A312" s="3" t="n">
        <x:v>311</x:v>
      </x:c>
      <x:c r="B312" s="3" t="str">
        <x:v>TC_API_082</x:v>
      </x:c>
      <x:c r="C312" s="3" t="str">
        <x:v>API</x:v>
      </x:c>
      <x:c r="D312" s="3" t="str">
        <x:v>Payload lỗi</x:v>
      </x:c>
      <x:c r="E312" s="3" t="str">
        <x:v>Payload lỗi</x:v>
      </x:c>
      <x:c r="F312" s="3" t="str">
        <x:v>Negative — POST FRONTEND /api/analytics/visit JSON hỏng</x:v>
      </x:c>
      <x:c r="G312" s="3" t="str">
        <x:v>POST FRONTEND /api/analytics/visit JSON hỏng</x:v>
      </x:c>
      <x:c r="H312" s="3" t="str">
        <x:v>OBS-API</x:v>
      </x:c>
      <x:c r="I312" s="3" t="str">
        <x:v>QTV có quyền tương ứng</x:v>
      </x:c>
      <x:c r="J312" s="3" t="str">
        <x:v>Negative</x:v>
      </x:c>
      <x:c r="K312" s="3" t="str">
        <x:v>Medium</x:v>
      </x:c>
      <x:c r="L312" s="3" t="str">
        <x:v>Medium</x:v>
      </x:c>
      <x:c r="M312" s="3" t="str">
        <x:v>Môi trường QA cô lập, DB/MinIO sẵn sàng; dữ liệu fixture đã tạo. Đăng nhập tài khoản ACTIVE, mustChangePassword=false.</x:v>
      </x:c>
      <x:c r="N312" s="3" t="str">
        <x:v>{"qa":</x:v>
      </x:c>
      <x:c r="O312" s="3" t="str">
        <x:v>1. Đặt Content-Type application/json
2. Gửi POST FRONTEND /api/analytics/visit với body {"qa":
3. Kiểm tra response</x:v>
      </x:c>
      <x:c r="P312" s="3" t="str">
        <x:v>Không xử lý mutation; lỗi HTTP 400 kỳ vọng; không lộ stack/SQL. Nếu route trả 500 ghi defect.</x:v>
      </x:c>
      <x:c r="Q312" s="11" t="str"/>
      <x:c r="R312" s="8" t="str">
        <x:v>NOT RUN</x:v>
      </x:c>
      <x:c r="S312" s="11" t="str">
        <x:v>QA/UAT — cần điền URL/build</x:v>
      </x:c>
      <x:c r="T312" s="11" t="str">
        <x:v>Cần điền phiên bản thực</x:v>
      </x:c>
      <x:c r="U312" s="11" t="str"/>
      <x:c r="V312" s="12" t="str"/>
      <x:c r="W312" s="11" t="str"/>
      <x:c r="X312" s="11" t="str"/>
      <x:c r="Y312" s="3" t="str">
        <x:v>Nguồn: frontend/src/app/api/analytics/visit/route.ts. </x:v>
      </x:c>
    </x:row>
    <x:row r="313" ht="75" customHeight="1">
      <x:c r="A313" s="3" t="n">
        <x:v>312</x:v>
      </x:c>
      <x:c r="B313" s="3" t="str">
        <x:v>TC_API_083</x:v>
      </x:c>
      <x:c r="C313" s="3" t="str">
        <x:v>API</x:v>
      </x:c>
      <x:c r="D313" s="3" t="str">
        <x:v>Hợp đồng FRONTEND</x:v>
      </x:c>
      <x:c r="E313" s="3" t="str">
        <x:v>Hợp đồng FRONTEND</x:v>
      </x:c>
      <x:c r="F313" s="3" t="str">
        <x:v>Positive — GET FRONTEND /api/media/[...path] hợp lệ</x:v>
      </x:c>
      <x:c r="G313" s="3" t="str">
        <x:v>GET FRONTEND /api/media/[...path] hợp lệ</x:v>
      </x:c>
      <x:c r="H313" s="3" t="str">
        <x:v>OBS-API</x:v>
      </x:c>
      <x:c r="I313" s="3" t="str">
        <x:v>QTV có quyền tương ứng</x:v>
      </x:c>
      <x:c r="J313" s="3" t="str">
        <x:v>Positive</x:v>
      </x:c>
      <x:c r="K313" s="3" t="str">
        <x:v>High</x:v>
      </x:c>
      <x:c r="L313" s="3" t="str">
        <x:v>High</x:v>
      </x:c>
      <x:c r="M313" s="3" t="str">
        <x:v>Môi trường QA cô lập, DB/MinIO sẵn sàng; dữ liệu fixture đã tạo. Đăng nhập tài khoản ACTIVE, mustChangePassword=false.</x:v>
      </x:c>
      <x:c r="N313" s="3" t="str">
        <x:v>Thay [...path]=news; với PATCH dùng consultations/{LEAD_ID}/status. Media dùng object key QA tồn tại.</x:v>
      </x:c>
      <x:c r="O313" s="3" t="str">
        <x:v>1. Chuẩn bị Thay [...path]=news; với PATCH dùng consultations/{LEAD_ID}/status. Media dùng object key QA tồn tại.; Origin cùng ADMIN_URL nếu mutation admin
2. Gửi GET FRONTEND /api/media/[...path] với query/body theo fixture
3. Kiểm tra response và dữ liệu liên quan</x:v>
      </x:c>
      <x:c r="P313" s="3" t="str">
        <x:v>HTTP 200; Body nhị phân khớp SHA256 fixture; Content-Type và Content-Length phù hợp.</x:v>
      </x:c>
      <x:c r="Q313" s="11" t="str"/>
      <x:c r="R313" s="8" t="str">
        <x:v>NOT RUN</x:v>
      </x:c>
      <x:c r="S313" s="11" t="str">
        <x:v>QA/UAT — cần điền URL/build</x:v>
      </x:c>
      <x:c r="T313" s="11" t="str">
        <x:v>Cần điền phiên bản thực</x:v>
      </x:c>
      <x:c r="U313" s="11" t="str"/>
      <x:c r="V313" s="12" t="str"/>
      <x:c r="W313" s="11" t="str"/>
      <x:c r="X313" s="11" t="str"/>
      <x:c r="Y313" s="3" t="str">
        <x:v>Nguồn: frontend/src/app/api/media/[...path]/route.ts. Đối với proxy CMS giữ nguyên status/body upstream. Thay placeholder bằng ID/object key fixture; GET không gửi body.</x:v>
      </x:c>
    </x:row>
    <x:row r="314" ht="49" customHeight="1">
      <x:c r="A314" s="3" t="n">
        <x:v>313</x:v>
      </x:c>
      <x:c r="B314" s="3" t="str">
        <x:v>TC_API_084</x:v>
      </x:c>
      <x:c r="C314" s="3" t="str">
        <x:v>API</x:v>
      </x:c>
      <x:c r="D314" s="3" t="str">
        <x:v>Hợp đồng FRONTEND</x:v>
      </x:c>
      <x:c r="E314" s="3" t="str">
        <x:v>Hợp đồng FRONTEND</x:v>
      </x:c>
      <x:c r="F314" s="3" t="str">
        <x:v>Positive — GET FRONTEND /api/resources/file hợp lệ</x:v>
      </x:c>
      <x:c r="G314" s="3" t="str">
        <x:v>GET FRONTEND /api/resources/file hợp lệ</x:v>
      </x:c>
      <x:c r="H314" s="3" t="str">
        <x:v>OBS-API</x:v>
      </x:c>
      <x:c r="I314" s="3" t="str">
        <x:v>QTV có quyền tương ứng</x:v>
      </x:c>
      <x:c r="J314" s="3" t="str">
        <x:v>Positive</x:v>
      </x:c>
      <x:c r="K314" s="3" t="str">
        <x:v>High</x:v>
      </x:c>
      <x:c r="L314" s="3" t="str">
        <x:v>High</x:v>
      </x:c>
      <x:c r="M314" s="3" t="str">
        <x:v>Môi trường QA cô lập, DB/MinIO sẵn sàng; dữ liệu fixture đã tạo. Đăng nhập tài khoản ACTIVE, mustChangePassword=false.</x:v>
      </x:c>
      <x:c r="N314" s="3" t="str">
        <x:v>RESOURCE</x:v>
      </x:c>
      <x:c r="O314" s="3" t="str">
        <x:v>1. Chuẩn bị RESOURCE; Origin cùng ADMIN_URL nếu mutation admin
2. Gửi GET FRONTEND /api/resources/file với query/body theo fixture
3. Kiểm tra response và dữ liệu liên quan</x:v>
      </x:c>
      <x:c r="P314" s="3" t="str">
        <x:v>HTTP 200; Body nhị phân khớp SHA256 fixture; Content-Type và Content-Length phù hợp.</x:v>
      </x:c>
      <x:c r="Q314" s="11" t="str"/>
      <x:c r="R314" s="8" t="str">
        <x:v>NOT RUN</x:v>
      </x:c>
      <x:c r="S314" s="11" t="str">
        <x:v>QA/UAT — cần điền URL/build</x:v>
      </x:c>
      <x:c r="T314" s="11" t="str">
        <x:v>Cần điền phiên bản thực</x:v>
      </x:c>
      <x:c r="U314" s="11" t="str"/>
      <x:c r="V314" s="12" t="str"/>
      <x:c r="W314" s="11" t="str"/>
      <x:c r="X314" s="11" t="str"/>
      <x:c r="Y314" s="3" t="str">
        <x:v>Nguồn: frontend/src/app/api/resources/file/route.ts. Đối với proxy CMS giữ nguyên status/body upstream. Thay placeholder bằng ID/object key fixture; GET không gửi body.</x:v>
      </x:c>
    </x:row>
    <x:row r="315" ht="49" customHeight="1">
      <x:c r="A315" s="3" t="n">
        <x:v>314</x:v>
      </x:c>
      <x:c r="B315" s="3" t="str">
        <x:v>TC_DASH_009</x:v>
      </x:c>
      <x:c r="C315" s="3" t="str">
        <x:v>DASH</x:v>
      </x:c>
      <x:c r="D315" s="3" t="str">
        <x:v>Zero fill</x:v>
      </x:c>
      <x:c r="E315" s="3" t="str">
        <x:v>Zero fill</x:v>
      </x:c>
      <x:c r="F315" s="3" t="str">
        <x:v>Boundary — Khoảng 179 ngày</x:v>
      </x:c>
      <x:c r="G315" s="3" t="str">
        <x:v>Khoảng 179 ngày</x:v>
      </x:c>
      <x:c r="H315" s="3" t="str">
        <x:v>DASH-001</x:v>
      </x:c>
      <x:c r="I315" s="3" t="str">
        <x:v>QTV có quyền tương ứng</x:v>
      </x:c>
      <x:c r="J315" s="3" t="str">
        <x:v>Boundary</x:v>
      </x:c>
      <x:c r="K315" s="3" t="str">
        <x:v>Medium</x:v>
      </x:c>
      <x:c r="L315" s="3" t="str">
        <x:v>Medium</x:v>
      </x:c>
      <x:c r="M315" s="3" t="str">
        <x:v>Môi trường QA cô lập, DB/MinIO sẵn sàng; dữ liệu fixture đã tạo. Đăng nhập tài khoản ACTIVE, mustChangePassword=false.</x:v>
      </x:c>
      <x:c r="N315" s="3" t="str">
        <x:v>Kiểm soát daysDiff=179 sau chuẩn hóa đầu/cuối ngày.</x:v>
      </x:c>
      <x:c r="O315" s="3" t="str">
        <x:v>1. Seed khoảng có ngày trống
2. GET dashboard với daysDiff=179</x:v>
      </x:c>
      <x:c r="P315" s="3" t="str">
        <x:v>Nếu daysDiff≤180: có bucket0 cho ngày trống; nếu &gt;180: chỉ trả các ngày có dữ liệu theo code.</x:v>
      </x:c>
      <x:c r="Q315" s="11" t="str"/>
      <x:c r="R315" s="8" t="str">
        <x:v>NOT RUN</x:v>
      </x:c>
      <x:c r="S315" s="11" t="str">
        <x:v>QA/UAT — cần điền URL/build</x:v>
      </x:c>
      <x:c r="T315" s="11" t="str">
        <x:v>Cần điền phiên bản thực</x:v>
      </x:c>
      <x:c r="U315" s="11" t="str"/>
      <x:c r="V315" s="12" t="str"/>
      <x:c r="W315" s="11" t="str"/>
      <x:c r="X315" s="11" t="str"/>
      <x:c r="Y315" s="3" t="str">
        <x:v>Nguồn: backend/src/modules/cms/cms.routes.ts. </x:v>
      </x:c>
    </x:row>
    <x:row r="316" ht="49" customHeight="1">
      <x:c r="A316" s="3" t="n">
        <x:v>315</x:v>
      </x:c>
      <x:c r="B316" s="3" t="str">
        <x:v>TC_DASH_010</x:v>
      </x:c>
      <x:c r="C316" s="3" t="str">
        <x:v>DASH</x:v>
      </x:c>
      <x:c r="D316" s="3" t="str">
        <x:v>Zero fill</x:v>
      </x:c>
      <x:c r="E316" s="3" t="str">
        <x:v>Zero fill</x:v>
      </x:c>
      <x:c r="F316" s="3" t="str">
        <x:v>Boundary — Khoảng 180 ngày</x:v>
      </x:c>
      <x:c r="G316" s="3" t="str">
        <x:v>Khoảng 180 ngày</x:v>
      </x:c>
      <x:c r="H316" s="3" t="str">
        <x:v>DASH-001</x:v>
      </x:c>
      <x:c r="I316" s="3" t="str">
        <x:v>QTV có quyền tương ứng</x:v>
      </x:c>
      <x:c r="J316" s="3" t="str">
        <x:v>Boundary</x:v>
      </x:c>
      <x:c r="K316" s="3" t="str">
        <x:v>Medium</x:v>
      </x:c>
      <x:c r="L316" s="3" t="str">
        <x:v>Medium</x:v>
      </x:c>
      <x:c r="M316" s="3" t="str">
        <x:v>Môi trường QA cô lập, DB/MinIO sẵn sàng; dữ liệu fixture đã tạo. Đăng nhập tài khoản ACTIVE, mustChangePassword=false.</x:v>
      </x:c>
      <x:c r="N316" s="3" t="str">
        <x:v>Kiểm soát daysDiff=180 sau chuẩn hóa đầu/cuối ngày.</x:v>
      </x:c>
      <x:c r="O316" s="3" t="str">
        <x:v>1. Seed khoảng có ngày trống
2. GET dashboard với daysDiff=180</x:v>
      </x:c>
      <x:c r="P316" s="3" t="str">
        <x:v>Nếu daysDiff≤180: có bucket0 cho ngày trống; nếu &gt;180: chỉ trả các ngày có dữ liệu theo code.</x:v>
      </x:c>
      <x:c r="Q316" s="11" t="str"/>
      <x:c r="R316" s="8" t="str">
        <x:v>NOT RUN</x:v>
      </x:c>
      <x:c r="S316" s="11" t="str">
        <x:v>QA/UAT — cần điền URL/build</x:v>
      </x:c>
      <x:c r="T316" s="11" t="str">
        <x:v>Cần điền phiên bản thực</x:v>
      </x:c>
      <x:c r="U316" s="11" t="str"/>
      <x:c r="V316" s="12" t="str"/>
      <x:c r="W316" s="11" t="str"/>
      <x:c r="X316" s="11" t="str"/>
      <x:c r="Y316" s="3" t="str">
        <x:v>Nguồn: backend/src/modules/cms/cms.routes.ts. </x:v>
      </x:c>
    </x:row>
    <x:row r="317" ht="49" customHeight="1">
      <x:c r="A317" s="3" t="n">
        <x:v>316</x:v>
      </x:c>
      <x:c r="B317" s="3" t="str">
        <x:v>TC_DASH_011</x:v>
      </x:c>
      <x:c r="C317" s="3" t="str">
        <x:v>DASH</x:v>
      </x:c>
      <x:c r="D317" s="3" t="str">
        <x:v>Zero fill</x:v>
      </x:c>
      <x:c r="E317" s="3" t="str">
        <x:v>Zero fill</x:v>
      </x:c>
      <x:c r="F317" s="3" t="str">
        <x:v>Boundary — Khoảng 181 ngày</x:v>
      </x:c>
      <x:c r="G317" s="3" t="str">
        <x:v>Khoảng 181 ngày</x:v>
      </x:c>
      <x:c r="H317" s="3" t="str">
        <x:v>DASH-001</x:v>
      </x:c>
      <x:c r="I317" s="3" t="str">
        <x:v>QTV có quyền tương ứng</x:v>
      </x:c>
      <x:c r="J317" s="3" t="str">
        <x:v>Boundary</x:v>
      </x:c>
      <x:c r="K317" s="3" t="str">
        <x:v>Medium</x:v>
      </x:c>
      <x:c r="L317" s="3" t="str">
        <x:v>Medium</x:v>
      </x:c>
      <x:c r="M317" s="3" t="str">
        <x:v>Môi trường QA cô lập, DB/MinIO sẵn sàng; dữ liệu fixture đã tạo. Đăng nhập tài khoản ACTIVE, mustChangePassword=false.</x:v>
      </x:c>
      <x:c r="N317" s="3" t="str">
        <x:v>Kiểm soát daysDiff=181 sau chuẩn hóa đầu/cuối ngày.</x:v>
      </x:c>
      <x:c r="O317" s="3" t="str">
        <x:v>1. Seed khoảng có ngày trống
2. GET dashboard với daysDiff=181</x:v>
      </x:c>
      <x:c r="P317" s="3" t="str">
        <x:v>Nếu daysDiff≤180: có bucket0 cho ngày trống; nếu &gt;180: chỉ trả các ngày có dữ liệu theo code.</x:v>
      </x:c>
      <x:c r="Q317" s="11" t="str"/>
      <x:c r="R317" s="8" t="str">
        <x:v>NOT RUN</x:v>
      </x:c>
      <x:c r="S317" s="11" t="str">
        <x:v>QA/UAT — cần điền URL/build</x:v>
      </x:c>
      <x:c r="T317" s="11" t="str">
        <x:v>Cần điền phiên bản thực</x:v>
      </x:c>
      <x:c r="U317" s="11" t="str"/>
      <x:c r="V317" s="12" t="str"/>
      <x:c r="W317" s="11" t="str"/>
      <x:c r="X317" s="11" t="str"/>
      <x:c r="Y317" s="3" t="str">
        <x:v>Nguồn: backend/src/modules/cms/cms.routes.ts. </x:v>
      </x:c>
    </x:row>
    <x:row r="318" ht="49" customHeight="1">
      <x:c r="A318" s="3" t="n">
        <x:v>317</x:v>
      </x:c>
      <x:c r="B318" s="3" t="str">
        <x:v>TC_CONSULT_092</x:v>
      </x:c>
      <x:c r="C318" s="3" t="str">
        <x:v>CONSULT</x:v>
      </x:c>
      <x:c r="D318" s="3" t="str">
        <x:v>Boundary bổ sung</x:v>
      </x:c>
      <x:c r="E318" s="3" t="str">
        <x:v>Boundary bổ sung</x:v>
      </x:c>
      <x:c r="F318" s="3" t="str">
        <x:v>Boundary — POST BACKEND /api/public/consultations email=189</x:v>
      </x:c>
      <x:c r="G318" s="3" t="str">
        <x:v>POST BACKEND /api/public/consultations email=189</x:v>
      </x:c>
      <x:c r="H318" s="3" t="str">
        <x:v>CON-001</x:v>
      </x:c>
      <x:c r="I318" s="3" t="str">
        <x:v>Khách truy cập</x:v>
      </x:c>
      <x:c r="J318" s="3" t="str">
        <x:v>Boundary</x:v>
      </x:c>
      <x:c r="K318" s="3" t="str">
        <x:v>Medium</x:v>
      </x:c>
      <x:c r="L318" s="3" t="str">
        <x:v>Medium</x:v>
      </x:c>
      <x:c r="M318" s="3" t="str">
        <x:v>Môi trường QA cô lập, DB/MinIO sẵn sàng; dữ liệu fixture đã tạo. Không đăng nhập.</x:v>
      </x:c>
      <x:c r="N318" s="3" t="str">
        <x:v>Email đúng syntax dài189; local part1 ký tự, chia domain thành nhãn≤63 ký tự, hậu tố .test.</x:v>
      </x:c>
      <x:c r="O318" s="3" t="str">
        <x:v>1. Chuẩn bị body fixture theo endpoint
2. Đặt email theo Test Data
3. Gửi POST BACKEND /api/public/consultations</x:v>
      </x:c>
      <x:c r="P318" s="3" t="str">
        <x:v>Qua validation trường đang thử; mutation hợp lệ được lưu. Không đồng nhất giới hạn metadata với giới hạn upload.</x:v>
      </x:c>
      <x:c r="Q318" s="11" t="str"/>
      <x:c r="R318" s="8" t="str">
        <x:v>NOT RUN</x:v>
      </x:c>
      <x:c r="S318" s="11" t="str">
        <x:v>QA/UAT — cần điền URL/build</x:v>
      </x:c>
      <x:c r="T318" s="11" t="str">
        <x:v>Cần điền phiên bản thực</x:v>
      </x:c>
      <x:c r="U318" s="11" t="str"/>
      <x:c r="V318" s="12" t="str"/>
      <x:c r="W318" s="11" t="str"/>
      <x:c r="X318" s="11" t="str"/>
      <x:c r="Y318" s="3" t="str">
        <x:v>Nguồn: backend/src/modules/consultations/consultations.routes.ts. </x:v>
      </x:c>
    </x:row>
    <x:row r="319" ht="49" customHeight="1">
      <x:c r="A319" s="3" t="n">
        <x:v>318</x:v>
      </x:c>
      <x:c r="B319" s="3" t="str">
        <x:v>TC_CONSULT_093</x:v>
      </x:c>
      <x:c r="C319" s="3" t="str">
        <x:v>CONSULT</x:v>
      </x:c>
      <x:c r="D319" s="3" t="str">
        <x:v>Boundary bổ sung</x:v>
      </x:c>
      <x:c r="E319" s="3" t="str">
        <x:v>Boundary bổ sung</x:v>
      </x:c>
      <x:c r="F319" s="3" t="str">
        <x:v>Boundary — POST BACKEND /api/public/consultations email=190</x:v>
      </x:c>
      <x:c r="G319" s="3" t="str">
        <x:v>POST BACKEND /api/public/consultations email=190</x:v>
      </x:c>
      <x:c r="H319" s="3" t="str">
        <x:v>CON-001</x:v>
      </x:c>
      <x:c r="I319" s="3" t="str">
        <x:v>Khách truy cập</x:v>
      </x:c>
      <x:c r="J319" s="3" t="str">
        <x:v>Boundary</x:v>
      </x:c>
      <x:c r="K319" s="3" t="str">
        <x:v>Medium</x:v>
      </x:c>
      <x:c r="L319" s="3" t="str">
        <x:v>Medium</x:v>
      </x:c>
      <x:c r="M319" s="3" t="str">
        <x:v>Môi trường QA cô lập, DB/MinIO sẵn sàng; dữ liệu fixture đã tạo. Không đăng nhập.</x:v>
      </x:c>
      <x:c r="N319" s="3" t="str">
        <x:v>Email đúng syntax dài190; local part1 ký tự, chia domain thành nhãn≤63 ký tự, hậu tố .test.</x:v>
      </x:c>
      <x:c r="O319" s="3" t="str">
        <x:v>1. Chuẩn bị body fixture theo endpoint
2. Đặt email theo Test Data
3. Gửi POST BACKEND /api/public/consultations</x:v>
      </x:c>
      <x:c r="P319" s="3" t="str">
        <x:v>Qua validation trường đang thử; mutation hợp lệ được lưu. Không đồng nhất giới hạn metadata với giới hạn upload.</x:v>
      </x:c>
      <x:c r="Q319" s="11" t="str"/>
      <x:c r="R319" s="8" t="str">
        <x:v>NOT RUN</x:v>
      </x:c>
      <x:c r="S319" s="11" t="str">
        <x:v>QA/UAT — cần điền URL/build</x:v>
      </x:c>
      <x:c r="T319" s="11" t="str">
        <x:v>Cần điền phiên bản thực</x:v>
      </x:c>
      <x:c r="U319" s="11" t="str"/>
      <x:c r="V319" s="12" t="str"/>
      <x:c r="W319" s="11" t="str"/>
      <x:c r="X319" s="11" t="str"/>
      <x:c r="Y319" s="3" t="str">
        <x:v>Nguồn: backend/src/modules/consultations/consultations.routes.ts. </x:v>
      </x:c>
    </x:row>
    <x:row r="320" ht="49" customHeight="1">
      <x:c r="A320" s="3" t="n">
        <x:v>319</x:v>
      </x:c>
      <x:c r="B320" s="3" t="str">
        <x:v>TC_CONSULT_094</x:v>
      </x:c>
      <x:c r="C320" s="3" t="str">
        <x:v>CONSULT</x:v>
      </x:c>
      <x:c r="D320" s="3" t="str">
        <x:v>Boundary bổ sung</x:v>
      </x:c>
      <x:c r="E320" s="3" t="str">
        <x:v>Boundary bổ sung</x:v>
      </x:c>
      <x:c r="F320" s="3" t="str">
        <x:v>Boundary — POST BACKEND /api/public/consultations email=191</x:v>
      </x:c>
      <x:c r="G320" s="3" t="str">
        <x:v>POST BACKEND /api/public/consultations email=191</x:v>
      </x:c>
      <x:c r="H320" s="3" t="str">
        <x:v>CON-001</x:v>
      </x:c>
      <x:c r="I320" s="3" t="str">
        <x:v>Khách truy cập</x:v>
      </x:c>
      <x:c r="J320" s="3" t="str">
        <x:v>Boundary</x:v>
      </x:c>
      <x:c r="K320" s="3" t="str">
        <x:v>Medium</x:v>
      </x:c>
      <x:c r="L320" s="3" t="str">
        <x:v>Medium</x:v>
      </x:c>
      <x:c r="M320" s="3" t="str">
        <x:v>Môi trường QA cô lập, DB/MinIO sẵn sàng; dữ liệu fixture đã tạo. Không đăng nhập.</x:v>
      </x:c>
      <x:c r="N320" s="3" t="str">
        <x:v>Email đúng syntax dài191; local part1 ký tự, chia domain thành nhãn≤63 ký tự, hậu tố .test.</x:v>
      </x:c>
      <x:c r="O320" s="3" t="str">
        <x:v>1. Chuẩn bị body fixture theo endpoint
2. Đặt email theo Test Data
3. Gửi POST BACKEND /api/public/consultations</x:v>
      </x:c>
      <x:c r="P320" s="3" t="str">
        <x:v>Từ chối validation, không tạo/cập nhật bản ghi; kỳ vọng400, ghi defect nếu lỗi500.</x:v>
      </x:c>
      <x:c r="Q320" s="11" t="str"/>
      <x:c r="R320" s="8" t="str">
        <x:v>NOT RUN</x:v>
      </x:c>
      <x:c r="S320" s="11" t="str">
        <x:v>QA/UAT — cần điền URL/build</x:v>
      </x:c>
      <x:c r="T320" s="11" t="str">
        <x:v>Cần điền phiên bản thực</x:v>
      </x:c>
      <x:c r="U320" s="11" t="str"/>
      <x:c r="V320" s="12" t="str"/>
      <x:c r="W320" s="11" t="str"/>
      <x:c r="X320" s="11" t="str"/>
      <x:c r="Y320" s="3" t="str">
        <x:v>Nguồn: backend/src/modules/consultations/consultations.routes.ts. </x:v>
      </x:c>
    </x:row>
    <x:row r="321" ht="62" customHeight="1">
      <x:c r="A321" s="3" t="n">
        <x:v>320</x:v>
      </x:c>
      <x:c r="B321" s="3" t="str">
        <x:v>TC_AUTH_068</x:v>
      </x:c>
      <x:c r="C321" s="3" t="str">
        <x:v>AUTH</x:v>
      </x:c>
      <x:c r="D321" s="3" t="str">
        <x:v>Boundary bổ sung</x:v>
      </x:c>
      <x:c r="E321" s="3" t="str">
        <x:v>Boundary bổ sung</x:v>
      </x:c>
      <x:c r="F321" s="3" t="str">
        <x:v>Boundary — POST ADMIN /api/admin/auth/forgot-password email=189</x:v>
      </x:c>
      <x:c r="G321" s="3" t="str">
        <x:v>POST ADMIN /api/admin/auth/forgot-password email=189</x:v>
      </x:c>
      <x:c r="H321" s="3" t="str">
        <x:v>OBS-RESET</x:v>
      </x:c>
      <x:c r="I321" s="3" t="str">
        <x:v>QTV có quyền tương ứng</x:v>
      </x:c>
      <x:c r="J321" s="3" t="str">
        <x:v>Boundary</x:v>
      </x:c>
      <x:c r="K321" s="3" t="str">
        <x:v>Medium</x:v>
      </x:c>
      <x:c r="L321" s="3" t="str">
        <x:v>Medium</x:v>
      </x:c>
      <x:c r="M321" s="3" t="str">
        <x:v>QA cô lập; tài khoản fixture với trạng thái nêu trong case; không đăng nhập trước bước login/reset. Chỉ tạo phiên trước nếu Steps kiểm tra refresh/logout/hết hạn. SMTP sandbox cho reset qua email.</x:v>
      </x:c>
      <x:c r="N321" s="3" t="str">
        <x:v>Email đúng syntax dài189; local part1 ký tự, chia domain thành nhãn≤63 ký tự, hậu tố .test.</x:v>
      </x:c>
      <x:c r="O321" s="3" t="str">
        <x:v>1. Chuẩn bị body fixture theo endpoint
2. Đặt email theo Test Data
3. Gửi POST ADMIN /api/admin/auth/forgot-password</x:v>
      </x:c>
      <x:c r="P321" s="3" t="str">
        <x:v>Qua validation trường đang thử; mutation hợp lệ được lưu. Không đồng nhất giới hạn metadata với giới hạn upload.</x:v>
      </x:c>
      <x:c r="Q321" s="11" t="str"/>
      <x:c r="R321" s="8" t="str">
        <x:v>NOT RUN</x:v>
      </x:c>
      <x:c r="S321" s="11" t="str">
        <x:v>QA/UAT — cần điền URL/build</x:v>
      </x:c>
      <x:c r="T321" s="11" t="str">
        <x:v>Cần điền phiên bản thực</x:v>
      </x:c>
      <x:c r="U321" s="11" t="str"/>
      <x:c r="V321" s="12" t="str"/>
      <x:c r="W321" s="11" t="str"/>
      <x:c r="X321" s="11" t="str"/>
      <x:c r="Y321" s="3" t="str">
        <x:v>Nguồn: admin/src/lib/auth/schemas.ts. </x:v>
      </x:c>
    </x:row>
    <x:row r="322" ht="62" customHeight="1">
      <x:c r="A322" s="3" t="n">
        <x:v>321</x:v>
      </x:c>
      <x:c r="B322" s="3" t="str">
        <x:v>TC_AUTH_069</x:v>
      </x:c>
      <x:c r="C322" s="3" t="str">
        <x:v>AUTH</x:v>
      </x:c>
      <x:c r="D322" s="3" t="str">
        <x:v>Boundary bổ sung</x:v>
      </x:c>
      <x:c r="E322" s="3" t="str">
        <x:v>Boundary bổ sung</x:v>
      </x:c>
      <x:c r="F322" s="3" t="str">
        <x:v>Boundary — POST ADMIN /api/admin/auth/forgot-password email=190</x:v>
      </x:c>
      <x:c r="G322" s="3" t="str">
        <x:v>POST ADMIN /api/admin/auth/forgot-password email=190</x:v>
      </x:c>
      <x:c r="H322" s="3" t="str">
        <x:v>OBS-RESET</x:v>
      </x:c>
      <x:c r="I322" s="3" t="str">
        <x:v>QTV có quyền tương ứng</x:v>
      </x:c>
      <x:c r="J322" s="3" t="str">
        <x:v>Boundary</x:v>
      </x:c>
      <x:c r="K322" s="3" t="str">
        <x:v>Medium</x:v>
      </x:c>
      <x:c r="L322" s="3" t="str">
        <x:v>Medium</x:v>
      </x:c>
      <x:c r="M322" s="3" t="str">
        <x:v>QA cô lập; tài khoản fixture với trạng thái nêu trong case; không đăng nhập trước bước login/reset. Chỉ tạo phiên trước nếu Steps kiểm tra refresh/logout/hết hạn. SMTP sandbox cho reset qua email.</x:v>
      </x:c>
      <x:c r="N322" s="3" t="str">
        <x:v>Email đúng syntax dài190; local part1 ký tự, chia domain thành nhãn≤63 ký tự, hậu tố .test.</x:v>
      </x:c>
      <x:c r="O322" s="3" t="str">
        <x:v>1. Chuẩn bị body fixture theo endpoint
2. Đặt email theo Test Data
3. Gửi POST ADMIN /api/admin/auth/forgot-password</x:v>
      </x:c>
      <x:c r="P322" s="3" t="str">
        <x:v>Qua validation trường đang thử; mutation hợp lệ được lưu. Không đồng nhất giới hạn metadata với giới hạn upload.</x:v>
      </x:c>
      <x:c r="Q322" s="11" t="str"/>
      <x:c r="R322" s="8" t="str">
        <x:v>NOT RUN</x:v>
      </x:c>
      <x:c r="S322" s="11" t="str">
        <x:v>QA/UAT — cần điền URL/build</x:v>
      </x:c>
      <x:c r="T322" s="11" t="str">
        <x:v>Cần điền phiên bản thực</x:v>
      </x:c>
      <x:c r="U322" s="11" t="str"/>
      <x:c r="V322" s="12" t="str"/>
      <x:c r="W322" s="11" t="str"/>
      <x:c r="X322" s="11" t="str"/>
      <x:c r="Y322" s="3" t="str">
        <x:v>Nguồn: admin/src/lib/auth/schemas.ts. </x:v>
      </x:c>
    </x:row>
    <x:row r="323" ht="62" customHeight="1">
      <x:c r="A323" s="3" t="n">
        <x:v>322</x:v>
      </x:c>
      <x:c r="B323" s="3" t="str">
        <x:v>TC_AUTH_070</x:v>
      </x:c>
      <x:c r="C323" s="3" t="str">
        <x:v>AUTH</x:v>
      </x:c>
      <x:c r="D323" s="3" t="str">
        <x:v>Boundary bổ sung</x:v>
      </x:c>
      <x:c r="E323" s="3" t="str">
        <x:v>Boundary bổ sung</x:v>
      </x:c>
      <x:c r="F323" s="3" t="str">
        <x:v>Boundary — POST ADMIN /api/admin/auth/forgot-password email=191</x:v>
      </x:c>
      <x:c r="G323" s="3" t="str">
        <x:v>POST ADMIN /api/admin/auth/forgot-password email=191</x:v>
      </x:c>
      <x:c r="H323" s="3" t="str">
        <x:v>OBS-RESET</x:v>
      </x:c>
      <x:c r="I323" s="3" t="str">
        <x:v>QTV có quyền tương ứng</x:v>
      </x:c>
      <x:c r="J323" s="3" t="str">
        <x:v>Boundary</x:v>
      </x:c>
      <x:c r="K323" s="3" t="str">
        <x:v>Medium</x:v>
      </x:c>
      <x:c r="L323" s="3" t="str">
        <x:v>Medium</x:v>
      </x:c>
      <x:c r="M323" s="3" t="str">
        <x:v>QA cô lập; tài khoản fixture với trạng thái nêu trong case; không đăng nhập trước bước login/reset. Chỉ tạo phiên trước nếu Steps kiểm tra refresh/logout/hết hạn. SMTP sandbox cho reset qua email.</x:v>
      </x:c>
      <x:c r="N323" s="3" t="str">
        <x:v>Email đúng syntax dài191; local part1 ký tự, chia domain thành nhãn≤63 ký tự, hậu tố .test.</x:v>
      </x:c>
      <x:c r="O323" s="3" t="str">
        <x:v>1. Chuẩn bị body fixture theo endpoint
2. Đặt email theo Test Data
3. Gửi POST ADMIN /api/admin/auth/forgot-password</x:v>
      </x:c>
      <x:c r="P323" s="3" t="str">
        <x:v>Từ chối validation, không tạo/cập nhật bản ghi; kỳ vọng400, ghi defect nếu lỗi500.</x:v>
      </x:c>
      <x:c r="Q323" s="11" t="str"/>
      <x:c r="R323" s="8" t="str">
        <x:v>NOT RUN</x:v>
      </x:c>
      <x:c r="S323" s="11" t="str">
        <x:v>QA/UAT — cần điền URL/build</x:v>
      </x:c>
      <x:c r="T323" s="11" t="str">
        <x:v>Cần điền phiên bản thực</x:v>
      </x:c>
      <x:c r="U323" s="11" t="str"/>
      <x:c r="V323" s="12" t="str"/>
      <x:c r="W323" s="11" t="str"/>
      <x:c r="X323" s="11" t="str"/>
      <x:c r="Y323" s="3" t="str">
        <x:v>Nguồn: admin/src/lib/auth/schemas.ts. </x:v>
      </x:c>
    </x:row>
    <x:row r="324" ht="49" customHeight="1">
      <x:c r="A324" s="3" t="n">
        <x:v>323</x:v>
      </x:c>
      <x:c r="B324" s="3" t="str">
        <x:v>TC_NEWS_075</x:v>
      </x:c>
      <x:c r="C324" s="3" t="str">
        <x:v>NEWS</x:v>
      </x:c>
      <x:c r="D324" s="3" t="str">
        <x:v>Boundary bổ sung</x:v>
      </x:c>
      <x:c r="E324" s="3" t="str">
        <x:v>Boundary bổ sung</x:v>
      </x:c>
      <x:c r="F324" s="3" t="str">
        <x:v>Boundary — POST BACKEND /api/admin/news coverImage=999</x:v>
      </x:c>
      <x:c r="G324" s="3" t="str">
        <x:v>POST BACKEND /api/admin/news coverImage=999</x:v>
      </x:c>
      <x:c r="H324" s="3" t="str">
        <x:v>NEWS-003</x:v>
      </x:c>
      <x:c r="I324" s="3" t="str">
        <x:v>QTV có quyền tương ứng</x:v>
      </x:c>
      <x:c r="J324" s="3" t="str">
        <x:v>Boundary</x:v>
      </x:c>
      <x:c r="K324" s="3" t="str">
        <x:v>Medium</x:v>
      </x:c>
      <x:c r="L324" s="3" t="str">
        <x:v>Medium</x:v>
      </x:c>
      <x:c r="M324" s="3" t="str">
        <x:v>Môi trường QA cô lập, DB/MinIO sẵn sàng; dữ liệu fixture đã tạo. Đăng nhập tài khoản ACTIVE, mustChangePassword=false.</x:v>
      </x:c>
      <x:c r="N324" s="3" t="str">
        <x:v>Đường dẫn dài999 ký tự; prefix /api/media/ cho resource và /images/ cho coverImage.</x:v>
      </x:c>
      <x:c r="O324" s="3" t="str">
        <x:v>1. Chuẩn bị body fixture theo endpoint
2. Đặt coverImage theo Test Data
3. Gửi POST BACKEND /api/admin/news</x:v>
      </x:c>
      <x:c r="P324" s="3" t="str">
        <x:v>Qua validation trường đang thử; mutation hợp lệ được lưu. Không đồng nhất giới hạn metadata với giới hạn upload.</x:v>
      </x:c>
      <x:c r="Q324" s="11" t="str"/>
      <x:c r="R324" s="8" t="str">
        <x:v>NOT RUN</x:v>
      </x:c>
      <x:c r="S324" s="11" t="str">
        <x:v>QA/UAT — cần điền URL/build</x:v>
      </x:c>
      <x:c r="T324" s="11" t="str">
        <x:v>Cần điền phiên bản thực</x:v>
      </x:c>
      <x:c r="U324" s="11" t="str"/>
      <x:c r="V324" s="12" t="str"/>
      <x:c r="W324" s="11" t="str"/>
      <x:c r="X324" s="11" t="str"/>
      <x:c r="Y324" s="3" t="str">
        <x:v>Nguồn: backend/src/modules/cms/cms.routes.ts. </x:v>
      </x:c>
    </x:row>
    <x:row r="325" ht="49" customHeight="1">
      <x:c r="A325" s="3" t="n">
        <x:v>324</x:v>
      </x:c>
      <x:c r="B325" s="3" t="str">
        <x:v>TC_NEWS_076</x:v>
      </x:c>
      <x:c r="C325" s="3" t="str">
        <x:v>NEWS</x:v>
      </x:c>
      <x:c r="D325" s="3" t="str">
        <x:v>Boundary bổ sung</x:v>
      </x:c>
      <x:c r="E325" s="3" t="str">
        <x:v>Boundary bổ sung</x:v>
      </x:c>
      <x:c r="F325" s="3" t="str">
        <x:v>Boundary — POST BACKEND /api/admin/news coverImage=1000</x:v>
      </x:c>
      <x:c r="G325" s="3" t="str">
        <x:v>POST BACKEND /api/admin/news coverImage=1000</x:v>
      </x:c>
      <x:c r="H325" s="3" t="str">
        <x:v>NEWS-003</x:v>
      </x:c>
      <x:c r="I325" s="3" t="str">
        <x:v>QTV có quyền tương ứng</x:v>
      </x:c>
      <x:c r="J325" s="3" t="str">
        <x:v>Boundary</x:v>
      </x:c>
      <x:c r="K325" s="3" t="str">
        <x:v>Medium</x:v>
      </x:c>
      <x:c r="L325" s="3" t="str">
        <x:v>Medium</x:v>
      </x:c>
      <x:c r="M325" s="3" t="str">
        <x:v>Môi trường QA cô lập, DB/MinIO sẵn sàng; dữ liệu fixture đã tạo. Đăng nhập tài khoản ACTIVE, mustChangePassword=false.</x:v>
      </x:c>
      <x:c r="N325" s="3" t="str">
        <x:v>Đường dẫn dài1000 ký tự; prefix /api/media/ cho resource và /images/ cho coverImage.</x:v>
      </x:c>
      <x:c r="O325" s="3" t="str">
        <x:v>1. Chuẩn bị body fixture theo endpoint
2. Đặt coverImage theo Test Data
3. Gửi POST BACKEND /api/admin/news</x:v>
      </x:c>
      <x:c r="P325" s="3" t="str">
        <x:v>Qua validation trường đang thử; mutation hợp lệ được lưu. Không đồng nhất giới hạn metadata với giới hạn upload.</x:v>
      </x:c>
      <x:c r="Q325" s="11" t="str"/>
      <x:c r="R325" s="8" t="str">
        <x:v>NOT RUN</x:v>
      </x:c>
      <x:c r="S325" s="11" t="str">
        <x:v>QA/UAT — cần điền URL/build</x:v>
      </x:c>
      <x:c r="T325" s="11" t="str">
        <x:v>Cần điền phiên bản thực</x:v>
      </x:c>
      <x:c r="U325" s="11" t="str"/>
      <x:c r="V325" s="12" t="str"/>
      <x:c r="W325" s="11" t="str"/>
      <x:c r="X325" s="11" t="str"/>
      <x:c r="Y325" s="3" t="str">
        <x:v>Nguồn: backend/src/modules/cms/cms.routes.ts. </x:v>
      </x:c>
    </x:row>
    <x:row r="326" ht="49" customHeight="1">
      <x:c r="A326" s="3" t="n">
        <x:v>325</x:v>
      </x:c>
      <x:c r="B326" s="3" t="str">
        <x:v>TC_NEWS_077</x:v>
      </x:c>
      <x:c r="C326" s="3" t="str">
        <x:v>NEWS</x:v>
      </x:c>
      <x:c r="D326" s="3" t="str">
        <x:v>Boundary bổ sung</x:v>
      </x:c>
      <x:c r="E326" s="3" t="str">
        <x:v>Boundary bổ sung</x:v>
      </x:c>
      <x:c r="F326" s="3" t="str">
        <x:v>Boundary — POST BACKEND /api/admin/news coverImage=1001</x:v>
      </x:c>
      <x:c r="G326" s="3" t="str">
        <x:v>POST BACKEND /api/admin/news coverImage=1001</x:v>
      </x:c>
      <x:c r="H326" s="3" t="str">
        <x:v>NEWS-003</x:v>
      </x:c>
      <x:c r="I326" s="3" t="str">
        <x:v>QTV có quyền tương ứng</x:v>
      </x:c>
      <x:c r="J326" s="3" t="str">
        <x:v>Boundary</x:v>
      </x:c>
      <x:c r="K326" s="3" t="str">
        <x:v>Medium</x:v>
      </x:c>
      <x:c r="L326" s="3" t="str">
        <x:v>Medium</x:v>
      </x:c>
      <x:c r="M326" s="3" t="str">
        <x:v>Môi trường QA cô lập, DB/MinIO sẵn sàng; dữ liệu fixture đã tạo. Đăng nhập tài khoản ACTIVE, mustChangePassword=false.</x:v>
      </x:c>
      <x:c r="N326" s="3" t="str">
        <x:v>Đường dẫn dài1001 ký tự; prefix /api/media/ cho resource và /images/ cho coverImage.</x:v>
      </x:c>
      <x:c r="O326" s="3" t="str">
        <x:v>1. Chuẩn bị body fixture theo endpoint
2. Đặt coverImage theo Test Data
3. Gửi POST BACKEND /api/admin/news</x:v>
      </x:c>
      <x:c r="P326" s="3" t="str">
        <x:v>Từ chối validation, không tạo/cập nhật bản ghi; kỳ vọng400, ghi defect nếu lỗi500.</x:v>
      </x:c>
      <x:c r="Q326" s="11" t="str"/>
      <x:c r="R326" s="8" t="str">
        <x:v>NOT RUN</x:v>
      </x:c>
      <x:c r="S326" s="11" t="str">
        <x:v>QA/UAT — cần điền URL/build</x:v>
      </x:c>
      <x:c r="T326" s="11" t="str">
        <x:v>Cần điền phiên bản thực</x:v>
      </x:c>
      <x:c r="U326" s="11" t="str"/>
      <x:c r="V326" s="12" t="str"/>
      <x:c r="W326" s="11" t="str"/>
      <x:c r="X326" s="11" t="str"/>
      <x:c r="Y326" s="3" t="str">
        <x:v>Nguồn: backend/src/modules/cms/cms.routes.ts. </x:v>
      </x:c>
    </x:row>
    <x:row r="327" ht="49" customHeight="1">
      <x:c r="A327" s="3" t="n">
        <x:v>326</x:v>
      </x:c>
      <x:c r="B327" s="3" t="str">
        <x:v>TC_RESOURCE_095</x:v>
      </x:c>
      <x:c r="C327" s="3" t="str">
        <x:v>RESOURCE</x:v>
      </x:c>
      <x:c r="D327" s="3" t="str">
        <x:v>Boundary bổ sung</x:v>
      </x:c>
      <x:c r="E327" s="3" t="str">
        <x:v>Boundary bổ sung</x:v>
      </x:c>
      <x:c r="F327" s="3" t="str">
        <x:v>Boundary — POST BACKEND /api/admin/resources fileUrl=999</x:v>
      </x:c>
      <x:c r="G327" s="3" t="str">
        <x:v>POST BACKEND /api/admin/resources fileUrl=999</x:v>
      </x:c>
      <x:c r="H327" s="3" t="str">
        <x:v>RES-001</x:v>
      </x:c>
      <x:c r="I327" s="3" t="str">
        <x:v>QTV có quyền tương ứng</x:v>
      </x:c>
      <x:c r="J327" s="3" t="str">
        <x:v>Boundary</x:v>
      </x:c>
      <x:c r="K327" s="3" t="str">
        <x:v>Medium</x:v>
      </x:c>
      <x:c r="L327" s="3" t="str">
        <x:v>Medium</x:v>
      </x:c>
      <x:c r="M327" s="3" t="str">
        <x:v>Môi trường QA cô lập, DB/MinIO sẵn sàng; dữ liệu fixture đã tạo. Đăng nhập tài khoản ACTIVE, mustChangePassword=false.</x:v>
      </x:c>
      <x:c r="N327" s="3" t="str">
        <x:v>Đường dẫn dài999 ký tự; prefix /api/media/ cho resource và /images/ cho coverImage.</x:v>
      </x:c>
      <x:c r="O327" s="3" t="str">
        <x:v>1. Chuẩn bị body fixture theo endpoint
2. Đặt fileUrl theo Test Data
3. Gửi POST BACKEND /api/admin/resources</x:v>
      </x:c>
      <x:c r="P327" s="3" t="str">
        <x:v>Qua validation trường đang thử; mutation hợp lệ được lưu. Không đồng nhất giới hạn metadata với giới hạn upload.</x:v>
      </x:c>
      <x:c r="Q327" s="11" t="str"/>
      <x:c r="R327" s="8" t="str">
        <x:v>NOT RUN</x:v>
      </x:c>
      <x:c r="S327" s="11" t="str">
        <x:v>QA/UAT — cần điền URL/build</x:v>
      </x:c>
      <x:c r="T327" s="11" t="str">
        <x:v>Cần điền phiên bản thực</x:v>
      </x:c>
      <x:c r="U327" s="11" t="str"/>
      <x:c r="V327" s="12" t="str"/>
      <x:c r="W327" s="11" t="str"/>
      <x:c r="X327" s="11" t="str"/>
      <x:c r="Y327" s="3" t="str">
        <x:v>Nguồn: backend/src/modules/cms/cms.routes.ts. </x:v>
      </x:c>
    </x:row>
    <x:row r="328" ht="49" customHeight="1">
      <x:c r="A328" s="3" t="n">
        <x:v>327</x:v>
      </x:c>
      <x:c r="B328" s="3" t="str">
        <x:v>TC_RESOURCE_096</x:v>
      </x:c>
      <x:c r="C328" s="3" t="str">
        <x:v>RESOURCE</x:v>
      </x:c>
      <x:c r="D328" s="3" t="str">
        <x:v>Boundary bổ sung</x:v>
      </x:c>
      <x:c r="E328" s="3" t="str">
        <x:v>Boundary bổ sung</x:v>
      </x:c>
      <x:c r="F328" s="3" t="str">
        <x:v>Boundary — POST BACKEND /api/admin/resources fileUrl=1000</x:v>
      </x:c>
      <x:c r="G328" s="3" t="str">
        <x:v>POST BACKEND /api/admin/resources fileUrl=1000</x:v>
      </x:c>
      <x:c r="H328" s="3" t="str">
        <x:v>RES-001</x:v>
      </x:c>
      <x:c r="I328" s="3" t="str">
        <x:v>QTV có quyền tương ứng</x:v>
      </x:c>
      <x:c r="J328" s="3" t="str">
        <x:v>Boundary</x:v>
      </x:c>
      <x:c r="K328" s="3" t="str">
        <x:v>Medium</x:v>
      </x:c>
      <x:c r="L328" s="3" t="str">
        <x:v>Medium</x:v>
      </x:c>
      <x:c r="M328" s="3" t="str">
        <x:v>Môi trường QA cô lập, DB/MinIO sẵn sàng; dữ liệu fixture đã tạo. Đăng nhập tài khoản ACTIVE, mustChangePassword=false.</x:v>
      </x:c>
      <x:c r="N328" s="3" t="str">
        <x:v>Đường dẫn dài1000 ký tự; prefix /api/media/ cho resource và /images/ cho coverImage.</x:v>
      </x:c>
      <x:c r="O328" s="3" t="str">
        <x:v>1. Chuẩn bị body fixture theo endpoint
2. Đặt fileUrl theo Test Data
3. Gửi POST BACKEND /api/admin/resources</x:v>
      </x:c>
      <x:c r="P328" s="3" t="str">
        <x:v>Qua validation trường đang thử; mutation hợp lệ được lưu. Không đồng nhất giới hạn metadata với giới hạn upload.</x:v>
      </x:c>
      <x:c r="Q328" s="11" t="str"/>
      <x:c r="R328" s="8" t="str">
        <x:v>NOT RUN</x:v>
      </x:c>
      <x:c r="S328" s="11" t="str">
        <x:v>QA/UAT — cần điền URL/build</x:v>
      </x:c>
      <x:c r="T328" s="11" t="str">
        <x:v>Cần điền phiên bản thực</x:v>
      </x:c>
      <x:c r="U328" s="11" t="str"/>
      <x:c r="V328" s="12" t="str"/>
      <x:c r="W328" s="11" t="str"/>
      <x:c r="X328" s="11" t="str"/>
      <x:c r="Y328" s="3" t="str">
        <x:v>Nguồn: backend/src/modules/cms/cms.routes.ts. </x:v>
      </x:c>
    </x:row>
    <x:row r="329" ht="49" customHeight="1">
      <x:c r="A329" s="3" t="n">
        <x:v>328</x:v>
      </x:c>
      <x:c r="B329" s="3" t="str">
        <x:v>TC_RESOURCE_097</x:v>
      </x:c>
      <x:c r="C329" s="3" t="str">
        <x:v>RESOURCE</x:v>
      </x:c>
      <x:c r="D329" s="3" t="str">
        <x:v>Boundary bổ sung</x:v>
      </x:c>
      <x:c r="E329" s="3" t="str">
        <x:v>Boundary bổ sung</x:v>
      </x:c>
      <x:c r="F329" s="3" t="str">
        <x:v>Boundary — POST BACKEND /api/admin/resources fileUrl=1001</x:v>
      </x:c>
      <x:c r="G329" s="3" t="str">
        <x:v>POST BACKEND /api/admin/resources fileUrl=1001</x:v>
      </x:c>
      <x:c r="H329" s="3" t="str">
        <x:v>RES-001</x:v>
      </x:c>
      <x:c r="I329" s="3" t="str">
        <x:v>QTV có quyền tương ứng</x:v>
      </x:c>
      <x:c r="J329" s="3" t="str">
        <x:v>Boundary</x:v>
      </x:c>
      <x:c r="K329" s="3" t="str">
        <x:v>Medium</x:v>
      </x:c>
      <x:c r="L329" s="3" t="str">
        <x:v>Medium</x:v>
      </x:c>
      <x:c r="M329" s="3" t="str">
        <x:v>Môi trường QA cô lập, DB/MinIO sẵn sàng; dữ liệu fixture đã tạo. Đăng nhập tài khoản ACTIVE, mustChangePassword=false.</x:v>
      </x:c>
      <x:c r="N329" s="3" t="str">
        <x:v>Đường dẫn dài1001 ký tự; prefix /api/media/ cho resource và /images/ cho coverImage.</x:v>
      </x:c>
      <x:c r="O329" s="3" t="str">
        <x:v>1. Chuẩn bị body fixture theo endpoint
2. Đặt fileUrl theo Test Data
3. Gửi POST BACKEND /api/admin/resources</x:v>
      </x:c>
      <x:c r="P329" s="3" t="str">
        <x:v>Từ chối validation, không tạo/cập nhật bản ghi; kỳ vọng400, ghi defect nếu lỗi500.</x:v>
      </x:c>
      <x:c r="Q329" s="11" t="str"/>
      <x:c r="R329" s="8" t="str">
        <x:v>NOT RUN</x:v>
      </x:c>
      <x:c r="S329" s="11" t="str">
        <x:v>QA/UAT — cần điền URL/build</x:v>
      </x:c>
      <x:c r="T329" s="11" t="str">
        <x:v>Cần điền phiên bản thực</x:v>
      </x:c>
      <x:c r="U329" s="11" t="str"/>
      <x:c r="V329" s="12" t="str"/>
      <x:c r="W329" s="11" t="str"/>
      <x:c r="X329" s="11" t="str"/>
      <x:c r="Y329" s="3" t="str">
        <x:v>Nguồn: backend/src/modules/cms/cms.routes.ts. </x:v>
      </x:c>
    </x:row>
    <x:row r="330" ht="49" customHeight="1">
      <x:c r="A330" s="3" t="n">
        <x:v>329</x:v>
      </x:c>
      <x:c r="B330" s="3" t="str">
        <x:v>TC_RESOURCE_098</x:v>
      </x:c>
      <x:c r="C330" s="3" t="str">
        <x:v>RESOURCE</x:v>
      </x:c>
      <x:c r="D330" s="3" t="str">
        <x:v>Boundary bổ sung</x:v>
      </x:c>
      <x:c r="E330" s="3" t="str">
        <x:v>Boundary bổ sung</x:v>
      </x:c>
      <x:c r="F330" s="3" t="str">
        <x:v>Boundary — POST BACKEND /api/admin/resources fileSize=0</x:v>
      </x:c>
      <x:c r="G330" s="3" t="str">
        <x:v>POST BACKEND /api/admin/resources fileSize=0</x:v>
      </x:c>
      <x:c r="H330" s="3" t="str">
        <x:v>RES-001</x:v>
      </x:c>
      <x:c r="I330" s="3" t="str">
        <x:v>QTV có quyền tương ứng</x:v>
      </x:c>
      <x:c r="J330" s="3" t="str">
        <x:v>Boundary</x:v>
      </x:c>
      <x:c r="K330" s="3" t="str">
        <x:v>Medium</x:v>
      </x:c>
      <x:c r="L330" s="3" t="str">
        <x:v>Medium</x:v>
      </x:c>
      <x:c r="M330" s="3" t="str">
        <x:v>Môi trường QA cô lập, DB/MinIO sẵn sàng; dữ liệu fixture đã tạo. Đăng nhập tài khoản ACTIVE, mustChangePassword=false.</x:v>
      </x:c>
      <x:c r="N330" s="3" t="str">
        <x:v>fileSize=0 bytes</x:v>
      </x:c>
      <x:c r="O330" s="3" t="str">
        <x:v>1. Chuẩn bị body fixture theo endpoint
2. Đặt fileSize theo Test Data
3. Gửi POST BACKEND /api/admin/resources</x:v>
      </x:c>
      <x:c r="P330" s="3" t="str">
        <x:v>Từ chối validation, không tạo/cập nhật bản ghi; kỳ vọng400, ghi defect nếu lỗi500.</x:v>
      </x:c>
      <x:c r="Q330" s="11" t="str"/>
      <x:c r="R330" s="8" t="str">
        <x:v>NOT RUN</x:v>
      </x:c>
      <x:c r="S330" s="11" t="str">
        <x:v>QA/UAT — cần điền URL/build</x:v>
      </x:c>
      <x:c r="T330" s="11" t="str">
        <x:v>Cần điền phiên bản thực</x:v>
      </x:c>
      <x:c r="U330" s="11" t="str"/>
      <x:c r="V330" s="12" t="str"/>
      <x:c r="W330" s="11" t="str"/>
      <x:c r="X330" s="11" t="str"/>
      <x:c r="Y330" s="3" t="str">
        <x:v>Nguồn: backend/src/modules/cms/cms.routes.ts. </x:v>
      </x:c>
    </x:row>
    <x:row r="331" ht="49" customHeight="1">
      <x:c r="A331" s="3" t="n">
        <x:v>330</x:v>
      </x:c>
      <x:c r="B331" s="3" t="str">
        <x:v>TC_RESOURCE_099</x:v>
      </x:c>
      <x:c r="C331" s="3" t="str">
        <x:v>RESOURCE</x:v>
      </x:c>
      <x:c r="D331" s="3" t="str">
        <x:v>Boundary bổ sung</x:v>
      </x:c>
      <x:c r="E331" s="3" t="str">
        <x:v>Boundary bổ sung</x:v>
      </x:c>
      <x:c r="F331" s="3" t="str">
        <x:v>Boundary — POST BACKEND /api/admin/resources fileSize=1</x:v>
      </x:c>
      <x:c r="G331" s="3" t="str">
        <x:v>POST BACKEND /api/admin/resources fileSize=1</x:v>
      </x:c>
      <x:c r="H331" s="3" t="str">
        <x:v>RES-001</x:v>
      </x:c>
      <x:c r="I331" s="3" t="str">
        <x:v>QTV có quyền tương ứng</x:v>
      </x:c>
      <x:c r="J331" s="3" t="str">
        <x:v>Boundary</x:v>
      </x:c>
      <x:c r="K331" s="3" t="str">
        <x:v>Medium</x:v>
      </x:c>
      <x:c r="L331" s="3" t="str">
        <x:v>Medium</x:v>
      </x:c>
      <x:c r="M331" s="3" t="str">
        <x:v>Môi trường QA cô lập, DB/MinIO sẵn sàng; dữ liệu fixture đã tạo. Đăng nhập tài khoản ACTIVE, mustChangePassword=false.</x:v>
      </x:c>
      <x:c r="N331" s="3" t="str">
        <x:v>fileSize=1 bytes</x:v>
      </x:c>
      <x:c r="O331" s="3" t="str">
        <x:v>1. Chuẩn bị body fixture theo endpoint
2. Đặt fileSize theo Test Data
3. Gửi POST BACKEND /api/admin/resources</x:v>
      </x:c>
      <x:c r="P331" s="3" t="str">
        <x:v>Qua validation trường đang thử; mutation hợp lệ được lưu. Không đồng nhất giới hạn metadata với giới hạn upload.</x:v>
      </x:c>
      <x:c r="Q331" s="11" t="str"/>
      <x:c r="R331" s="8" t="str">
        <x:v>NOT RUN</x:v>
      </x:c>
      <x:c r="S331" s="11" t="str">
        <x:v>QA/UAT — cần điền URL/build</x:v>
      </x:c>
      <x:c r="T331" s="11" t="str">
        <x:v>Cần điền phiên bản thực</x:v>
      </x:c>
      <x:c r="U331" s="11" t="str"/>
      <x:c r="V331" s="12" t="str"/>
      <x:c r="W331" s="11" t="str"/>
      <x:c r="X331" s="11" t="str"/>
      <x:c r="Y331" s="3" t="str">
        <x:v>Nguồn: backend/src/modules/cms/cms.routes.ts. </x:v>
      </x:c>
    </x:row>
    <x:row r="332" ht="49" customHeight="1">
      <x:c r="A332" s="3" t="n">
        <x:v>331</x:v>
      </x:c>
      <x:c r="B332" s="3" t="str">
        <x:v>TC_RESOURCE_100</x:v>
      </x:c>
      <x:c r="C332" s="3" t="str">
        <x:v>RESOURCE</x:v>
      </x:c>
      <x:c r="D332" s="3" t="str">
        <x:v>Boundary bổ sung</x:v>
      </x:c>
      <x:c r="E332" s="3" t="str">
        <x:v>Boundary bổ sung</x:v>
      </x:c>
      <x:c r="F332" s="3" t="str">
        <x:v>Boundary — POST BACKEND /api/admin/resources fileSize=2</x:v>
      </x:c>
      <x:c r="G332" s="3" t="str">
        <x:v>POST BACKEND /api/admin/resources fileSize=2</x:v>
      </x:c>
      <x:c r="H332" s="3" t="str">
        <x:v>RES-001</x:v>
      </x:c>
      <x:c r="I332" s="3" t="str">
        <x:v>QTV có quyền tương ứng</x:v>
      </x:c>
      <x:c r="J332" s="3" t="str">
        <x:v>Boundary</x:v>
      </x:c>
      <x:c r="K332" s="3" t="str">
        <x:v>Medium</x:v>
      </x:c>
      <x:c r="L332" s="3" t="str">
        <x:v>Medium</x:v>
      </x:c>
      <x:c r="M332" s="3" t="str">
        <x:v>Môi trường QA cô lập, DB/MinIO sẵn sàng; dữ liệu fixture đã tạo. Đăng nhập tài khoản ACTIVE, mustChangePassword=false.</x:v>
      </x:c>
      <x:c r="N332" s="3" t="str">
        <x:v>fileSize=2 bytes</x:v>
      </x:c>
      <x:c r="O332" s="3" t="str">
        <x:v>1. Chuẩn bị body fixture theo endpoint
2. Đặt fileSize theo Test Data
3. Gửi POST BACKEND /api/admin/resources</x:v>
      </x:c>
      <x:c r="P332" s="3" t="str">
        <x:v>Qua validation trường đang thử; mutation hợp lệ được lưu. Không đồng nhất giới hạn metadata với giới hạn upload.</x:v>
      </x:c>
      <x:c r="Q332" s="11" t="str"/>
      <x:c r="R332" s="8" t="str">
        <x:v>NOT RUN</x:v>
      </x:c>
      <x:c r="S332" s="11" t="str">
        <x:v>QA/UAT — cần điền URL/build</x:v>
      </x:c>
      <x:c r="T332" s="11" t="str">
        <x:v>Cần điền phiên bản thực</x:v>
      </x:c>
      <x:c r="U332" s="11" t="str"/>
      <x:c r="V332" s="12" t="str"/>
      <x:c r="W332" s="11" t="str"/>
      <x:c r="X332" s="11" t="str"/>
      <x:c r="Y332" s="3" t="str">
        <x:v>Nguồn: backend/src/modules/cms/cms.routes.ts. </x:v>
      </x:c>
    </x:row>
    <x:row r="333" ht="49" customHeight="1">
      <x:c r="A333" s="3" t="n">
        <x:v>332</x:v>
      </x:c>
      <x:c r="B333" s="3" t="str">
        <x:v>TC_RESOURCE_101</x:v>
      </x:c>
      <x:c r="C333" s="3" t="str">
        <x:v>RESOURCE</x:v>
      </x:c>
      <x:c r="D333" s="3" t="str">
        <x:v>Boundary bổ sung</x:v>
      </x:c>
      <x:c r="E333" s="3" t="str">
        <x:v>Boundary bổ sung</x:v>
      </x:c>
      <x:c r="F333" s="3" t="str">
        <x:v>Boundary — POST BACKEND /api/admin/resources fileSize=52428799</x:v>
      </x:c>
      <x:c r="G333" s="3" t="str">
        <x:v>POST BACKEND /api/admin/resources fileSize=52428799</x:v>
      </x:c>
      <x:c r="H333" s="3" t="str">
        <x:v>RES-001</x:v>
      </x:c>
      <x:c r="I333" s="3" t="str">
        <x:v>QTV có quyền tương ứng</x:v>
      </x:c>
      <x:c r="J333" s="3" t="str">
        <x:v>Boundary</x:v>
      </x:c>
      <x:c r="K333" s="3" t="str">
        <x:v>Medium</x:v>
      </x:c>
      <x:c r="L333" s="3" t="str">
        <x:v>Medium</x:v>
      </x:c>
      <x:c r="M333" s="3" t="str">
        <x:v>Môi trường QA cô lập, DB/MinIO sẵn sàng; dữ liệu fixture đã tạo. Đăng nhập tài khoản ACTIVE, mustChangePassword=false.</x:v>
      </x:c>
      <x:c r="N333" s="3" t="str">
        <x:v>fileSize=52428799 bytes</x:v>
      </x:c>
      <x:c r="O333" s="3" t="str">
        <x:v>1. Chuẩn bị body fixture theo endpoint
2. Đặt fileSize theo Test Data
3. Gửi POST BACKEND /api/admin/resources</x:v>
      </x:c>
      <x:c r="P333" s="3" t="str">
        <x:v>Qua validation trường đang thử; mutation hợp lệ được lưu. Không đồng nhất giới hạn metadata với giới hạn upload.</x:v>
      </x:c>
      <x:c r="Q333" s="11" t="str"/>
      <x:c r="R333" s="8" t="str">
        <x:v>NOT RUN</x:v>
      </x:c>
      <x:c r="S333" s="11" t="str">
        <x:v>QA/UAT — cần điền URL/build</x:v>
      </x:c>
      <x:c r="T333" s="11" t="str">
        <x:v>Cần điền phiên bản thực</x:v>
      </x:c>
      <x:c r="U333" s="11" t="str"/>
      <x:c r="V333" s="12" t="str"/>
      <x:c r="W333" s="11" t="str"/>
      <x:c r="X333" s="11" t="str"/>
      <x:c r="Y333" s="3" t="str">
        <x:v>Nguồn: backend/src/modules/cms/cms.routes.ts. </x:v>
      </x:c>
    </x:row>
    <x:row r="334" ht="49" customHeight="1">
      <x:c r="A334" s="3" t="n">
        <x:v>333</x:v>
      </x:c>
      <x:c r="B334" s="3" t="str">
        <x:v>TC_RESOURCE_102</x:v>
      </x:c>
      <x:c r="C334" s="3" t="str">
        <x:v>RESOURCE</x:v>
      </x:c>
      <x:c r="D334" s="3" t="str">
        <x:v>Boundary bổ sung</x:v>
      </x:c>
      <x:c r="E334" s="3" t="str">
        <x:v>Boundary bổ sung</x:v>
      </x:c>
      <x:c r="F334" s="3" t="str">
        <x:v>Boundary — POST BACKEND /api/admin/resources fileSize=52428800</x:v>
      </x:c>
      <x:c r="G334" s="3" t="str">
        <x:v>POST BACKEND /api/admin/resources fileSize=52428800</x:v>
      </x:c>
      <x:c r="H334" s="3" t="str">
        <x:v>RES-001</x:v>
      </x:c>
      <x:c r="I334" s="3" t="str">
        <x:v>QTV có quyền tương ứng</x:v>
      </x:c>
      <x:c r="J334" s="3" t="str">
        <x:v>Boundary</x:v>
      </x:c>
      <x:c r="K334" s="3" t="str">
        <x:v>Medium</x:v>
      </x:c>
      <x:c r="L334" s="3" t="str">
        <x:v>Medium</x:v>
      </x:c>
      <x:c r="M334" s="3" t="str">
        <x:v>Môi trường QA cô lập, DB/MinIO sẵn sàng; dữ liệu fixture đã tạo. Đăng nhập tài khoản ACTIVE, mustChangePassword=false.</x:v>
      </x:c>
      <x:c r="N334" s="3" t="str">
        <x:v>fileSize=52428800 bytes</x:v>
      </x:c>
      <x:c r="O334" s="3" t="str">
        <x:v>1. Chuẩn bị body fixture theo endpoint
2. Đặt fileSize theo Test Data
3. Gửi POST BACKEND /api/admin/resources</x:v>
      </x:c>
      <x:c r="P334" s="3" t="str">
        <x:v>Qua validation trường đang thử; mutation hợp lệ được lưu. Không đồng nhất giới hạn metadata với giới hạn upload.</x:v>
      </x:c>
      <x:c r="Q334" s="11" t="str"/>
      <x:c r="R334" s="8" t="str">
        <x:v>NOT RUN</x:v>
      </x:c>
      <x:c r="S334" s="11" t="str">
        <x:v>QA/UAT — cần điền URL/build</x:v>
      </x:c>
      <x:c r="T334" s="11" t="str">
        <x:v>Cần điền phiên bản thực</x:v>
      </x:c>
      <x:c r="U334" s="11" t="str"/>
      <x:c r="V334" s="12" t="str"/>
      <x:c r="W334" s="11" t="str"/>
      <x:c r="X334" s="11" t="str"/>
      <x:c r="Y334" s="3" t="str">
        <x:v>Nguồn: backend/src/modules/cms/cms.routes.ts. </x:v>
      </x:c>
    </x:row>
    <x:row r="335" ht="49" customHeight="1">
      <x:c r="A335" s="3" t="n">
        <x:v>334</x:v>
      </x:c>
      <x:c r="B335" s="3" t="str">
        <x:v>TC_RESOURCE_103</x:v>
      </x:c>
      <x:c r="C335" s="3" t="str">
        <x:v>RESOURCE</x:v>
      </x:c>
      <x:c r="D335" s="3" t="str">
        <x:v>Boundary bổ sung</x:v>
      </x:c>
      <x:c r="E335" s="3" t="str">
        <x:v>Boundary bổ sung</x:v>
      </x:c>
      <x:c r="F335" s="3" t="str">
        <x:v>Boundary — POST BACKEND /api/admin/resources fileSize=52428801</x:v>
      </x:c>
      <x:c r="G335" s="3" t="str">
        <x:v>POST BACKEND /api/admin/resources fileSize=52428801</x:v>
      </x:c>
      <x:c r="H335" s="3" t="str">
        <x:v>RES-001</x:v>
      </x:c>
      <x:c r="I335" s="3" t="str">
        <x:v>QTV có quyền tương ứng</x:v>
      </x:c>
      <x:c r="J335" s="3" t="str">
        <x:v>Boundary</x:v>
      </x:c>
      <x:c r="K335" s="3" t="str">
        <x:v>Medium</x:v>
      </x:c>
      <x:c r="L335" s="3" t="str">
        <x:v>Medium</x:v>
      </x:c>
      <x:c r="M335" s="3" t="str">
        <x:v>Môi trường QA cô lập, DB/MinIO sẵn sàng; dữ liệu fixture đã tạo. Đăng nhập tài khoản ACTIVE, mustChangePassword=false.</x:v>
      </x:c>
      <x:c r="N335" s="3" t="str">
        <x:v>fileSize=52428801 bytes</x:v>
      </x:c>
      <x:c r="O335" s="3" t="str">
        <x:v>1. Chuẩn bị body fixture theo endpoint
2. Đặt fileSize theo Test Data
3. Gửi POST BACKEND /api/admin/resources</x:v>
      </x:c>
      <x:c r="P335" s="3" t="str">
        <x:v>Từ chối validation, không tạo/cập nhật bản ghi; kỳ vọng400, ghi defect nếu lỗi500.</x:v>
      </x:c>
      <x:c r="Q335" s="11" t="str"/>
      <x:c r="R335" s="8" t="str">
        <x:v>NOT RUN</x:v>
      </x:c>
      <x:c r="S335" s="11" t="str">
        <x:v>QA/UAT — cần điền URL/build</x:v>
      </x:c>
      <x:c r="T335" s="11" t="str">
        <x:v>Cần điền phiên bản thực</x:v>
      </x:c>
      <x:c r="U335" s="11" t="str"/>
      <x:c r="V335" s="12" t="str"/>
      <x:c r="W335" s="11" t="str"/>
      <x:c r="X335" s="11" t="str"/>
      <x:c r="Y335" s="3" t="str">
        <x:v>Nguồn: backend/src/modules/cms/cms.routes.ts. </x:v>
      </x:c>
    </x:row>
    <x:row r="336" ht="49" customHeight="1">
      <x:c r="A336" s="3" t="n">
        <x:v>335</x:v>
      </x:c>
      <x:c r="B336" s="3" t="str">
        <x:v>TC_AUDIT_002</x:v>
      </x:c>
      <x:c r="C336" s="3" t="str">
        <x:v>AUDIT</x:v>
      </x:c>
      <x:c r="D336" s="3" t="str">
        <x:v>Phân trang thông báo</x:v>
      </x:c>
      <x:c r="E336" s="3" t="str">
        <x:v>Phân trang thông báo</x:v>
      </x:c>
      <x:c r="F336" s="3" t="str">
        <x:v>Boundary — limit=4</x:v>
      </x:c>
      <x:c r="G336" s="3" t="str">
        <x:v>limit=4</x:v>
      </x:c>
      <x:c r="H336" s="3" t="str">
        <x:v>AUD-001</x:v>
      </x:c>
      <x:c r="I336" s="3" t="str">
        <x:v>QTV có quyền tương ứng</x:v>
      </x:c>
      <x:c r="J336" s="3" t="str">
        <x:v>Boundary</x:v>
      </x:c>
      <x:c r="K336" s="3" t="str">
        <x:v>Medium</x:v>
      </x:c>
      <x:c r="L336" s="3" t="str">
        <x:v>Medium</x:v>
      </x:c>
      <x:c r="M336" s="3" t="str">
        <x:v>Môi trường QA cô lập, DB/MinIO sẵn sàng; dữ liệu fixture đã tạo. Đăng nhập tài khoản ACTIVE, mustChangePassword=false.</x:v>
      </x:c>
      <x:c r="N336" s="3" t="str">
        <x:v>limit=4; 60 logs fixture</x:v>
      </x:c>
      <x:c r="O336" s="3" t="str">
        <x:v>1. Seed60 audit logs
2. GET /api/admin/notifications?limit=4</x:v>
      </x:c>
      <x:c r="P336" s="3" t="str">
        <x:v>HTTP200; số notification=5; sắp createdAt giảm dần.</x:v>
      </x:c>
      <x:c r="Q336" s="11" t="str"/>
      <x:c r="R336" s="8" t="str">
        <x:v>NOT RUN</x:v>
      </x:c>
      <x:c r="S336" s="11" t="str">
        <x:v>QA/UAT — cần điền URL/build</x:v>
      </x:c>
      <x:c r="T336" s="11" t="str">
        <x:v>Cần điền phiên bản thực</x:v>
      </x:c>
      <x:c r="U336" s="11" t="str"/>
      <x:c r="V336" s="12" t="str"/>
      <x:c r="W336" s="11" t="str"/>
      <x:c r="X336" s="11" t="str"/>
      <x:c r="Y336" s="3" t="str">
        <x:v>Nguồn: admin/src/app/api/admin/notifications/route.ts. </x:v>
      </x:c>
    </x:row>
    <x:row r="337" ht="49" customHeight="1">
      <x:c r="A337" s="3" t="n">
        <x:v>336</x:v>
      </x:c>
      <x:c r="B337" s="3" t="str">
        <x:v>TC_AUDIT_003</x:v>
      </x:c>
      <x:c r="C337" s="3" t="str">
        <x:v>AUDIT</x:v>
      </x:c>
      <x:c r="D337" s="3" t="str">
        <x:v>Phân trang thông báo</x:v>
      </x:c>
      <x:c r="E337" s="3" t="str">
        <x:v>Phân trang thông báo</x:v>
      </x:c>
      <x:c r="F337" s="3" t="str">
        <x:v>Boundary — limit=5</x:v>
      </x:c>
      <x:c r="G337" s="3" t="str">
        <x:v>limit=5</x:v>
      </x:c>
      <x:c r="H337" s="3" t="str">
        <x:v>AUD-001</x:v>
      </x:c>
      <x:c r="I337" s="3" t="str">
        <x:v>QTV có quyền tương ứng</x:v>
      </x:c>
      <x:c r="J337" s="3" t="str">
        <x:v>Boundary</x:v>
      </x:c>
      <x:c r="K337" s="3" t="str">
        <x:v>Medium</x:v>
      </x:c>
      <x:c r="L337" s="3" t="str">
        <x:v>Medium</x:v>
      </x:c>
      <x:c r="M337" s="3" t="str">
        <x:v>Môi trường QA cô lập, DB/MinIO sẵn sàng; dữ liệu fixture đã tạo. Đăng nhập tài khoản ACTIVE, mustChangePassword=false.</x:v>
      </x:c>
      <x:c r="N337" s="3" t="str">
        <x:v>limit=5; 60 logs fixture</x:v>
      </x:c>
      <x:c r="O337" s="3" t="str">
        <x:v>1. Seed60 audit logs
2. GET /api/admin/notifications?limit=5</x:v>
      </x:c>
      <x:c r="P337" s="3" t="str">
        <x:v>HTTP200; số notification=5; sắp createdAt giảm dần.</x:v>
      </x:c>
      <x:c r="Q337" s="11" t="str"/>
      <x:c r="R337" s="8" t="str">
        <x:v>NOT RUN</x:v>
      </x:c>
      <x:c r="S337" s="11" t="str">
        <x:v>QA/UAT — cần điền URL/build</x:v>
      </x:c>
      <x:c r="T337" s="11" t="str">
        <x:v>Cần điền phiên bản thực</x:v>
      </x:c>
      <x:c r="U337" s="11" t="str"/>
      <x:c r="V337" s="12" t="str"/>
      <x:c r="W337" s="11" t="str"/>
      <x:c r="X337" s="11" t="str"/>
      <x:c r="Y337" s="3" t="str">
        <x:v>Nguồn: admin/src/app/api/admin/notifications/route.ts. </x:v>
      </x:c>
    </x:row>
    <x:row r="338" ht="49" customHeight="1">
      <x:c r="A338" s="3" t="n">
        <x:v>337</x:v>
      </x:c>
      <x:c r="B338" s="3" t="str">
        <x:v>TC_AUDIT_004</x:v>
      </x:c>
      <x:c r="C338" s="3" t="str">
        <x:v>AUDIT</x:v>
      </x:c>
      <x:c r="D338" s="3" t="str">
        <x:v>Phân trang thông báo</x:v>
      </x:c>
      <x:c r="E338" s="3" t="str">
        <x:v>Phân trang thông báo</x:v>
      </x:c>
      <x:c r="F338" s="3" t="str">
        <x:v>Boundary — limit=6</x:v>
      </x:c>
      <x:c r="G338" s="3" t="str">
        <x:v>limit=6</x:v>
      </x:c>
      <x:c r="H338" s="3" t="str">
        <x:v>AUD-001</x:v>
      </x:c>
      <x:c r="I338" s="3" t="str">
        <x:v>QTV có quyền tương ứng</x:v>
      </x:c>
      <x:c r="J338" s="3" t="str">
        <x:v>Boundary</x:v>
      </x:c>
      <x:c r="K338" s="3" t="str">
        <x:v>Medium</x:v>
      </x:c>
      <x:c r="L338" s="3" t="str">
        <x:v>Medium</x:v>
      </x:c>
      <x:c r="M338" s="3" t="str">
        <x:v>Môi trường QA cô lập, DB/MinIO sẵn sàng; dữ liệu fixture đã tạo. Đăng nhập tài khoản ACTIVE, mustChangePassword=false.</x:v>
      </x:c>
      <x:c r="N338" s="3" t="str">
        <x:v>limit=6; 60 logs fixture</x:v>
      </x:c>
      <x:c r="O338" s="3" t="str">
        <x:v>1. Seed60 audit logs
2. GET /api/admin/notifications?limit=6</x:v>
      </x:c>
      <x:c r="P338" s="3" t="str">
        <x:v>HTTP200; số notification=6; sắp createdAt giảm dần.</x:v>
      </x:c>
      <x:c r="Q338" s="11" t="str"/>
      <x:c r="R338" s="8" t="str">
        <x:v>NOT RUN</x:v>
      </x:c>
      <x:c r="S338" s="11" t="str">
        <x:v>QA/UAT — cần điền URL/build</x:v>
      </x:c>
      <x:c r="T338" s="11" t="str">
        <x:v>Cần điền phiên bản thực</x:v>
      </x:c>
      <x:c r="U338" s="11" t="str"/>
      <x:c r="V338" s="12" t="str"/>
      <x:c r="W338" s="11" t="str"/>
      <x:c r="X338" s="11" t="str"/>
      <x:c r="Y338" s="3" t="str">
        <x:v>Nguồn: admin/src/app/api/admin/notifications/route.ts. </x:v>
      </x:c>
    </x:row>
    <x:row r="339" ht="49" customHeight="1">
      <x:c r="A339" s="3" t="n">
        <x:v>338</x:v>
      </x:c>
      <x:c r="B339" s="3" t="str">
        <x:v>TC_AUDIT_005</x:v>
      </x:c>
      <x:c r="C339" s="3" t="str">
        <x:v>AUDIT</x:v>
      </x:c>
      <x:c r="D339" s="3" t="str">
        <x:v>Phân trang thông báo</x:v>
      </x:c>
      <x:c r="E339" s="3" t="str">
        <x:v>Phân trang thông báo</x:v>
      </x:c>
      <x:c r="F339" s="3" t="str">
        <x:v>Boundary — limit=49</x:v>
      </x:c>
      <x:c r="G339" s="3" t="str">
        <x:v>limit=49</x:v>
      </x:c>
      <x:c r="H339" s="3" t="str">
        <x:v>AUD-001</x:v>
      </x:c>
      <x:c r="I339" s="3" t="str">
        <x:v>QTV có quyền tương ứng</x:v>
      </x:c>
      <x:c r="J339" s="3" t="str">
        <x:v>Boundary</x:v>
      </x:c>
      <x:c r="K339" s="3" t="str">
        <x:v>Medium</x:v>
      </x:c>
      <x:c r="L339" s="3" t="str">
        <x:v>Medium</x:v>
      </x:c>
      <x:c r="M339" s="3" t="str">
        <x:v>Môi trường QA cô lập, DB/MinIO sẵn sàng; dữ liệu fixture đã tạo. Đăng nhập tài khoản ACTIVE, mustChangePassword=false.</x:v>
      </x:c>
      <x:c r="N339" s="3" t="str">
        <x:v>limit=49; 60 logs fixture</x:v>
      </x:c>
      <x:c r="O339" s="3" t="str">
        <x:v>1. Seed60 audit logs
2. GET /api/admin/notifications?limit=49</x:v>
      </x:c>
      <x:c r="P339" s="3" t="str">
        <x:v>HTTP200; số notification=49; sắp createdAt giảm dần.</x:v>
      </x:c>
      <x:c r="Q339" s="11" t="str"/>
      <x:c r="R339" s="8" t="str">
        <x:v>NOT RUN</x:v>
      </x:c>
      <x:c r="S339" s="11" t="str">
        <x:v>QA/UAT — cần điền URL/build</x:v>
      </x:c>
      <x:c r="T339" s="11" t="str">
        <x:v>Cần điền phiên bản thực</x:v>
      </x:c>
      <x:c r="U339" s="11" t="str"/>
      <x:c r="V339" s="12" t="str"/>
      <x:c r="W339" s="11" t="str"/>
      <x:c r="X339" s="11" t="str"/>
      <x:c r="Y339" s="3" t="str">
        <x:v>Nguồn: admin/src/app/api/admin/notifications/route.ts. </x:v>
      </x:c>
    </x:row>
    <x:row r="340" ht="49" customHeight="1">
      <x:c r="A340" s="3" t="n">
        <x:v>339</x:v>
      </x:c>
      <x:c r="B340" s="3" t="str">
        <x:v>TC_AUDIT_006</x:v>
      </x:c>
      <x:c r="C340" s="3" t="str">
        <x:v>AUDIT</x:v>
      </x:c>
      <x:c r="D340" s="3" t="str">
        <x:v>Phân trang thông báo</x:v>
      </x:c>
      <x:c r="E340" s="3" t="str">
        <x:v>Phân trang thông báo</x:v>
      </x:c>
      <x:c r="F340" s="3" t="str">
        <x:v>Boundary — limit=50</x:v>
      </x:c>
      <x:c r="G340" s="3" t="str">
        <x:v>limit=50</x:v>
      </x:c>
      <x:c r="H340" s="3" t="str">
        <x:v>AUD-001</x:v>
      </x:c>
      <x:c r="I340" s="3" t="str">
        <x:v>QTV có quyền tương ứng</x:v>
      </x:c>
      <x:c r="J340" s="3" t="str">
        <x:v>Boundary</x:v>
      </x:c>
      <x:c r="K340" s="3" t="str">
        <x:v>Medium</x:v>
      </x:c>
      <x:c r="L340" s="3" t="str">
        <x:v>Medium</x:v>
      </x:c>
      <x:c r="M340" s="3" t="str">
        <x:v>Môi trường QA cô lập, DB/MinIO sẵn sàng; dữ liệu fixture đã tạo. Đăng nhập tài khoản ACTIVE, mustChangePassword=false.</x:v>
      </x:c>
      <x:c r="N340" s="3" t="str">
        <x:v>limit=50; 60 logs fixture</x:v>
      </x:c>
      <x:c r="O340" s="3" t="str">
        <x:v>1. Seed60 audit logs
2. GET /api/admin/notifications?limit=50</x:v>
      </x:c>
      <x:c r="P340" s="3" t="str">
        <x:v>HTTP200; số notification=50; sắp createdAt giảm dần.</x:v>
      </x:c>
      <x:c r="Q340" s="11" t="str"/>
      <x:c r="R340" s="8" t="str">
        <x:v>NOT RUN</x:v>
      </x:c>
      <x:c r="S340" s="11" t="str">
        <x:v>QA/UAT — cần điền URL/build</x:v>
      </x:c>
      <x:c r="T340" s="11" t="str">
        <x:v>Cần điền phiên bản thực</x:v>
      </x:c>
      <x:c r="U340" s="11" t="str"/>
      <x:c r="V340" s="12" t="str"/>
      <x:c r="W340" s="11" t="str"/>
      <x:c r="X340" s="11" t="str"/>
      <x:c r="Y340" s="3" t="str">
        <x:v>Nguồn: admin/src/app/api/admin/notifications/route.ts. </x:v>
      </x:c>
    </x:row>
    <x:row r="341" ht="49" customHeight="1">
      <x:c r="A341" s="3" t="n">
        <x:v>340</x:v>
      </x:c>
      <x:c r="B341" s="3" t="str">
        <x:v>TC_AUDIT_007</x:v>
      </x:c>
      <x:c r="C341" s="3" t="str">
        <x:v>AUDIT</x:v>
      </x:c>
      <x:c r="D341" s="3" t="str">
        <x:v>Phân trang thông báo</x:v>
      </x:c>
      <x:c r="E341" s="3" t="str">
        <x:v>Phân trang thông báo</x:v>
      </x:c>
      <x:c r="F341" s="3" t="str">
        <x:v>Boundary — limit=51</x:v>
      </x:c>
      <x:c r="G341" s="3" t="str">
        <x:v>limit=51</x:v>
      </x:c>
      <x:c r="H341" s="3" t="str">
        <x:v>AUD-001</x:v>
      </x:c>
      <x:c r="I341" s="3" t="str">
        <x:v>QTV có quyền tương ứng</x:v>
      </x:c>
      <x:c r="J341" s="3" t="str">
        <x:v>Boundary</x:v>
      </x:c>
      <x:c r="K341" s="3" t="str">
        <x:v>Medium</x:v>
      </x:c>
      <x:c r="L341" s="3" t="str">
        <x:v>Medium</x:v>
      </x:c>
      <x:c r="M341" s="3" t="str">
        <x:v>Môi trường QA cô lập, DB/MinIO sẵn sàng; dữ liệu fixture đã tạo. Đăng nhập tài khoản ACTIVE, mustChangePassword=false.</x:v>
      </x:c>
      <x:c r="N341" s="3" t="str">
        <x:v>limit=51; 60 logs fixture</x:v>
      </x:c>
      <x:c r="O341" s="3" t="str">
        <x:v>1. Seed60 audit logs
2. GET /api/admin/notifications?limit=51</x:v>
      </x:c>
      <x:c r="P341" s="3" t="str">
        <x:v>HTTP200; số notification=50; sắp createdAt giảm dần.</x:v>
      </x:c>
      <x:c r="Q341" s="11" t="str"/>
      <x:c r="R341" s="8" t="str">
        <x:v>NOT RUN</x:v>
      </x:c>
      <x:c r="S341" s="11" t="str">
        <x:v>QA/UAT — cần điền URL/build</x:v>
      </x:c>
      <x:c r="T341" s="11" t="str">
        <x:v>Cần điền phiên bản thực</x:v>
      </x:c>
      <x:c r="U341" s="11" t="str"/>
      <x:c r="V341" s="12" t="str"/>
      <x:c r="W341" s="11" t="str"/>
      <x:c r="X341" s="11" t="str"/>
      <x:c r="Y341" s="3" t="str">
        <x:v>Nguồn: admin/src/app/api/admin/notifications/route.ts. </x:v>
      </x:c>
    </x:row>
    <x:row r="342" ht="49" customHeight="1">
      <x:c r="A342" s="3" t="n">
        <x:v>341</x:v>
      </x:c>
      <x:c r="B342" s="3" t="str">
        <x:v>TC_API_085</x:v>
      </x:c>
      <x:c r="C342" s="3" t="str">
        <x:v>API</x:v>
      </x:c>
      <x:c r="D342" s="3" t="str">
        <x:v>Lỗi dữ liệu</x:v>
      </x:c>
      <x:c r="E342" s="3" t="str">
        <x:v>Lỗi dữ liệu</x:v>
      </x:c>
      <x:c r="F342" s="3" t="str">
        <x:v>Negative — API resource ID sai</x:v>
      </x:c>
      <x:c r="G342" s="3" t="str">
        <x:v>API resource ID sai</x:v>
      </x:c>
      <x:c r="H342" s="3" t="str">
        <x:v>OBS-API</x:v>
      </x:c>
      <x:c r="I342" s="3" t="str">
        <x:v>QTV có quyền tương ứng</x:v>
      </x:c>
      <x:c r="J342" s="3" t="str">
        <x:v>Negative</x:v>
      </x:c>
      <x:c r="K342" s="3" t="str">
        <x:v>Medium</x:v>
      </x:c>
      <x:c r="L342" s="3" t="str">
        <x:v>Medium</x:v>
      </x:c>
      <x:c r="M342" s="3" t="str">
        <x:v>Môi trường QA cô lập, DB/MinIO sẵn sàng; dữ liệu fixture đã tạo. Đăng nhập tài khoản ACTIVE, mustChangePassword=false.</x:v>
      </x:c>
      <x:c r="N342" s="3" t="str">
        <x:v>Dữ liệu QA tổng hợp; xem fixture trong README.</x:v>
      </x:c>
      <x:c r="O342" s="3" t="str">
        <x:v>1. GET /api/admin/resources/qa-missing</x:v>
      </x:c>
      <x:c r="P342" s="3" t="str">
        <x:v>HTTP404 RESOURCE_NOT_FOUND.</x:v>
      </x:c>
      <x:c r="Q342" s="11" t="str"/>
      <x:c r="R342" s="8" t="str">
        <x:v>NOT RUN</x:v>
      </x:c>
      <x:c r="S342" s="11" t="str">
        <x:v>QA/UAT — cần điền URL/build</x:v>
      </x:c>
      <x:c r="T342" s="11" t="str">
        <x:v>Cần điền phiên bản thực</x:v>
      </x:c>
      <x:c r="U342" s="11" t="str"/>
      <x:c r="V342" s="12" t="str"/>
      <x:c r="W342" s="11" t="str"/>
      <x:c r="X342" s="11" t="str"/>
      <x:c r="Y342" s="3" t="str">
        <x:v>Nguồn: backend/src/modules/cms/cms.routes.ts. </x:v>
      </x:c>
    </x:row>
    <x:row r="343" ht="49" customHeight="1">
      <x:c r="A343" s="3" t="n">
        <x:v>342</x:v>
      </x:c>
      <x:c r="B343" s="3" t="str">
        <x:v>TC_API_086</x:v>
      </x:c>
      <x:c r="C343" s="3" t="str">
        <x:v>API</x:v>
      </x:c>
      <x:c r="D343" s="3" t="str">
        <x:v>Lỗi dữ liệu</x:v>
      </x:c>
      <x:c r="E343" s="3" t="str">
        <x:v>Lỗi dữ liệu</x:v>
      </x:c>
      <x:c r="F343" s="3" t="str">
        <x:v>Negative — API tin ID sai</x:v>
      </x:c>
      <x:c r="G343" s="3" t="str">
        <x:v>API tin ID sai</x:v>
      </x:c>
      <x:c r="H343" s="3" t="str">
        <x:v>OBS-API</x:v>
      </x:c>
      <x:c r="I343" s="3" t="str">
        <x:v>QTV có quyền tương ứng</x:v>
      </x:c>
      <x:c r="J343" s="3" t="str">
        <x:v>Negative</x:v>
      </x:c>
      <x:c r="K343" s="3" t="str">
        <x:v>Medium</x:v>
      </x:c>
      <x:c r="L343" s="3" t="str">
        <x:v>Medium</x:v>
      </x:c>
      <x:c r="M343" s="3" t="str">
        <x:v>Môi trường QA cô lập, DB/MinIO sẵn sàng; dữ liệu fixture đã tạo. Đăng nhập tài khoản ACTIVE, mustChangePassword=false.</x:v>
      </x:c>
      <x:c r="N343" s="3" t="str">
        <x:v>Dữ liệu QA tổng hợp; xem fixture trong README.</x:v>
      </x:c>
      <x:c r="O343" s="3" t="str">
        <x:v>1. GET /api/admin/news/qa-missing</x:v>
      </x:c>
      <x:c r="P343" s="3" t="str">
        <x:v>HTTP404 NEWS_NOT_FOUND.</x:v>
      </x:c>
      <x:c r="Q343" s="11" t="str"/>
      <x:c r="R343" s="8" t="str">
        <x:v>NOT RUN</x:v>
      </x:c>
      <x:c r="S343" s="11" t="str">
        <x:v>QA/UAT — cần điền URL/build</x:v>
      </x:c>
      <x:c r="T343" s="11" t="str">
        <x:v>Cần điền phiên bản thực</x:v>
      </x:c>
      <x:c r="U343" s="11" t="str"/>
      <x:c r="V343" s="12" t="str"/>
      <x:c r="W343" s="11" t="str"/>
      <x:c r="X343" s="11" t="str"/>
      <x:c r="Y343" s="3" t="str">
        <x:v>Nguồn: backend/src/modules/cms/cms.routes.ts. </x:v>
      </x:c>
    </x:row>
    <x:row r="344" ht="49" customHeight="1">
      <x:c r="A344" s="3" t="n">
        <x:v>343</x:v>
      </x:c>
      <x:c r="B344" s="3" t="str">
        <x:v>TC_API_087</x:v>
      </x:c>
      <x:c r="C344" s="3" t="str">
        <x:v>API</x:v>
      </x:c>
      <x:c r="D344" s="3" t="str">
        <x:v>Lỗi dữ liệu</x:v>
      </x:c>
      <x:c r="E344" s="3" t="str">
        <x:v>Lỗi dữ liệu</x:v>
      </x:c>
      <x:c r="F344" s="3" t="str">
        <x:v>Negative — Category bị xóa trước lưu</x:v>
      </x:c>
      <x:c r="G344" s="3" t="str">
        <x:v>Category bị xóa trước lưu</x:v>
      </x:c>
      <x:c r="H344" s="3" t="str">
        <x:v>OBS-API</x:v>
      </x:c>
      <x:c r="I344" s="3" t="str">
        <x:v>QTV có quyền tương ứng</x:v>
      </x:c>
      <x:c r="J344" s="3" t="str">
        <x:v>Negative</x:v>
      </x:c>
      <x:c r="K344" s="3" t="str">
        <x:v>Medium</x:v>
      </x:c>
      <x:c r="L344" s="3" t="str">
        <x:v>Medium</x:v>
      </x:c>
      <x:c r="M344" s="3" t="str">
        <x:v>Môi trường QA cô lập, DB/MinIO sẵn sàng; dữ liệu fixture đã tạo. Đăng nhập tài khoản ACTIVE, mustChangePassword=false.</x:v>
      </x:c>
      <x:c r="N344" s="3" t="str">
        <x:v>Dữ liệu QA tổng hợp; xem fixture trong README.</x:v>
      </x:c>
      <x:c r="O344" s="3" t="str">
        <x:v>1. Mở form tạo resource
2. Xóa category bằng phiên khác
3. Lưu resource</x:v>
      </x:c>
      <x:c r="P344" s="3" t="str">
        <x:v>HTTP400 RESOURCE_CATEGORY_NOT_FOUND; không lưu FK không tồn tại.</x:v>
      </x:c>
      <x:c r="Q344" s="11" t="str"/>
      <x:c r="R344" s="8" t="str">
        <x:v>NOT RUN</x:v>
      </x:c>
      <x:c r="S344" s="11" t="str">
        <x:v>QA/UAT — cần điền URL/build</x:v>
      </x:c>
      <x:c r="T344" s="11" t="str">
        <x:v>Cần điền phiên bản thực</x:v>
      </x:c>
      <x:c r="U344" s="11" t="str"/>
      <x:c r="V344" s="12" t="str"/>
      <x:c r="W344" s="11" t="str"/>
      <x:c r="X344" s="11" t="str"/>
      <x:c r="Y344" s="3" t="str">
        <x:v>Nguồn: backend/src/modules/cms/cms.routes.ts. </x:v>
      </x:c>
    </x:row>
    <x:row r="345" ht="49" customHeight="1">
      <x:c r="A345" s="3" t="n">
        <x:v>344</x:v>
      </x:c>
      <x:c r="B345" s="3" t="str">
        <x:v>TC_API_088</x:v>
      </x:c>
      <x:c r="C345" s="3" t="str">
        <x:v>API</x:v>
      </x:c>
      <x:c r="D345" s="3" t="str">
        <x:v>Lỗi dữ liệu</x:v>
      </x:c>
      <x:c r="E345" s="3" t="str">
        <x:v>Lỗi dữ liệu</x:v>
      </x:c>
      <x:c r="F345" s="3" t="str">
        <x:v>Negative — User đã viết bài bị xóa</x:v>
      </x:c>
      <x:c r="G345" s="3" t="str">
        <x:v>User đã viết bài bị xóa</x:v>
      </x:c>
      <x:c r="H345" s="3" t="str">
        <x:v>USR-001</x:v>
      </x:c>
      <x:c r="I345" s="3" t="str">
        <x:v>QTV có quyền tương ứng</x:v>
      </x:c>
      <x:c r="J345" s="3" t="str">
        <x:v>Negative</x:v>
      </x:c>
      <x:c r="K345" s="3" t="str">
        <x:v>Medium</x:v>
      </x:c>
      <x:c r="L345" s="3" t="str">
        <x:v>Medium</x:v>
      </x:c>
      <x:c r="M345" s="3" t="str">
        <x:v>Môi trường QA cô lập, DB/MinIO sẵn sàng; dữ liệu fixture đã tạo. Đăng nhập tài khoản ACTIVE, mustChangePassword=false.</x:v>
      </x:c>
      <x:c r="N345" s="3" t="str">
        <x:v>Dữ liệu QA tổng hợp; xem fixture trong README.</x:v>
      </x:c>
      <x:c r="O345" s="3" t="str">
        <x:v>1. Tạo USER có NewsPost
2. Gửi DELETE USER</x:v>
      </x:c>
      <x:c r="P345" s="3" t="str">
        <x:v>Không mất bài âm thầm; phải xử lý ràng buộc author. Cần chốt chuyển ownership hay cấm xóa.</x:v>
      </x:c>
      <x:c r="Q345" s="11" t="str"/>
      <x:c r="R345" s="9" t="str">
        <x:v>NEED CONFIRMATION</x:v>
      </x:c>
      <x:c r="S345" s="11" t="str">
        <x:v>QA/UAT — cần điền URL/build</x:v>
      </x:c>
      <x:c r="T345" s="11" t="str">
        <x:v>Cần điền phiên bản thực</x:v>
      </x:c>
      <x:c r="U345" s="11" t="str"/>
      <x:c r="V345" s="12" t="str"/>
      <x:c r="W345" s="11" t="str"/>
      <x:c r="X345" s="11" t="str"/>
      <x:c r="Y345" s="3" t="str">
        <x:v>Nguồn: admin/src/app/api/admin. Need Confirmation: Chốt chính sách xóa tài khoản có nội dung tham chiếu.</x:v>
      </x:c>
    </x:row>
    <x:row r="346" ht="49" customHeight="1">
      <x:c r="A346" s="3" t="n">
        <x:v>345</x:v>
      </x:c>
      <x:c r="B346" s="3" t="str">
        <x:v>TC_API_089</x:v>
      </x:c>
      <x:c r="C346" s="3" t="str">
        <x:v>API</x:v>
      </x:c>
      <x:c r="D346" s="3" t="str">
        <x:v>Lỗi dữ liệu</x:v>
      </x:c>
      <x:c r="E346" s="3" t="str">
        <x:v>Lỗi dữ liệu</x:v>
      </x:c>
      <x:c r="F346" s="3" t="str">
        <x:v>Negative — ID notifications NaN</x:v>
      </x:c>
      <x:c r="G346" s="3" t="str">
        <x:v>ID notifications NaN</x:v>
      </x:c>
      <x:c r="H346" s="3" t="str">
        <x:v>OBS-API</x:v>
      </x:c>
      <x:c r="I346" s="3" t="str">
        <x:v>QTV có quyền tương ứng</x:v>
      </x:c>
      <x:c r="J346" s="3" t="str">
        <x:v>Negative</x:v>
      </x:c>
      <x:c r="K346" s="3" t="str">
        <x:v>Medium</x:v>
      </x:c>
      <x:c r="L346" s="3" t="str">
        <x:v>Medium</x:v>
      </x:c>
      <x:c r="M346" s="3" t="str">
        <x:v>Môi trường QA cô lập, DB/MinIO sẵn sàng; dữ liệu fixture đã tạo. Đăng nhập tài khoản ACTIVE, mustChangePassword=false.</x:v>
      </x:c>
      <x:c r="N346" s="3" t="str">
        <x:v>Dữ liệu QA tổng hợp; xem fixture trong README.</x:v>
      </x:c>
      <x:c r="O346" s="3" t="str">
        <x:v>1. GET /api/admin/notifications?limit=abc</x:v>
      </x:c>
      <x:c r="P346" s="3" t="str">
        <x:v>Trả lỗi400/fallback hợp lệ, không Prisma500; ghi defect nếu parseInt NaN đi vào take.</x:v>
      </x:c>
      <x:c r="Q346" s="11" t="str"/>
      <x:c r="R346" s="8" t="str">
        <x:v>NOT RUN</x:v>
      </x:c>
      <x:c r="S346" s="11" t="str">
        <x:v>QA/UAT — cần điền URL/build</x:v>
      </x:c>
      <x:c r="T346" s="11" t="str">
        <x:v>Cần điền phiên bản thực</x:v>
      </x:c>
      <x:c r="U346" s="11" t="str"/>
      <x:c r="V346" s="12" t="str"/>
      <x:c r="W346" s="11" t="str"/>
      <x:c r="X346" s="11" t="str"/>
      <x:c r="Y346" s="3" t="str">
        <x:v>Nguồn: admin/src/app/api/admin. </x:v>
      </x:c>
    </x:row>
  </x:sheetData>
  <x:conditionalFormatting sqref="R2:R346">
    <x:cfRule type="cellIs" dxfId="10" priority="1" operator="equal">
      <x:formula>"PASS"</x:formula>
    </x:cfRule>
    <x:cfRule type="cellIs" dxfId="11" priority="2" operator="equal">
      <x:formula>"FAIL"</x:formula>
    </x:cfRule>
    <x:cfRule type="cellIs" dxfId="12" priority="3" operator="equal">
      <x:formula>"BLOCKED"</x:formula>
    </x:cfRule>
    <x:cfRule type="cellIs" dxfId="13" priority="4" operator="equal">
      <x:formula>"NOT RUN"</x:formula>
    </x:cfRule>
    <x:cfRule type="cellIs" dxfId="14" priority="5" operator="equal">
      <x:formula>"NEED CONFIRMATION"</x:formula>
    </x:cfRule>
  </x:conditionalFormatting>
  <x:dataValidations count="4">
    <x:dataValidation type="list" sqref="J2:J346">
      <x:formula1>"Accessibility,Alternative,Boundary,Compatibility,Concurrency,Integration,Localization,Negative,Performance,Positive,Responsive,Review,Security,UI"</x:formula1>
    </x:dataValidation>
    <x:dataValidation type="list" sqref="K2:K346">
      <x:formula1>"Critical,High,Medium,Low"</x:formula1>
    </x:dataValidation>
    <x:dataValidation type="list" sqref="L2:L346">
      <x:formula1>"Critical,High,Medium,Low"</x:formula1>
    </x:dataValidation>
    <x:dataValidation type="list" sqref="R2:R346">
      <x:formula1>"PASS,FAIL,BLOCKED,NOT RUN,NEED CONFIRMATION"</x:formula1>
    </x:dataValidation>
  </x:dataValidations>
  <x:pageMargins left="0.7" right="0.7" top="0.75" bottom="0.75" header="0.3" footer="0.3"/>
  <x:tableParts count="1">
    <x:tablePart xmlns:r="http://schemas.openxmlformats.org/officeDocument/2006/relationships" r:id="Ra81fc3170a8a48f7"/>
  </x:tableParts>
</x:worksheet>
</file>

<file path=xl/worksheets/sheet6.xml><?xml version="1.0" encoding="utf-8"?>
<x:worksheet xmlns:x="http://schemas.openxmlformats.org/spreadsheetml/2006/main">
  <x:sheetPr>
    <x:tabColor rgb="FF547394"/>
  </x:sheetPr>
  <x:sheetViews>
    <x:sheetView showGridLines="0" workbookViewId="0">
      <x:pane xSplit="2" ySplit="1" topLeftCell="C2" activePane="bottomRight" state="frozen"/>
    </x:sheetView>
  </x:sheetViews>
  <x:sheetFormatPr defaultRowHeight="15"/>
  <x:cols>
    <x:col min="1" max="1" width="7" hidden="0" customWidth="1"/>
    <x:col min="2" max="2" width="23" hidden="0" customWidth="1"/>
    <x:col min="3" max="3" width="18" hidden="0" customWidth="1"/>
    <x:col min="4" max="4" width="27" hidden="0" customWidth="1"/>
    <x:col min="5" max="5" width="27" hidden="0" customWidth="1"/>
    <x:col min="6" max="6" width="38" hidden="0" customWidth="1"/>
    <x:col min="7" max="7" width="42" hidden="0" customWidth="1"/>
    <x:col min="8" max="8" width="24" hidden="0" customWidth="1"/>
    <x:col min="9" max="9" width="30" hidden="0" customWidth="1"/>
    <x:col min="10" max="10" width="20" hidden="0" customWidth="1"/>
    <x:col min="11" max="11" width="15" hidden="0" customWidth="1"/>
    <x:col min="12" max="12" width="15" hidden="0" customWidth="1"/>
    <x:col min="13" max="13" width="58" hidden="0" customWidth="1"/>
    <x:col min="14" max="14" width="62" hidden="0" customWidth="1"/>
    <x:col min="15" max="15" width="72" hidden="0" customWidth="1"/>
    <x:col min="16" max="16" width="74" hidden="0" customWidth="1"/>
    <x:col min="17" max="17" width="55" hidden="0" customWidth="1"/>
    <x:col min="18" max="18" width="24" hidden="0" customWidth="1"/>
    <x:col min="19" max="19" width="30" hidden="0" customWidth="1"/>
    <x:col min="20" max="20" width="27" hidden="0" customWidth="1"/>
    <x:col min="21" max="21" width="20" hidden="0" customWidth="1"/>
    <x:col min="22" max="22" width="16" hidden="0" customWidth="1"/>
    <x:col min="23" max="23" width="35" hidden="0" customWidth="1"/>
    <x:col min="24" max="24" width="20" hidden="0" customWidth="1"/>
    <x:col min="25" max="25" width="78" hidden="0" customWidth="1"/>
  </x:cols>
  <x:sheetData>
    <x:row r="1" ht="34" customHeight="1">
      <x:c r="A1" s="7" t="str">
        <x:v>STT</x:v>
      </x:c>
      <x:c r="B1" s="7" t="str">
        <x:v>Test Case ID</x:v>
      </x:c>
      <x:c r="C1" s="7" t="str">
        <x:v>Module</x:v>
      </x:c>
      <x:c r="D1" s="7" t="str">
        <x:v>Sub-module</x:v>
      </x:c>
      <x:c r="E1" s="7" t="str">
        <x:v>Feature</x:v>
      </x:c>
      <x:c r="F1" s="7" t="str">
        <x:v>Test Scenario</x:v>
      </x:c>
      <x:c r="G1" s="7" t="str">
        <x:v>Test Case Title</x:v>
      </x:c>
      <x:c r="H1" s="7" t="str">
        <x:v>Requirement/User Story ID</x:v>
      </x:c>
      <x:c r="I1" s="7" t="str">
        <x:v>User Role</x:v>
      </x:c>
      <x:c r="J1" s="7" t="str">
        <x:v>Test Type</x:v>
      </x:c>
      <x:c r="K1" s="7" t="str">
        <x:v>Priority</x:v>
      </x:c>
      <x:c r="L1" s="7" t="str">
        <x:v>Severity</x:v>
      </x:c>
      <x:c r="M1" s="7" t="str">
        <x:v>Preconditions</x:v>
      </x:c>
      <x:c r="N1" s="7" t="str">
        <x:v>Test Data</x:v>
      </x:c>
      <x:c r="O1" s="7" t="str">
        <x:v>Test Steps</x:v>
      </x:c>
      <x:c r="P1" s="7" t="str">
        <x:v>Expected Result</x:v>
      </x:c>
      <x:c r="Q1" s="7" t="str">
        <x:v>Actual Result</x:v>
      </x:c>
      <x:c r="R1" s="7" t="str">
        <x:v>Status</x:v>
      </x:c>
      <x:c r="S1" s="7" t="str">
        <x:v>Environment</x:v>
      </x:c>
      <x:c r="T1" s="7" t="str">
        <x:v>Browser/Device</x:v>
      </x:c>
      <x:c r="U1" s="7" t="str">
        <x:v>Tester</x:v>
      </x:c>
      <x:c r="V1" s="7" t="str">
        <x:v>Test Date</x:v>
      </x:c>
      <x:c r="W1" s="7" t="str">
        <x:v>Evidence/Attachment</x:v>
      </x:c>
      <x:c r="X1" s="7" t="str">
        <x:v>Bug ID</x:v>
      </x:c>
      <x:c r="Y1" s="7" t="str">
        <x:v>Notes</x:v>
      </x:c>
    </x:row>
    <x:row r="2" ht="36" customHeight="1">
      <x:c r="A2" s="3" t="n">
        <x:v>1</x:v>
      </x:c>
      <x:c r="B2" s="3" t="str">
        <x:v>TC_PERMISSION_001</x:v>
      </x:c>
      <x:c r="C2" s="3" t="str">
        <x:v>PERMISSION</x:v>
      </x:c>
      <x:c r="D2" s="3" t="str">
        <x:v>Xác thực server</x:v>
      </x:c>
      <x:c r="E2" s="3" t="str">
        <x:v>Xác thực server</x:v>
      </x:c>
      <x:c r="F2" s="3" t="str">
        <x:v>Security — GET BACKEND /api/admin/auth/me không có phiên</x:v>
      </x:c>
      <x:c r="G2" s="3" t="str">
        <x:v>GET BACKEND /api/admin/auth/me không có phiên</x:v>
      </x:c>
      <x:c r="H2" s="3" t="str">
        <x:v>NFR-001</x:v>
      </x:c>
      <x:c r="I2" s="3" t="str">
        <x:v>Khách truy cập</x:v>
      </x:c>
      <x:c r="J2" s="3" t="str">
        <x:v>Security</x:v>
      </x:c>
      <x:c r="K2" s="3" t="str">
        <x:v>Critical</x:v>
      </x:c>
      <x:c r="L2" s="3" t="str">
        <x:v>Critical</x:v>
      </x:c>
      <x:c r="M2" s="3" t="str">
        <x:v>Môi trường QA cô lập, DB/MinIO sẵn sàng; dữ liệu fixture đã tạo. Không đăng nhập.</x:v>
      </x:c>
      <x:c r="N2" s="3" t="str">
        <x:v>Fixture tương ứng route; tham số mặc định; ID/path hợp lệ trong QA</x:v>
      </x:c>
      <x:c r="O2" s="3" t="str">
        <x:v>1. Xóa cookie hoàn toàn
2. Gửi GET BACKEND /api/admin/auth/me với dữ liệu hợp lệ</x:v>
      </x:c>
      <x:c r="P2" s="3" t="str">
        <x:v>HTTP 401; không trả dữ liệu quản trị và không thay đổi DB/MinIO.</x:v>
      </x:c>
      <x:c r="Q2" s="11" t="str"/>
      <x:c r="R2" s="8" t="str">
        <x:v>NOT RUN</x:v>
      </x:c>
      <x:c r="S2" s="11" t="str">
        <x:v>QA/UAT — cần điền URL/build</x:v>
      </x:c>
      <x:c r="T2" s="11" t="str">
        <x:v>Cần điền phiên bản thực</x:v>
      </x:c>
      <x:c r="U2" s="11" t="str"/>
      <x:c r="V2" s="12" t="str"/>
      <x:c r="W2" s="11" t="str"/>
      <x:c r="X2" s="11" t="str"/>
      <x:c r="Y2" s="3" t="str">
        <x:v>Nguồn: backend/src/modules/auth/auth.routes.ts:19. </x:v>
      </x:c>
    </x:row>
    <x:row r="3" ht="49" customHeight="1">
      <x:c r="A3" s="3" t="n">
        <x:v>2</x:v>
      </x:c>
      <x:c r="B3" s="3" t="str">
        <x:v>TC_PERMISSION_002</x:v>
      </x:c>
      <x:c r="C3" s="3" t="str">
        <x:v>PERMISSION</x:v>
      </x:c>
      <x:c r="D3" s="3" t="str">
        <x:v>Phiên hết hạn</x:v>
      </x:c>
      <x:c r="E3" s="3" t="str">
        <x:v>Phiên hết hạn</x:v>
      </x:c>
      <x:c r="F3" s="3" t="str">
        <x:v>Security — GET BACKEND /api/admin/auth/me hết hạn</x:v>
      </x:c>
      <x:c r="G3" s="3" t="str">
        <x:v>GET BACKEND /api/admin/auth/me hết hạn</x:v>
      </x:c>
      <x:c r="H3" s="3" t="str">
        <x:v>NFR-001</x:v>
      </x:c>
      <x:c r="I3" s="3" t="str">
        <x:v>QTV có quyền tương ứng</x:v>
      </x:c>
      <x:c r="J3" s="3" t="str">
        <x:v>Security</x:v>
      </x:c>
      <x:c r="K3" s="3" t="str">
        <x:v>High</x:v>
      </x:c>
      <x:c r="L3" s="3" t="str">
        <x:v>High</x:v>
      </x:c>
      <x:c r="M3" s="3" t="str">
        <x:v>Môi trường QA cô lập, DB/MinIO sẵn sàng; dữ liệu fixture đã tạo. Đăng nhập tài khoản ACTIVE, mustChangePassword=false.</x:v>
      </x:c>
      <x:c r="N3" s="3" t="str">
        <x:v>Fixture tương ứng route; tham số mặc định; ID/path hợp lệ trong QA</x:v>
      </x:c>
      <x:c r="O3" s="3" t="str">
        <x:v>1. Tạo cookie có Session.expiresAt đã qua
2. Gửi GET BACKEND /api/admin/auth/me</x:v>
      </x:c>
      <x:c r="P3" s="3" t="str">
        <x:v>HTTP 401; không có mutation; không trả dữ liệu quản trị.</x:v>
      </x:c>
      <x:c r="Q3" s="11" t="str"/>
      <x:c r="R3" s="8" t="str">
        <x:v>NOT RUN</x:v>
      </x:c>
      <x:c r="S3" s="11" t="str">
        <x:v>QA/UAT — cần điền URL/build</x:v>
      </x:c>
      <x:c r="T3" s="11" t="str">
        <x:v>Cần điền phiên bản thực</x:v>
      </x:c>
      <x:c r="U3" s="11" t="str"/>
      <x:c r="V3" s="12" t="str"/>
      <x:c r="W3" s="11" t="str"/>
      <x:c r="X3" s="11" t="str"/>
      <x:c r="Y3" s="3" t="str">
        <x:v>Nguồn: backend/src/modules/auth/auth.routes.ts:19. </x:v>
      </x:c>
    </x:row>
    <x:row r="4" ht="36" customHeight="1">
      <x:c r="A4" s="3" t="n">
        <x:v>3</x:v>
      </x:c>
      <x:c r="B4" s="3" t="str">
        <x:v>TC_PERMISSION_003</x:v>
      </x:c>
      <x:c r="C4" s="3" t="str">
        <x:v>PERMISSION</x:v>
      </x:c>
      <x:c r="D4" s="3" t="str">
        <x:v>Xác thực server</x:v>
      </x:c>
      <x:c r="E4" s="3" t="str">
        <x:v>Xác thực server</x:v>
      </x:c>
      <x:c r="F4" s="3" t="str">
        <x:v>Security — GET BACKEND /api/admin/dashboard không có phiên</x:v>
      </x:c>
      <x:c r="G4" s="3" t="str">
        <x:v>GET BACKEND /api/admin/dashboard không có phiên</x:v>
      </x:c>
      <x:c r="H4" s="3" t="str">
        <x:v>NFR-001</x:v>
      </x:c>
      <x:c r="I4" s="3" t="str">
        <x:v>Khách truy cập</x:v>
      </x:c>
      <x:c r="J4" s="3" t="str">
        <x:v>Security</x:v>
      </x:c>
      <x:c r="K4" s="3" t="str">
        <x:v>Critical</x:v>
      </x:c>
      <x:c r="L4" s="3" t="str">
        <x:v>Critical</x:v>
      </x:c>
      <x:c r="M4" s="3" t="str">
        <x:v>Môi trường QA cô lập, DB/MinIO sẵn sàng; dữ liệu fixture đã tạo. Không đăng nhập.</x:v>
      </x:c>
      <x:c r="N4" s="3" t="str">
        <x:v>Fixture tương ứng route; tham số mặc định; ID/path hợp lệ trong QA</x:v>
      </x:c>
      <x:c r="O4" s="3" t="str">
        <x:v>1. Xóa cookie hoàn toàn
2. Gửi GET BACKEND /api/admin/dashboard với dữ liệu hợp lệ</x:v>
      </x:c>
      <x:c r="P4" s="3" t="str">
        <x:v>HTTP 401; không trả dữ liệu quản trị và không thay đổi DB/MinIO.</x:v>
      </x:c>
      <x:c r="Q4" s="11" t="str"/>
      <x:c r="R4" s="8" t="str">
        <x:v>NOT RUN</x:v>
      </x:c>
      <x:c r="S4" s="11" t="str">
        <x:v>QA/UAT — cần điền URL/build</x:v>
      </x:c>
      <x:c r="T4" s="11" t="str">
        <x:v>Cần điền phiên bản thực</x:v>
      </x:c>
      <x:c r="U4" s="11" t="str"/>
      <x:c r="V4" s="12" t="str"/>
      <x:c r="W4" s="11" t="str"/>
      <x:c r="X4" s="11" t="str"/>
      <x:c r="Y4" s="3" t="str">
        <x:v>Nguồn: backend/src/modules/cms/cms.routes.ts:160. </x:v>
      </x:c>
    </x:row>
    <x:row r="5" ht="49" customHeight="1">
      <x:c r="A5" s="3" t="n">
        <x:v>4</x:v>
      </x:c>
      <x:c r="B5" s="3" t="str">
        <x:v>TC_PERMISSION_004</x:v>
      </x:c>
      <x:c r="C5" s="3" t="str">
        <x:v>PERMISSION</x:v>
      </x:c>
      <x:c r="D5" s="3" t="str">
        <x:v>Phiên hết hạn</x:v>
      </x:c>
      <x:c r="E5" s="3" t="str">
        <x:v>Phiên hết hạn</x:v>
      </x:c>
      <x:c r="F5" s="3" t="str">
        <x:v>Security — GET BACKEND /api/admin/dashboard hết hạn</x:v>
      </x:c>
      <x:c r="G5" s="3" t="str">
        <x:v>GET BACKEND /api/admin/dashboard hết hạn</x:v>
      </x:c>
      <x:c r="H5" s="3" t="str">
        <x:v>NFR-001</x:v>
      </x:c>
      <x:c r="I5" s="3" t="str">
        <x:v>QTV có quyền tương ứng</x:v>
      </x:c>
      <x:c r="J5" s="3" t="str">
        <x:v>Security</x:v>
      </x:c>
      <x:c r="K5" s="3" t="str">
        <x:v>High</x:v>
      </x:c>
      <x:c r="L5" s="3" t="str">
        <x:v>High</x:v>
      </x:c>
      <x:c r="M5" s="3" t="str">
        <x:v>Môi trường QA cô lập, DB/MinIO sẵn sàng; dữ liệu fixture đã tạo. Đăng nhập tài khoản ACTIVE, mustChangePassword=false.</x:v>
      </x:c>
      <x:c r="N5" s="3" t="str">
        <x:v>Fixture tương ứng route; tham số mặc định; ID/path hợp lệ trong QA</x:v>
      </x:c>
      <x:c r="O5" s="3" t="str">
        <x:v>1. Tạo cookie có Session.expiresAt đã qua
2. Gửi GET BACKEND /api/admin/dashboard</x:v>
      </x:c>
      <x:c r="P5" s="3" t="str">
        <x:v>HTTP 401; không có mutation; không trả dữ liệu quản trị.</x:v>
      </x:c>
      <x:c r="Q5" s="11" t="str"/>
      <x:c r="R5" s="8" t="str">
        <x:v>NOT RUN</x:v>
      </x:c>
      <x:c r="S5" s="11" t="str">
        <x:v>QA/UAT — cần điền URL/build</x:v>
      </x:c>
      <x:c r="T5" s="11" t="str">
        <x:v>Cần điền phiên bản thực</x:v>
      </x:c>
      <x:c r="U5" s="11" t="str"/>
      <x:c r="V5" s="12" t="str"/>
      <x:c r="W5" s="11" t="str"/>
      <x:c r="X5" s="11" t="str"/>
      <x:c r="Y5" s="3" t="str">
        <x:v>Nguồn: backend/src/modules/cms/cms.routes.ts:160. </x:v>
      </x:c>
    </x:row>
    <x:row r="6" ht="49" customHeight="1">
      <x:c r="A6" s="3" t="n">
        <x:v>5</x:v>
      </x:c>
      <x:c r="B6" s="3" t="str">
        <x:v>TC_PERMISSION_005</x:v>
      </x:c>
      <x:c r="C6" s="3" t="str">
        <x:v>PERMISSION</x:v>
      </x:c>
      <x:c r="D6" s="3" t="str">
        <x:v>RBAC từng hành động</x:v>
      </x:c>
      <x:c r="E6" s="3" t="str">
        <x:v>RBAC từng hành động</x:v>
      </x:c>
      <x:c r="F6" s="3" t="str">
        <x:v>Security — GET BACKEND /api/admin/dashboard thiếu dashboard.view</x:v>
      </x:c>
      <x:c r="G6" s="3" t="str">
        <x:v>GET BACKEND /api/admin/dashboard thiếu dashboard.view</x:v>
      </x:c>
      <x:c r="H6" s="3" t="str">
        <x:v>NFR-001</x:v>
      </x:c>
      <x:c r="I6" s="3" t="str">
        <x:v>Role QA thiếu permission cụ thể</x:v>
      </x:c>
      <x:c r="J6" s="3" t="str">
        <x:v>Security</x:v>
      </x:c>
      <x:c r="K6" s="3" t="str">
        <x:v>Critical</x:v>
      </x:c>
      <x:c r="L6" s="3" t="str">
        <x:v>Critical</x:v>
      </x:c>
      <x:c r="M6" s="3" t="str">
        <x:v>Môi trường QA cô lập, DB/MinIO sẵn sàng; dữ liệu fixture đã tạo. Đăng nhập tài khoản ACTIVE, mustChangePassword=false.</x:v>
      </x:c>
      <x:c r="N6" s="3" t="str">
        <x:v>Fixture tương ứng route; tham số mặc định; ID/path hợp lệ trong QA</x:v>
      </x:c>
      <x:c r="O6" s="3" t="str">
        <x:v>1. Đăng nhập tài khoản test có phiên hợp lệ nhưng thiếu riêng dashboard.view
2. Gửi GET BACKEND /api/admin/dashboard trực tiếp, bỏ qua UI</x:v>
      </x:c>
      <x:c r="P6" s="3" t="str">
        <x:v>HTTP 403; không tạo/sửa/xóa dữ liệu; quyền khác không thay thế quyền đang thiếu.</x:v>
      </x:c>
      <x:c r="Q6" s="11" t="str"/>
      <x:c r="R6" s="8" t="str">
        <x:v>NOT RUN</x:v>
      </x:c>
      <x:c r="S6" s="11" t="str">
        <x:v>QA/UAT — cần điền URL/build</x:v>
      </x:c>
      <x:c r="T6" s="11" t="str">
        <x:v>Cần điền phiên bản thực</x:v>
      </x:c>
      <x:c r="U6" s="11" t="str"/>
      <x:c r="V6" s="12" t="str"/>
      <x:c r="W6" s="11" t="str"/>
      <x:c r="X6" s="11" t="str"/>
      <x:c r="Y6" s="3" t="str">
        <x:v>Nguồn: backend/src/modules/cms/cms.routes.ts:160. </x:v>
      </x:c>
    </x:row>
    <x:row r="7" ht="36" customHeight="1">
      <x:c r="A7" s="3" t="n">
        <x:v>6</x:v>
      </x:c>
      <x:c r="B7" s="3" t="str">
        <x:v>TC_PERMISSION_006</x:v>
      </x:c>
      <x:c r="C7" s="3" t="str">
        <x:v>PERMISSION</x:v>
      </x:c>
      <x:c r="D7" s="3" t="str">
        <x:v>Xác thực server</x:v>
      </x:c>
      <x:c r="E7" s="3" t="str">
        <x:v>Xác thực server</x:v>
      </x:c>
      <x:c r="F7" s="3" t="str">
        <x:v>Security — GET BACKEND /api/admin/news không có phiên</x:v>
      </x:c>
      <x:c r="G7" s="3" t="str">
        <x:v>GET BACKEND /api/admin/news không có phiên</x:v>
      </x:c>
      <x:c r="H7" s="3" t="str">
        <x:v>NFR-001</x:v>
      </x:c>
      <x:c r="I7" s="3" t="str">
        <x:v>Khách truy cập</x:v>
      </x:c>
      <x:c r="J7" s="3" t="str">
        <x:v>Security</x:v>
      </x:c>
      <x:c r="K7" s="3" t="str">
        <x:v>Critical</x:v>
      </x:c>
      <x:c r="L7" s="3" t="str">
        <x:v>Critical</x:v>
      </x:c>
      <x:c r="M7" s="3" t="str">
        <x:v>Môi trường QA cô lập, DB/MinIO sẵn sàng; dữ liệu fixture đã tạo. Không đăng nhập.</x:v>
      </x:c>
      <x:c r="N7" s="3" t="str">
        <x:v>NEWS</x:v>
      </x:c>
      <x:c r="O7" s="3" t="str">
        <x:v>1. Xóa cookie hoàn toàn
2. Gửi GET BACKEND /api/admin/news với dữ liệu hợp lệ</x:v>
      </x:c>
      <x:c r="P7" s="3" t="str">
        <x:v>HTTP 401; không trả dữ liệu quản trị và không thay đổi DB/MinIO.</x:v>
      </x:c>
      <x:c r="Q7" s="11" t="str"/>
      <x:c r="R7" s="8" t="str">
        <x:v>NOT RUN</x:v>
      </x:c>
      <x:c r="S7" s="11" t="str">
        <x:v>QA/UAT — cần điền URL/build</x:v>
      </x:c>
      <x:c r="T7" s="11" t="str">
        <x:v>Cần điền phiên bản thực</x:v>
      </x:c>
      <x:c r="U7" s="11" t="str"/>
      <x:c r="V7" s="12" t="str"/>
      <x:c r="W7" s="11" t="str"/>
      <x:c r="X7" s="11" t="str"/>
      <x:c r="Y7" s="3" t="str">
        <x:v>Nguồn: backend/src/modules/cms/cms.routes.ts:295. </x:v>
      </x:c>
    </x:row>
    <x:row r="8" ht="49" customHeight="1">
      <x:c r="A8" s="3" t="n">
        <x:v>7</x:v>
      </x:c>
      <x:c r="B8" s="3" t="str">
        <x:v>TC_PERMISSION_007</x:v>
      </x:c>
      <x:c r="C8" s="3" t="str">
        <x:v>PERMISSION</x:v>
      </x:c>
      <x:c r="D8" s="3" t="str">
        <x:v>Phiên hết hạn</x:v>
      </x:c>
      <x:c r="E8" s="3" t="str">
        <x:v>Phiên hết hạn</x:v>
      </x:c>
      <x:c r="F8" s="3" t="str">
        <x:v>Security — GET BACKEND /api/admin/news hết hạn</x:v>
      </x:c>
      <x:c r="G8" s="3" t="str">
        <x:v>GET BACKEND /api/admin/news hết hạn</x:v>
      </x:c>
      <x:c r="H8" s="3" t="str">
        <x:v>NFR-001</x:v>
      </x:c>
      <x:c r="I8" s="3" t="str">
        <x:v>QTV có quyền tương ứng</x:v>
      </x:c>
      <x:c r="J8" s="3" t="str">
        <x:v>Security</x:v>
      </x:c>
      <x:c r="K8" s="3" t="str">
        <x:v>High</x:v>
      </x:c>
      <x:c r="L8" s="3" t="str">
        <x:v>High</x:v>
      </x:c>
      <x:c r="M8" s="3" t="str">
        <x:v>Môi trường QA cô lập, DB/MinIO sẵn sàng; dữ liệu fixture đã tạo. Đăng nhập tài khoản ACTIVE, mustChangePassword=false.</x:v>
      </x:c>
      <x:c r="N8" s="3" t="str">
        <x:v>NEWS</x:v>
      </x:c>
      <x:c r="O8" s="3" t="str">
        <x:v>1. Tạo cookie có Session.expiresAt đã qua
2. Gửi GET BACKEND /api/admin/news</x:v>
      </x:c>
      <x:c r="P8" s="3" t="str">
        <x:v>HTTP 401; không có mutation; không trả dữ liệu quản trị.</x:v>
      </x:c>
      <x:c r="Q8" s="11" t="str"/>
      <x:c r="R8" s="8" t="str">
        <x:v>NOT RUN</x:v>
      </x:c>
      <x:c r="S8" s="11" t="str">
        <x:v>QA/UAT — cần điền URL/build</x:v>
      </x:c>
      <x:c r="T8" s="11" t="str">
        <x:v>Cần điền phiên bản thực</x:v>
      </x:c>
      <x:c r="U8" s="11" t="str"/>
      <x:c r="V8" s="12" t="str"/>
      <x:c r="W8" s="11" t="str"/>
      <x:c r="X8" s="11" t="str"/>
      <x:c r="Y8" s="3" t="str">
        <x:v>Nguồn: backend/src/modules/cms/cms.routes.ts:295. </x:v>
      </x:c>
    </x:row>
    <x:row r="9" ht="49" customHeight="1">
      <x:c r="A9" s="3" t="n">
        <x:v>8</x:v>
      </x:c>
      <x:c r="B9" s="3" t="str">
        <x:v>TC_PERMISSION_008</x:v>
      </x:c>
      <x:c r="C9" s="3" t="str">
        <x:v>PERMISSION</x:v>
      </x:c>
      <x:c r="D9" s="3" t="str">
        <x:v>RBAC từng hành động</x:v>
      </x:c>
      <x:c r="E9" s="3" t="str">
        <x:v>RBAC từng hành động</x:v>
      </x:c>
      <x:c r="F9" s="3" t="str">
        <x:v>Security — GET BACKEND /api/admin/news thiếu news.view</x:v>
      </x:c>
      <x:c r="G9" s="3" t="str">
        <x:v>GET BACKEND /api/admin/news thiếu news.view</x:v>
      </x:c>
      <x:c r="H9" s="3" t="str">
        <x:v>NFR-001</x:v>
      </x:c>
      <x:c r="I9" s="3" t="str">
        <x:v>Role QA thiếu permission cụ thể</x:v>
      </x:c>
      <x:c r="J9" s="3" t="str">
        <x:v>Security</x:v>
      </x:c>
      <x:c r="K9" s="3" t="str">
        <x:v>Critical</x:v>
      </x:c>
      <x:c r="L9" s="3" t="str">
        <x:v>Critical</x:v>
      </x:c>
      <x:c r="M9" s="3" t="str">
        <x:v>Môi trường QA cô lập, DB/MinIO sẵn sàng; dữ liệu fixture đã tạo. Đăng nhập tài khoản ACTIVE, mustChangePassword=false.</x:v>
      </x:c>
      <x:c r="N9" s="3" t="str">
        <x:v>NEWS</x:v>
      </x:c>
      <x:c r="O9" s="3" t="str">
        <x:v>1. Đăng nhập tài khoản test có phiên hợp lệ nhưng thiếu riêng news.view
2. Gửi GET BACKEND /api/admin/news trực tiếp, bỏ qua UI</x:v>
      </x:c>
      <x:c r="P9" s="3" t="str">
        <x:v>HTTP 403; không tạo/sửa/xóa dữ liệu; quyền khác không thay thế quyền đang thiếu.</x:v>
      </x:c>
      <x:c r="Q9" s="11" t="str"/>
      <x:c r="R9" s="8" t="str">
        <x:v>NOT RUN</x:v>
      </x:c>
      <x:c r="S9" s="11" t="str">
        <x:v>QA/UAT — cần điền URL/build</x:v>
      </x:c>
      <x:c r="T9" s="11" t="str">
        <x:v>Cần điền phiên bản thực</x:v>
      </x:c>
      <x:c r="U9" s="11" t="str"/>
      <x:c r="V9" s="12" t="str"/>
      <x:c r="W9" s="11" t="str"/>
      <x:c r="X9" s="11" t="str"/>
      <x:c r="Y9" s="3" t="str">
        <x:v>Nguồn: backend/src/modules/cms/cms.routes.ts:295. </x:v>
      </x:c>
    </x:row>
    <x:row r="10" ht="36" customHeight="1">
      <x:c r="A10" s="3" t="n">
        <x:v>9</x:v>
      </x:c>
      <x:c r="B10" s="3" t="str">
        <x:v>TC_PERMISSION_009</x:v>
      </x:c>
      <x:c r="C10" s="3" t="str">
        <x:v>PERMISSION</x:v>
      </x:c>
      <x:c r="D10" s="3" t="str">
        <x:v>Xác thực server</x:v>
      </x:c>
      <x:c r="E10" s="3" t="str">
        <x:v>Xác thực server</x:v>
      </x:c>
      <x:c r="F10" s="3" t="str">
        <x:v>Security — GET BACKEND /api/admin/news/:id không có phiên</x:v>
      </x:c>
      <x:c r="G10" s="3" t="str">
        <x:v>GET BACKEND /api/admin/news/:id không có phiên</x:v>
      </x:c>
      <x:c r="H10" s="3" t="str">
        <x:v>NFR-001</x:v>
      </x:c>
      <x:c r="I10" s="3" t="str">
        <x:v>Khách truy cập</x:v>
      </x:c>
      <x:c r="J10" s="3" t="str">
        <x:v>Security</x:v>
      </x:c>
      <x:c r="K10" s="3" t="str">
        <x:v>Critical</x:v>
      </x:c>
      <x:c r="L10" s="3" t="str">
        <x:v>Critical</x:v>
      </x:c>
      <x:c r="M10" s="3" t="str">
        <x:v>Môi trường QA cô lập, DB/MinIO sẵn sàng; dữ liệu fixture đã tạo. Không đăng nhập.</x:v>
      </x:c>
      <x:c r="N10" s="3" t="str">
        <x:v>NEWS</x:v>
      </x:c>
      <x:c r="O10" s="3" t="str">
        <x:v>1. Xóa cookie hoàn toàn
2. Gửi GET BACKEND /api/admin/news/:id với dữ liệu hợp lệ</x:v>
      </x:c>
      <x:c r="P10" s="3" t="str">
        <x:v>HTTP 401; không trả dữ liệu quản trị và không thay đổi DB/MinIO.</x:v>
      </x:c>
      <x:c r="Q10" s="11" t="str"/>
      <x:c r="R10" s="8" t="str">
        <x:v>NOT RUN</x:v>
      </x:c>
      <x:c r="S10" s="11" t="str">
        <x:v>QA/UAT — cần điền URL/build</x:v>
      </x:c>
      <x:c r="T10" s="11" t="str">
        <x:v>Cần điền phiên bản thực</x:v>
      </x:c>
      <x:c r="U10" s="11" t="str"/>
      <x:c r="V10" s="12" t="str"/>
      <x:c r="W10" s="11" t="str"/>
      <x:c r="X10" s="11" t="str"/>
      <x:c r="Y10" s="3" t="str">
        <x:v>Nguồn: backend/src/modules/cms/cms.routes.ts:296. </x:v>
      </x:c>
    </x:row>
    <x:row r="11" ht="49" customHeight="1">
      <x:c r="A11" s="3" t="n">
        <x:v>10</x:v>
      </x:c>
      <x:c r="B11" s="3" t="str">
        <x:v>TC_PERMISSION_010</x:v>
      </x:c>
      <x:c r="C11" s="3" t="str">
        <x:v>PERMISSION</x:v>
      </x:c>
      <x:c r="D11" s="3" t="str">
        <x:v>Phiên hết hạn</x:v>
      </x:c>
      <x:c r="E11" s="3" t="str">
        <x:v>Phiên hết hạn</x:v>
      </x:c>
      <x:c r="F11" s="3" t="str">
        <x:v>Security — GET BACKEND /api/admin/news/:id hết hạn</x:v>
      </x:c>
      <x:c r="G11" s="3" t="str">
        <x:v>GET BACKEND /api/admin/news/:id hết hạn</x:v>
      </x:c>
      <x:c r="H11" s="3" t="str">
        <x:v>NFR-001</x:v>
      </x:c>
      <x:c r="I11" s="3" t="str">
        <x:v>QTV có quyền tương ứng</x:v>
      </x:c>
      <x:c r="J11" s="3" t="str">
        <x:v>Security</x:v>
      </x:c>
      <x:c r="K11" s="3" t="str">
        <x:v>High</x:v>
      </x:c>
      <x:c r="L11" s="3" t="str">
        <x:v>High</x:v>
      </x:c>
      <x:c r="M11" s="3" t="str">
        <x:v>Môi trường QA cô lập, DB/MinIO sẵn sàng; dữ liệu fixture đã tạo. Đăng nhập tài khoản ACTIVE, mustChangePassword=false.</x:v>
      </x:c>
      <x:c r="N11" s="3" t="str">
        <x:v>NEWS</x:v>
      </x:c>
      <x:c r="O11" s="3" t="str">
        <x:v>1. Tạo cookie có Session.expiresAt đã qua
2. Gửi GET BACKEND /api/admin/news/:id</x:v>
      </x:c>
      <x:c r="P11" s="3" t="str">
        <x:v>HTTP 401; không có mutation; không trả dữ liệu quản trị.</x:v>
      </x:c>
      <x:c r="Q11" s="11" t="str"/>
      <x:c r="R11" s="8" t="str">
        <x:v>NOT RUN</x:v>
      </x:c>
      <x:c r="S11" s="11" t="str">
        <x:v>QA/UAT — cần điền URL/build</x:v>
      </x:c>
      <x:c r="T11" s="11" t="str">
        <x:v>Cần điền phiên bản thực</x:v>
      </x:c>
      <x:c r="U11" s="11" t="str"/>
      <x:c r="V11" s="12" t="str"/>
      <x:c r="W11" s="11" t="str"/>
      <x:c r="X11" s="11" t="str"/>
      <x:c r="Y11" s="3" t="str">
        <x:v>Nguồn: backend/src/modules/cms/cms.routes.ts:296. </x:v>
      </x:c>
    </x:row>
    <x:row r="12" ht="49" customHeight="1">
      <x:c r="A12" s="3" t="n">
        <x:v>11</x:v>
      </x:c>
      <x:c r="B12" s="3" t="str">
        <x:v>TC_PERMISSION_011</x:v>
      </x:c>
      <x:c r="C12" s="3" t="str">
        <x:v>PERMISSION</x:v>
      </x:c>
      <x:c r="D12" s="3" t="str">
        <x:v>RBAC từng hành động</x:v>
      </x:c>
      <x:c r="E12" s="3" t="str">
        <x:v>RBAC từng hành động</x:v>
      </x:c>
      <x:c r="F12" s="3" t="str">
        <x:v>Security — GET BACKEND /api/admin/news/:id thiếu news.view</x:v>
      </x:c>
      <x:c r="G12" s="3" t="str">
        <x:v>GET BACKEND /api/admin/news/:id thiếu news.view</x:v>
      </x:c>
      <x:c r="H12" s="3" t="str">
        <x:v>NFR-001</x:v>
      </x:c>
      <x:c r="I12" s="3" t="str">
        <x:v>Role QA thiếu permission cụ thể</x:v>
      </x:c>
      <x:c r="J12" s="3" t="str">
        <x:v>Security</x:v>
      </x:c>
      <x:c r="K12" s="3" t="str">
        <x:v>Critical</x:v>
      </x:c>
      <x:c r="L12" s="3" t="str">
        <x:v>Critical</x:v>
      </x:c>
      <x:c r="M12" s="3" t="str">
        <x:v>Môi trường QA cô lập, DB/MinIO sẵn sàng; dữ liệu fixture đã tạo. Đăng nhập tài khoản ACTIVE, mustChangePassword=false.</x:v>
      </x:c>
      <x:c r="N12" s="3" t="str">
        <x:v>NEWS</x:v>
      </x:c>
      <x:c r="O12" s="3" t="str">
        <x:v>1. Đăng nhập tài khoản test có phiên hợp lệ nhưng thiếu riêng news.view
2. Gửi GET BACKEND /api/admin/news/:id trực tiếp, bỏ qua UI</x:v>
      </x:c>
      <x:c r="P12" s="3" t="str">
        <x:v>HTTP 403; không tạo/sửa/xóa dữ liệu; quyền khác không thay thế quyền đang thiếu.</x:v>
      </x:c>
      <x:c r="Q12" s="11" t="str"/>
      <x:c r="R12" s="8" t="str">
        <x:v>NOT RUN</x:v>
      </x:c>
      <x:c r="S12" s="11" t="str">
        <x:v>QA/UAT — cần điền URL/build</x:v>
      </x:c>
      <x:c r="T12" s="11" t="str">
        <x:v>Cần điền phiên bản thực</x:v>
      </x:c>
      <x:c r="U12" s="11" t="str"/>
      <x:c r="V12" s="12" t="str"/>
      <x:c r="W12" s="11" t="str"/>
      <x:c r="X12" s="11" t="str"/>
      <x:c r="Y12" s="3" t="str">
        <x:v>Nguồn: backend/src/modules/cms/cms.routes.ts:296. </x:v>
      </x:c>
    </x:row>
    <x:row r="13" ht="36" customHeight="1">
      <x:c r="A13" s="3" t="n">
        <x:v>12</x:v>
      </x:c>
      <x:c r="B13" s="3" t="str">
        <x:v>TC_PERMISSION_012</x:v>
      </x:c>
      <x:c r="C13" s="3" t="str">
        <x:v>PERMISSION</x:v>
      </x:c>
      <x:c r="D13" s="3" t="str">
        <x:v>Xác thực server</x:v>
      </x:c>
      <x:c r="E13" s="3" t="str">
        <x:v>Xác thực server</x:v>
      </x:c>
      <x:c r="F13" s="3" t="str">
        <x:v>Security — POST BACKEND /api/admin/news không có phiên</x:v>
      </x:c>
      <x:c r="G13" s="3" t="str">
        <x:v>POST BACKEND /api/admin/news không có phiên</x:v>
      </x:c>
      <x:c r="H13" s="3" t="str">
        <x:v>NFR-001</x:v>
      </x:c>
      <x:c r="I13" s="3" t="str">
        <x:v>Khách truy cập</x:v>
      </x:c>
      <x:c r="J13" s="3" t="str">
        <x:v>Security</x:v>
      </x:c>
      <x:c r="K13" s="3" t="str">
        <x:v>Critical</x:v>
      </x:c>
      <x:c r="L13" s="3" t="str">
        <x:v>Critical</x:v>
      </x:c>
      <x:c r="M13" s="3" t="str">
        <x:v>Môi trường QA cô lập, DB/MinIO sẵn sàng; dữ liệu fixture đã tạo. Không đăng nhập.</x:v>
      </x:c>
      <x:c r="N13" s="3" t="str">
        <x:v>NEWS</x:v>
      </x:c>
      <x:c r="O13" s="3" t="str">
        <x:v>1. Xóa cookie hoàn toàn
2. Gửi POST BACKEND /api/admin/news với dữ liệu hợp lệ</x:v>
      </x:c>
      <x:c r="P13" s="3" t="str">
        <x:v>HTTP 401; không trả dữ liệu quản trị và không thay đổi DB/MinIO.</x:v>
      </x:c>
      <x:c r="Q13" s="11" t="str"/>
      <x:c r="R13" s="8" t="str">
        <x:v>NOT RUN</x:v>
      </x:c>
      <x:c r="S13" s="11" t="str">
        <x:v>QA/UAT — cần điền URL/build</x:v>
      </x:c>
      <x:c r="T13" s="11" t="str">
        <x:v>Cần điền phiên bản thực</x:v>
      </x:c>
      <x:c r="U13" s="11" t="str"/>
      <x:c r="V13" s="12" t="str"/>
      <x:c r="W13" s="11" t="str"/>
      <x:c r="X13" s="11" t="str"/>
      <x:c r="Y13" s="3" t="str">
        <x:v>Nguồn: backend/src/modules/cms/cms.routes.ts:295. </x:v>
      </x:c>
    </x:row>
    <x:row r="14" ht="49" customHeight="1">
      <x:c r="A14" s="3" t="n">
        <x:v>13</x:v>
      </x:c>
      <x:c r="B14" s="3" t="str">
        <x:v>TC_PERMISSION_013</x:v>
      </x:c>
      <x:c r="C14" s="3" t="str">
        <x:v>PERMISSION</x:v>
      </x:c>
      <x:c r="D14" s="3" t="str">
        <x:v>Phiên hết hạn</x:v>
      </x:c>
      <x:c r="E14" s="3" t="str">
        <x:v>Phiên hết hạn</x:v>
      </x:c>
      <x:c r="F14" s="3" t="str">
        <x:v>Security — POST BACKEND /api/admin/news hết hạn</x:v>
      </x:c>
      <x:c r="G14" s="3" t="str">
        <x:v>POST BACKEND /api/admin/news hết hạn</x:v>
      </x:c>
      <x:c r="H14" s="3" t="str">
        <x:v>NFR-001</x:v>
      </x:c>
      <x:c r="I14" s="3" t="str">
        <x:v>QTV có quyền tương ứng</x:v>
      </x:c>
      <x:c r="J14" s="3" t="str">
        <x:v>Security</x:v>
      </x:c>
      <x:c r="K14" s="3" t="str">
        <x:v>High</x:v>
      </x:c>
      <x:c r="L14" s="3" t="str">
        <x:v>High</x:v>
      </x:c>
      <x:c r="M14" s="3" t="str">
        <x:v>Môi trường QA cô lập, DB/MinIO sẵn sàng; dữ liệu fixture đã tạo. Đăng nhập tài khoản ACTIVE, mustChangePassword=false.</x:v>
      </x:c>
      <x:c r="N14" s="3" t="str">
        <x:v>NEWS</x:v>
      </x:c>
      <x:c r="O14" s="3" t="str">
        <x:v>1. Tạo cookie có Session.expiresAt đã qua
2. Gửi POST BACKEND /api/admin/news</x:v>
      </x:c>
      <x:c r="P14" s="3" t="str">
        <x:v>HTTP 401; không có mutation; không trả dữ liệu quản trị.</x:v>
      </x:c>
      <x:c r="Q14" s="11" t="str"/>
      <x:c r="R14" s="8" t="str">
        <x:v>NOT RUN</x:v>
      </x:c>
      <x:c r="S14" s="11" t="str">
        <x:v>QA/UAT — cần điền URL/build</x:v>
      </x:c>
      <x:c r="T14" s="11" t="str">
        <x:v>Cần điền phiên bản thực</x:v>
      </x:c>
      <x:c r="U14" s="11" t="str"/>
      <x:c r="V14" s="12" t="str"/>
      <x:c r="W14" s="11" t="str"/>
      <x:c r="X14" s="11" t="str"/>
      <x:c r="Y14" s="3" t="str">
        <x:v>Nguồn: backend/src/modules/cms/cms.routes.ts:295. </x:v>
      </x:c>
    </x:row>
    <x:row r="15" ht="49" customHeight="1">
      <x:c r="A15" s="3" t="n">
        <x:v>14</x:v>
      </x:c>
      <x:c r="B15" s="3" t="str">
        <x:v>TC_PERMISSION_014</x:v>
      </x:c>
      <x:c r="C15" s="3" t="str">
        <x:v>PERMISSION</x:v>
      </x:c>
      <x:c r="D15" s="3" t="str">
        <x:v>RBAC từng hành động</x:v>
      </x:c>
      <x:c r="E15" s="3" t="str">
        <x:v>RBAC từng hành động</x:v>
      </x:c>
      <x:c r="F15" s="3" t="str">
        <x:v>Security — POST BACKEND /api/admin/news thiếu news.create</x:v>
      </x:c>
      <x:c r="G15" s="3" t="str">
        <x:v>POST BACKEND /api/admin/news thiếu news.create</x:v>
      </x:c>
      <x:c r="H15" s="3" t="str">
        <x:v>NFR-001</x:v>
      </x:c>
      <x:c r="I15" s="3" t="str">
        <x:v>Role QA thiếu permission cụ thể</x:v>
      </x:c>
      <x:c r="J15" s="3" t="str">
        <x:v>Security</x:v>
      </x:c>
      <x:c r="K15" s="3" t="str">
        <x:v>Critical</x:v>
      </x:c>
      <x:c r="L15" s="3" t="str">
        <x:v>Critical</x:v>
      </x:c>
      <x:c r="M15" s="3" t="str">
        <x:v>Môi trường QA cô lập, DB/MinIO sẵn sàng; dữ liệu fixture đã tạo. Đăng nhập tài khoản ACTIVE, mustChangePassword=false.</x:v>
      </x:c>
      <x:c r="N15" s="3" t="str">
        <x:v>NEWS</x:v>
      </x:c>
      <x:c r="O15" s="3" t="str">
        <x:v>1. Đăng nhập tài khoản test có phiên hợp lệ nhưng thiếu riêng news.create
2. Gửi POST BACKEND /api/admin/news trực tiếp, bỏ qua UI</x:v>
      </x:c>
      <x:c r="P15" s="3" t="str">
        <x:v>HTTP 403; không tạo/sửa/xóa dữ liệu; quyền khác không thay thế quyền đang thiếu.</x:v>
      </x:c>
      <x:c r="Q15" s="11" t="str"/>
      <x:c r="R15" s="8" t="str">
        <x:v>NOT RUN</x:v>
      </x:c>
      <x:c r="S15" s="11" t="str">
        <x:v>QA/UAT — cần điền URL/build</x:v>
      </x:c>
      <x:c r="T15" s="11" t="str">
        <x:v>Cần điền phiên bản thực</x:v>
      </x:c>
      <x:c r="U15" s="11" t="str"/>
      <x:c r="V15" s="12" t="str"/>
      <x:c r="W15" s="11" t="str"/>
      <x:c r="X15" s="11" t="str"/>
      <x:c r="Y15" s="3" t="str">
        <x:v>Nguồn: backend/src/modules/cms/cms.routes.ts:295. </x:v>
      </x:c>
    </x:row>
    <x:row r="16" ht="36" customHeight="1">
      <x:c r="A16" s="3" t="n">
        <x:v>15</x:v>
      </x:c>
      <x:c r="B16" s="3" t="str">
        <x:v>TC_PERMISSION_015</x:v>
      </x:c>
      <x:c r="C16" s="3" t="str">
        <x:v>PERMISSION</x:v>
      </x:c>
      <x:c r="D16" s="3" t="str">
        <x:v>Xác thực server</x:v>
      </x:c>
      <x:c r="E16" s="3" t="str">
        <x:v>Xác thực server</x:v>
      </x:c>
      <x:c r="F16" s="3" t="str">
        <x:v>Security — PUT BACKEND /api/admin/news/:id không có phiên</x:v>
      </x:c>
      <x:c r="G16" s="3" t="str">
        <x:v>PUT BACKEND /api/admin/news/:id không có phiên</x:v>
      </x:c>
      <x:c r="H16" s="3" t="str">
        <x:v>NFR-001</x:v>
      </x:c>
      <x:c r="I16" s="3" t="str">
        <x:v>Khách truy cập</x:v>
      </x:c>
      <x:c r="J16" s="3" t="str">
        <x:v>Security</x:v>
      </x:c>
      <x:c r="K16" s="3" t="str">
        <x:v>Critical</x:v>
      </x:c>
      <x:c r="L16" s="3" t="str">
        <x:v>Critical</x:v>
      </x:c>
      <x:c r="M16" s="3" t="str">
        <x:v>Môi trường QA cô lập, DB/MinIO sẵn sàng; dữ liệu fixture đã tạo. Không đăng nhập.</x:v>
      </x:c>
      <x:c r="N16" s="3" t="str">
        <x:v>NEWS</x:v>
      </x:c>
      <x:c r="O16" s="3" t="str">
        <x:v>1. Xóa cookie hoàn toàn
2. Gửi PUT BACKEND /api/admin/news/:id với dữ liệu hợp lệ</x:v>
      </x:c>
      <x:c r="P16" s="3" t="str">
        <x:v>HTTP 401; không trả dữ liệu quản trị và không thay đổi DB/MinIO.</x:v>
      </x:c>
      <x:c r="Q16" s="11" t="str"/>
      <x:c r="R16" s="8" t="str">
        <x:v>NOT RUN</x:v>
      </x:c>
      <x:c r="S16" s="11" t="str">
        <x:v>QA/UAT — cần điền URL/build</x:v>
      </x:c>
      <x:c r="T16" s="11" t="str">
        <x:v>Cần điền phiên bản thực</x:v>
      </x:c>
      <x:c r="U16" s="11" t="str"/>
      <x:c r="V16" s="12" t="str"/>
      <x:c r="W16" s="11" t="str"/>
      <x:c r="X16" s="11" t="str"/>
      <x:c r="Y16" s="3" t="str">
        <x:v>Nguồn: backend/src/modules/cms/cms.routes.ts:296. </x:v>
      </x:c>
    </x:row>
    <x:row r="17" ht="49" customHeight="1">
      <x:c r="A17" s="3" t="n">
        <x:v>16</x:v>
      </x:c>
      <x:c r="B17" s="3" t="str">
        <x:v>TC_PERMISSION_016</x:v>
      </x:c>
      <x:c r="C17" s="3" t="str">
        <x:v>PERMISSION</x:v>
      </x:c>
      <x:c r="D17" s="3" t="str">
        <x:v>Phiên hết hạn</x:v>
      </x:c>
      <x:c r="E17" s="3" t="str">
        <x:v>Phiên hết hạn</x:v>
      </x:c>
      <x:c r="F17" s="3" t="str">
        <x:v>Security — PUT BACKEND /api/admin/news/:id hết hạn</x:v>
      </x:c>
      <x:c r="G17" s="3" t="str">
        <x:v>PUT BACKEND /api/admin/news/:id hết hạn</x:v>
      </x:c>
      <x:c r="H17" s="3" t="str">
        <x:v>NFR-001</x:v>
      </x:c>
      <x:c r="I17" s="3" t="str">
        <x:v>QTV có quyền tương ứng</x:v>
      </x:c>
      <x:c r="J17" s="3" t="str">
        <x:v>Security</x:v>
      </x:c>
      <x:c r="K17" s="3" t="str">
        <x:v>High</x:v>
      </x:c>
      <x:c r="L17" s="3" t="str">
        <x:v>High</x:v>
      </x:c>
      <x:c r="M17" s="3" t="str">
        <x:v>Môi trường QA cô lập, DB/MinIO sẵn sàng; dữ liệu fixture đã tạo. Đăng nhập tài khoản ACTIVE, mustChangePassword=false.</x:v>
      </x:c>
      <x:c r="N17" s="3" t="str">
        <x:v>NEWS</x:v>
      </x:c>
      <x:c r="O17" s="3" t="str">
        <x:v>1. Tạo cookie có Session.expiresAt đã qua
2. Gửi PUT BACKEND /api/admin/news/:id</x:v>
      </x:c>
      <x:c r="P17" s="3" t="str">
        <x:v>HTTP 401; không có mutation; không trả dữ liệu quản trị.</x:v>
      </x:c>
      <x:c r="Q17" s="11" t="str"/>
      <x:c r="R17" s="8" t="str">
        <x:v>NOT RUN</x:v>
      </x:c>
      <x:c r="S17" s="11" t="str">
        <x:v>QA/UAT — cần điền URL/build</x:v>
      </x:c>
      <x:c r="T17" s="11" t="str">
        <x:v>Cần điền phiên bản thực</x:v>
      </x:c>
      <x:c r="U17" s="11" t="str"/>
      <x:c r="V17" s="12" t="str"/>
      <x:c r="W17" s="11" t="str"/>
      <x:c r="X17" s="11" t="str"/>
      <x:c r="Y17" s="3" t="str">
        <x:v>Nguồn: backend/src/modules/cms/cms.routes.ts:296. </x:v>
      </x:c>
    </x:row>
    <x:row r="18" ht="49" customHeight="1">
      <x:c r="A18" s="3" t="n">
        <x:v>17</x:v>
      </x:c>
      <x:c r="B18" s="3" t="str">
        <x:v>TC_PERMISSION_017</x:v>
      </x:c>
      <x:c r="C18" s="3" t="str">
        <x:v>PERMISSION</x:v>
      </x:c>
      <x:c r="D18" s="3" t="str">
        <x:v>RBAC từng hành động</x:v>
      </x:c>
      <x:c r="E18" s="3" t="str">
        <x:v>RBAC từng hành động</x:v>
      </x:c>
      <x:c r="F18" s="3" t="str">
        <x:v>Security — PUT BACKEND /api/admin/news/:id thiếu news.update</x:v>
      </x:c>
      <x:c r="G18" s="3" t="str">
        <x:v>PUT BACKEND /api/admin/news/:id thiếu news.update</x:v>
      </x:c>
      <x:c r="H18" s="3" t="str">
        <x:v>NFR-001</x:v>
      </x:c>
      <x:c r="I18" s="3" t="str">
        <x:v>Role QA thiếu permission cụ thể</x:v>
      </x:c>
      <x:c r="J18" s="3" t="str">
        <x:v>Security</x:v>
      </x:c>
      <x:c r="K18" s="3" t="str">
        <x:v>Critical</x:v>
      </x:c>
      <x:c r="L18" s="3" t="str">
        <x:v>Critical</x:v>
      </x:c>
      <x:c r="M18" s="3" t="str">
        <x:v>Môi trường QA cô lập, DB/MinIO sẵn sàng; dữ liệu fixture đã tạo. Đăng nhập tài khoản ACTIVE, mustChangePassword=false.</x:v>
      </x:c>
      <x:c r="N18" s="3" t="str">
        <x:v>NEWS</x:v>
      </x:c>
      <x:c r="O18" s="3" t="str">
        <x:v>1. Đăng nhập tài khoản test có phiên hợp lệ nhưng thiếu riêng news.update
2. Gửi PUT BACKEND /api/admin/news/:id trực tiếp, bỏ qua UI</x:v>
      </x:c>
      <x:c r="P18" s="3" t="str">
        <x:v>HTTP 403; không tạo/sửa/xóa dữ liệu; quyền khác không thay thế quyền đang thiếu.</x:v>
      </x:c>
      <x:c r="Q18" s="11" t="str"/>
      <x:c r="R18" s="8" t="str">
        <x:v>NOT RUN</x:v>
      </x:c>
      <x:c r="S18" s="11" t="str">
        <x:v>QA/UAT — cần điền URL/build</x:v>
      </x:c>
      <x:c r="T18" s="11" t="str">
        <x:v>Cần điền phiên bản thực</x:v>
      </x:c>
      <x:c r="U18" s="11" t="str"/>
      <x:c r="V18" s="12" t="str"/>
      <x:c r="W18" s="11" t="str"/>
      <x:c r="X18" s="11" t="str"/>
      <x:c r="Y18" s="3" t="str">
        <x:v>Nguồn: backend/src/modules/cms/cms.routes.ts:296. </x:v>
      </x:c>
    </x:row>
    <x:row r="19" ht="36" customHeight="1">
      <x:c r="A19" s="3" t="n">
        <x:v>18</x:v>
      </x:c>
      <x:c r="B19" s="3" t="str">
        <x:v>TC_PERMISSION_018</x:v>
      </x:c>
      <x:c r="C19" s="3" t="str">
        <x:v>PERMISSION</x:v>
      </x:c>
      <x:c r="D19" s="3" t="str">
        <x:v>Xác thực server</x:v>
      </x:c>
      <x:c r="E19" s="3" t="str">
        <x:v>Xác thực server</x:v>
      </x:c>
      <x:c r="F19" s="3" t="str">
        <x:v>Security — DELETE BACKEND /api/admin/news/:id không có phiên</x:v>
      </x:c>
      <x:c r="G19" s="3" t="str">
        <x:v>DELETE BACKEND /api/admin/news/:id không có phiên</x:v>
      </x:c>
      <x:c r="H19" s="3" t="str">
        <x:v>NFR-001</x:v>
      </x:c>
      <x:c r="I19" s="3" t="str">
        <x:v>Khách truy cập</x:v>
      </x:c>
      <x:c r="J19" s="3" t="str">
        <x:v>Security</x:v>
      </x:c>
      <x:c r="K19" s="3" t="str">
        <x:v>Critical</x:v>
      </x:c>
      <x:c r="L19" s="3" t="str">
        <x:v>Critical</x:v>
      </x:c>
      <x:c r="M19" s="3" t="str">
        <x:v>Môi trường QA cô lập, DB/MinIO sẵn sàng; dữ liệu fixture đã tạo. Không đăng nhập.</x:v>
      </x:c>
      <x:c r="N19" s="3" t="str">
        <x:v>NEWS</x:v>
      </x:c>
      <x:c r="O19" s="3" t="str">
        <x:v>1. Xóa cookie hoàn toàn
2. Gửi DELETE BACKEND /api/admin/news/:id với dữ liệu hợp lệ</x:v>
      </x:c>
      <x:c r="P19" s="3" t="str">
        <x:v>HTTP 401; không trả dữ liệu quản trị và không thay đổi DB/MinIO.</x:v>
      </x:c>
      <x:c r="Q19" s="11" t="str"/>
      <x:c r="R19" s="8" t="str">
        <x:v>NOT RUN</x:v>
      </x:c>
      <x:c r="S19" s="11" t="str">
        <x:v>QA/UAT — cần điền URL/build</x:v>
      </x:c>
      <x:c r="T19" s="11" t="str">
        <x:v>Cần điền phiên bản thực</x:v>
      </x:c>
      <x:c r="U19" s="11" t="str"/>
      <x:c r="V19" s="12" t="str"/>
      <x:c r="W19" s="11" t="str"/>
      <x:c r="X19" s="11" t="str"/>
      <x:c r="Y19" s="3" t="str">
        <x:v>Nguồn: backend/src/modules/cms/cms.routes.ts:296. </x:v>
      </x:c>
    </x:row>
    <x:row r="20" ht="49" customHeight="1">
      <x:c r="A20" s="3" t="n">
        <x:v>19</x:v>
      </x:c>
      <x:c r="B20" s="3" t="str">
        <x:v>TC_PERMISSION_019</x:v>
      </x:c>
      <x:c r="C20" s="3" t="str">
        <x:v>PERMISSION</x:v>
      </x:c>
      <x:c r="D20" s="3" t="str">
        <x:v>Phiên hết hạn</x:v>
      </x:c>
      <x:c r="E20" s="3" t="str">
        <x:v>Phiên hết hạn</x:v>
      </x:c>
      <x:c r="F20" s="3" t="str">
        <x:v>Security — DELETE BACKEND /api/admin/news/:id hết hạn</x:v>
      </x:c>
      <x:c r="G20" s="3" t="str">
        <x:v>DELETE BACKEND /api/admin/news/:id hết hạn</x:v>
      </x:c>
      <x:c r="H20" s="3" t="str">
        <x:v>NFR-001</x:v>
      </x:c>
      <x:c r="I20" s="3" t="str">
        <x:v>QTV có quyền tương ứng</x:v>
      </x:c>
      <x:c r="J20" s="3" t="str">
        <x:v>Security</x:v>
      </x:c>
      <x:c r="K20" s="3" t="str">
        <x:v>High</x:v>
      </x:c>
      <x:c r="L20" s="3" t="str">
        <x:v>High</x:v>
      </x:c>
      <x:c r="M20" s="3" t="str">
        <x:v>Môi trường QA cô lập, DB/MinIO sẵn sàng; dữ liệu fixture đã tạo. Đăng nhập tài khoản ACTIVE, mustChangePassword=false.</x:v>
      </x:c>
      <x:c r="N20" s="3" t="str">
        <x:v>NEWS</x:v>
      </x:c>
      <x:c r="O20" s="3" t="str">
        <x:v>1. Tạo cookie có Session.expiresAt đã qua
2. Gửi DELETE BACKEND /api/admin/news/:id</x:v>
      </x:c>
      <x:c r="P20" s="3" t="str">
        <x:v>HTTP 401; không có mutation; không trả dữ liệu quản trị.</x:v>
      </x:c>
      <x:c r="Q20" s="11" t="str"/>
      <x:c r="R20" s="8" t="str">
        <x:v>NOT RUN</x:v>
      </x:c>
      <x:c r="S20" s="11" t="str">
        <x:v>QA/UAT — cần điền URL/build</x:v>
      </x:c>
      <x:c r="T20" s="11" t="str">
        <x:v>Cần điền phiên bản thực</x:v>
      </x:c>
      <x:c r="U20" s="11" t="str"/>
      <x:c r="V20" s="12" t="str"/>
      <x:c r="W20" s="11" t="str"/>
      <x:c r="X20" s="11" t="str"/>
      <x:c r="Y20" s="3" t="str">
        <x:v>Nguồn: backend/src/modules/cms/cms.routes.ts:296. </x:v>
      </x:c>
    </x:row>
    <x:row r="21" ht="49" customHeight="1">
      <x:c r="A21" s="3" t="n">
        <x:v>20</x:v>
      </x:c>
      <x:c r="B21" s="3" t="str">
        <x:v>TC_PERMISSION_020</x:v>
      </x:c>
      <x:c r="C21" s="3" t="str">
        <x:v>PERMISSION</x:v>
      </x:c>
      <x:c r="D21" s="3" t="str">
        <x:v>RBAC từng hành động</x:v>
      </x:c>
      <x:c r="E21" s="3" t="str">
        <x:v>RBAC từng hành động</x:v>
      </x:c>
      <x:c r="F21" s="3" t="str">
        <x:v>Security — DELETE BACKEND /api/admin/news/:id thiếu news.delete</x:v>
      </x:c>
      <x:c r="G21" s="3" t="str">
        <x:v>DELETE BACKEND /api/admin/news/:id thiếu news.delete</x:v>
      </x:c>
      <x:c r="H21" s="3" t="str">
        <x:v>NFR-001</x:v>
      </x:c>
      <x:c r="I21" s="3" t="str">
        <x:v>Role QA thiếu permission cụ thể</x:v>
      </x:c>
      <x:c r="J21" s="3" t="str">
        <x:v>Security</x:v>
      </x:c>
      <x:c r="K21" s="3" t="str">
        <x:v>Critical</x:v>
      </x:c>
      <x:c r="L21" s="3" t="str">
        <x:v>Critical</x:v>
      </x:c>
      <x:c r="M21" s="3" t="str">
        <x:v>Môi trường QA cô lập, DB/MinIO sẵn sàng; dữ liệu fixture đã tạo. Đăng nhập tài khoản ACTIVE, mustChangePassword=false.</x:v>
      </x:c>
      <x:c r="N21" s="3" t="str">
        <x:v>NEWS</x:v>
      </x:c>
      <x:c r="O21" s="3" t="str">
        <x:v>1. Đăng nhập tài khoản test có phiên hợp lệ nhưng thiếu riêng news.delete
2. Gửi DELETE BACKEND /api/admin/news/:id trực tiếp, bỏ qua UI</x:v>
      </x:c>
      <x:c r="P21" s="3" t="str">
        <x:v>HTTP 403; không tạo/sửa/xóa dữ liệu; quyền khác không thay thế quyền đang thiếu.</x:v>
      </x:c>
      <x:c r="Q21" s="11" t="str"/>
      <x:c r="R21" s="8" t="str">
        <x:v>NOT RUN</x:v>
      </x:c>
      <x:c r="S21" s="11" t="str">
        <x:v>QA/UAT — cần điền URL/build</x:v>
      </x:c>
      <x:c r="T21" s="11" t="str">
        <x:v>Cần điền phiên bản thực</x:v>
      </x:c>
      <x:c r="U21" s="11" t="str"/>
      <x:c r="V21" s="12" t="str"/>
      <x:c r="W21" s="11" t="str"/>
      <x:c r="X21" s="11" t="str"/>
      <x:c r="Y21" s="3" t="str">
        <x:v>Nguồn: backend/src/modules/cms/cms.routes.ts:296. </x:v>
      </x:c>
    </x:row>
    <x:row r="22" ht="36" customHeight="1">
      <x:c r="A22" s="3" t="n">
        <x:v>21</x:v>
      </x:c>
      <x:c r="B22" s="3" t="str">
        <x:v>TC_PERMISSION_021</x:v>
      </x:c>
      <x:c r="C22" s="3" t="str">
        <x:v>PERMISSION</x:v>
      </x:c>
      <x:c r="D22" s="3" t="str">
        <x:v>Xác thực server</x:v>
      </x:c>
      <x:c r="E22" s="3" t="str">
        <x:v>Xác thực server</x:v>
      </x:c>
      <x:c r="F22" s="3" t="str">
        <x:v>Security — GET BACKEND /api/admin/resources không có phiên</x:v>
      </x:c>
      <x:c r="G22" s="3" t="str">
        <x:v>GET BACKEND /api/admin/resources không có phiên</x:v>
      </x:c>
      <x:c r="H22" s="3" t="str">
        <x:v>NFR-001</x:v>
      </x:c>
      <x:c r="I22" s="3" t="str">
        <x:v>Khách truy cập</x:v>
      </x:c>
      <x:c r="J22" s="3" t="str">
        <x:v>Security</x:v>
      </x:c>
      <x:c r="K22" s="3" t="str">
        <x:v>Critical</x:v>
      </x:c>
      <x:c r="L22" s="3" t="str">
        <x:v>Critical</x:v>
      </x:c>
      <x:c r="M22" s="3" t="str">
        <x:v>Môi trường QA cô lập, DB/MinIO sẵn sàng; dữ liệu fixture đã tạo. Không đăng nhập.</x:v>
      </x:c>
      <x:c r="N22" s="3" t="str">
        <x:v>RESOURCE</x:v>
      </x:c>
      <x:c r="O22" s="3" t="str">
        <x:v>1. Xóa cookie hoàn toàn
2. Gửi GET BACKEND /api/admin/resources với dữ liệu hợp lệ</x:v>
      </x:c>
      <x:c r="P22" s="3" t="str">
        <x:v>HTTP 401; không trả dữ liệu quản trị và không thay đổi DB/MinIO.</x:v>
      </x:c>
      <x:c r="Q22" s="11" t="str"/>
      <x:c r="R22" s="8" t="str">
        <x:v>NOT RUN</x:v>
      </x:c>
      <x:c r="S22" s="11" t="str">
        <x:v>QA/UAT — cần điền URL/build</x:v>
      </x:c>
      <x:c r="T22" s="11" t="str">
        <x:v>Cần điền phiên bản thực</x:v>
      </x:c>
      <x:c r="U22" s="11" t="str"/>
      <x:c r="V22" s="12" t="str"/>
      <x:c r="W22" s="11" t="str"/>
      <x:c r="X22" s="11" t="str"/>
      <x:c r="Y22" s="3" t="str">
        <x:v>Nguồn: backend/src/modules/cms/cms.routes.ts:367. </x:v>
      </x:c>
    </x:row>
    <x:row r="23" ht="49" customHeight="1">
      <x:c r="A23" s="3" t="n">
        <x:v>22</x:v>
      </x:c>
      <x:c r="B23" s="3" t="str">
        <x:v>TC_PERMISSION_022</x:v>
      </x:c>
      <x:c r="C23" s="3" t="str">
        <x:v>PERMISSION</x:v>
      </x:c>
      <x:c r="D23" s="3" t="str">
        <x:v>Phiên hết hạn</x:v>
      </x:c>
      <x:c r="E23" s="3" t="str">
        <x:v>Phiên hết hạn</x:v>
      </x:c>
      <x:c r="F23" s="3" t="str">
        <x:v>Security — GET BACKEND /api/admin/resources hết hạn</x:v>
      </x:c>
      <x:c r="G23" s="3" t="str">
        <x:v>GET BACKEND /api/admin/resources hết hạn</x:v>
      </x:c>
      <x:c r="H23" s="3" t="str">
        <x:v>NFR-001</x:v>
      </x:c>
      <x:c r="I23" s="3" t="str">
        <x:v>QTV có quyền tương ứng</x:v>
      </x:c>
      <x:c r="J23" s="3" t="str">
        <x:v>Security</x:v>
      </x:c>
      <x:c r="K23" s="3" t="str">
        <x:v>High</x:v>
      </x:c>
      <x:c r="L23" s="3" t="str">
        <x:v>High</x:v>
      </x:c>
      <x:c r="M23" s="3" t="str">
        <x:v>Môi trường QA cô lập, DB/MinIO sẵn sàng; dữ liệu fixture đã tạo. Đăng nhập tài khoản ACTIVE, mustChangePassword=false.</x:v>
      </x:c>
      <x:c r="N23" s="3" t="str">
        <x:v>RESOURCE</x:v>
      </x:c>
      <x:c r="O23" s="3" t="str">
        <x:v>1. Tạo cookie có Session.expiresAt đã qua
2. Gửi GET BACKEND /api/admin/resources</x:v>
      </x:c>
      <x:c r="P23" s="3" t="str">
        <x:v>HTTP 401; không có mutation; không trả dữ liệu quản trị.</x:v>
      </x:c>
      <x:c r="Q23" s="11" t="str"/>
      <x:c r="R23" s="8" t="str">
        <x:v>NOT RUN</x:v>
      </x:c>
      <x:c r="S23" s="11" t="str">
        <x:v>QA/UAT — cần điền URL/build</x:v>
      </x:c>
      <x:c r="T23" s="11" t="str">
        <x:v>Cần điền phiên bản thực</x:v>
      </x:c>
      <x:c r="U23" s="11" t="str"/>
      <x:c r="V23" s="12" t="str"/>
      <x:c r="W23" s="11" t="str"/>
      <x:c r="X23" s="11" t="str"/>
      <x:c r="Y23" s="3" t="str">
        <x:v>Nguồn: backend/src/modules/cms/cms.routes.ts:367. </x:v>
      </x:c>
    </x:row>
    <x:row r="24" ht="49" customHeight="1">
      <x:c r="A24" s="3" t="n">
        <x:v>23</x:v>
      </x:c>
      <x:c r="B24" s="3" t="str">
        <x:v>TC_PERMISSION_023</x:v>
      </x:c>
      <x:c r="C24" s="3" t="str">
        <x:v>PERMISSION</x:v>
      </x:c>
      <x:c r="D24" s="3" t="str">
        <x:v>RBAC từng hành động</x:v>
      </x:c>
      <x:c r="E24" s="3" t="str">
        <x:v>RBAC từng hành động</x:v>
      </x:c>
      <x:c r="F24" s="3" t="str">
        <x:v>Security — GET BACKEND /api/admin/resources thiếu resources.view</x:v>
      </x:c>
      <x:c r="G24" s="3" t="str">
        <x:v>GET BACKEND /api/admin/resources thiếu resources.view</x:v>
      </x:c>
      <x:c r="H24" s="3" t="str">
        <x:v>NFR-001</x:v>
      </x:c>
      <x:c r="I24" s="3" t="str">
        <x:v>Role QA thiếu permission cụ thể</x:v>
      </x:c>
      <x:c r="J24" s="3" t="str">
        <x:v>Security</x:v>
      </x:c>
      <x:c r="K24" s="3" t="str">
        <x:v>Critical</x:v>
      </x:c>
      <x:c r="L24" s="3" t="str">
        <x:v>Critical</x:v>
      </x:c>
      <x:c r="M24" s="3" t="str">
        <x:v>Môi trường QA cô lập, DB/MinIO sẵn sàng; dữ liệu fixture đã tạo. Đăng nhập tài khoản ACTIVE, mustChangePassword=false.</x:v>
      </x:c>
      <x:c r="N24" s="3" t="str">
        <x:v>RESOURCE</x:v>
      </x:c>
      <x:c r="O24" s="3" t="str">
        <x:v>1. Đăng nhập tài khoản test có phiên hợp lệ nhưng thiếu riêng resources.view
2. Gửi GET BACKEND /api/admin/resources trực tiếp, bỏ qua UI</x:v>
      </x:c>
      <x:c r="P24" s="3" t="str">
        <x:v>HTTP 403; không tạo/sửa/xóa dữ liệu; quyền khác không thay thế quyền đang thiếu.</x:v>
      </x:c>
      <x:c r="Q24" s="11" t="str"/>
      <x:c r="R24" s="8" t="str">
        <x:v>NOT RUN</x:v>
      </x:c>
      <x:c r="S24" s="11" t="str">
        <x:v>QA/UAT — cần điền URL/build</x:v>
      </x:c>
      <x:c r="T24" s="11" t="str">
        <x:v>Cần điền phiên bản thực</x:v>
      </x:c>
      <x:c r="U24" s="11" t="str"/>
      <x:c r="V24" s="12" t="str"/>
      <x:c r="W24" s="11" t="str"/>
      <x:c r="X24" s="11" t="str"/>
      <x:c r="Y24" s="3" t="str">
        <x:v>Nguồn: backend/src/modules/cms/cms.routes.ts:367. </x:v>
      </x:c>
    </x:row>
    <x:row r="25" ht="36" customHeight="1">
      <x:c r="A25" s="3" t="n">
        <x:v>24</x:v>
      </x:c>
      <x:c r="B25" s="3" t="str">
        <x:v>TC_PERMISSION_024</x:v>
      </x:c>
      <x:c r="C25" s="3" t="str">
        <x:v>PERMISSION</x:v>
      </x:c>
      <x:c r="D25" s="3" t="str">
        <x:v>Xác thực server</x:v>
      </x:c>
      <x:c r="E25" s="3" t="str">
        <x:v>Xác thực server</x:v>
      </x:c>
      <x:c r="F25" s="3" t="str">
        <x:v>Security — GET BACKEND /api/admin/resources/:id không có phiên</x:v>
      </x:c>
      <x:c r="G25" s="3" t="str">
        <x:v>GET BACKEND /api/admin/resources/:id không có phiên</x:v>
      </x:c>
      <x:c r="H25" s="3" t="str">
        <x:v>NFR-001</x:v>
      </x:c>
      <x:c r="I25" s="3" t="str">
        <x:v>Khách truy cập</x:v>
      </x:c>
      <x:c r="J25" s="3" t="str">
        <x:v>Security</x:v>
      </x:c>
      <x:c r="K25" s="3" t="str">
        <x:v>Critical</x:v>
      </x:c>
      <x:c r="L25" s="3" t="str">
        <x:v>Critical</x:v>
      </x:c>
      <x:c r="M25" s="3" t="str">
        <x:v>Môi trường QA cô lập, DB/MinIO sẵn sàng; dữ liệu fixture đã tạo. Không đăng nhập.</x:v>
      </x:c>
      <x:c r="N25" s="3" t="str">
        <x:v>RESOURCE</x:v>
      </x:c>
      <x:c r="O25" s="3" t="str">
        <x:v>1. Xóa cookie hoàn toàn
2. Gửi GET BACKEND /api/admin/resources/:id với dữ liệu hợp lệ</x:v>
      </x:c>
      <x:c r="P25" s="3" t="str">
        <x:v>HTTP 401; không trả dữ liệu quản trị và không thay đổi DB/MinIO.</x:v>
      </x:c>
      <x:c r="Q25" s="11" t="str"/>
      <x:c r="R25" s="8" t="str">
        <x:v>NOT RUN</x:v>
      </x:c>
      <x:c r="S25" s="11" t="str">
        <x:v>QA/UAT — cần điền URL/build</x:v>
      </x:c>
      <x:c r="T25" s="11" t="str">
        <x:v>Cần điền phiên bản thực</x:v>
      </x:c>
      <x:c r="U25" s="11" t="str"/>
      <x:c r="V25" s="12" t="str"/>
      <x:c r="W25" s="11" t="str"/>
      <x:c r="X25" s="11" t="str"/>
      <x:c r="Y25" s="3" t="str">
        <x:v>Nguồn: backend/src/modules/cms/cms.routes.ts:378. </x:v>
      </x:c>
    </x:row>
    <x:row r="26" ht="49" customHeight="1">
      <x:c r="A26" s="3" t="n">
        <x:v>25</x:v>
      </x:c>
      <x:c r="B26" s="3" t="str">
        <x:v>TC_PERMISSION_025</x:v>
      </x:c>
      <x:c r="C26" s="3" t="str">
        <x:v>PERMISSION</x:v>
      </x:c>
      <x:c r="D26" s="3" t="str">
        <x:v>Phiên hết hạn</x:v>
      </x:c>
      <x:c r="E26" s="3" t="str">
        <x:v>Phiên hết hạn</x:v>
      </x:c>
      <x:c r="F26" s="3" t="str">
        <x:v>Security — GET BACKEND /api/admin/resources/:id hết hạn</x:v>
      </x:c>
      <x:c r="G26" s="3" t="str">
        <x:v>GET BACKEND /api/admin/resources/:id hết hạn</x:v>
      </x:c>
      <x:c r="H26" s="3" t="str">
        <x:v>NFR-001</x:v>
      </x:c>
      <x:c r="I26" s="3" t="str">
        <x:v>QTV có quyền tương ứng</x:v>
      </x:c>
      <x:c r="J26" s="3" t="str">
        <x:v>Security</x:v>
      </x:c>
      <x:c r="K26" s="3" t="str">
        <x:v>High</x:v>
      </x:c>
      <x:c r="L26" s="3" t="str">
        <x:v>High</x:v>
      </x:c>
      <x:c r="M26" s="3" t="str">
        <x:v>Môi trường QA cô lập, DB/MinIO sẵn sàng; dữ liệu fixture đã tạo. Đăng nhập tài khoản ACTIVE, mustChangePassword=false.</x:v>
      </x:c>
      <x:c r="N26" s="3" t="str">
        <x:v>RESOURCE</x:v>
      </x:c>
      <x:c r="O26" s="3" t="str">
        <x:v>1. Tạo cookie có Session.expiresAt đã qua
2. Gửi GET BACKEND /api/admin/resources/:id</x:v>
      </x:c>
      <x:c r="P26" s="3" t="str">
        <x:v>HTTP 401; không có mutation; không trả dữ liệu quản trị.</x:v>
      </x:c>
      <x:c r="Q26" s="11" t="str"/>
      <x:c r="R26" s="8" t="str">
        <x:v>NOT RUN</x:v>
      </x:c>
      <x:c r="S26" s="11" t="str">
        <x:v>QA/UAT — cần điền URL/build</x:v>
      </x:c>
      <x:c r="T26" s="11" t="str">
        <x:v>Cần điền phiên bản thực</x:v>
      </x:c>
      <x:c r="U26" s="11" t="str"/>
      <x:c r="V26" s="12" t="str"/>
      <x:c r="W26" s="11" t="str"/>
      <x:c r="X26" s="11" t="str"/>
      <x:c r="Y26" s="3" t="str">
        <x:v>Nguồn: backend/src/modules/cms/cms.routes.ts:378. </x:v>
      </x:c>
    </x:row>
    <x:row r="27" ht="49" customHeight="1">
      <x:c r="A27" s="3" t="n">
        <x:v>26</x:v>
      </x:c>
      <x:c r="B27" s="3" t="str">
        <x:v>TC_PERMISSION_026</x:v>
      </x:c>
      <x:c r="C27" s="3" t="str">
        <x:v>PERMISSION</x:v>
      </x:c>
      <x:c r="D27" s="3" t="str">
        <x:v>RBAC từng hành động</x:v>
      </x:c>
      <x:c r="E27" s="3" t="str">
        <x:v>RBAC từng hành động</x:v>
      </x:c>
      <x:c r="F27" s="3" t="str">
        <x:v>Security — GET BACKEND /api/admin/resources/:id thiếu resources.view</x:v>
      </x:c>
      <x:c r="G27" s="3" t="str">
        <x:v>GET BACKEND /api/admin/resources/:id thiếu resources.view</x:v>
      </x:c>
      <x:c r="H27" s="3" t="str">
        <x:v>NFR-001</x:v>
      </x:c>
      <x:c r="I27" s="3" t="str">
        <x:v>Role QA thiếu permission cụ thể</x:v>
      </x:c>
      <x:c r="J27" s="3" t="str">
        <x:v>Security</x:v>
      </x:c>
      <x:c r="K27" s="3" t="str">
        <x:v>Critical</x:v>
      </x:c>
      <x:c r="L27" s="3" t="str">
        <x:v>Critical</x:v>
      </x:c>
      <x:c r="M27" s="3" t="str">
        <x:v>Môi trường QA cô lập, DB/MinIO sẵn sàng; dữ liệu fixture đã tạo. Đăng nhập tài khoản ACTIVE, mustChangePassword=false.</x:v>
      </x:c>
      <x:c r="N27" s="3" t="str">
        <x:v>RESOURCE</x:v>
      </x:c>
      <x:c r="O27" s="3" t="str">
        <x:v>1. Đăng nhập tài khoản test có phiên hợp lệ nhưng thiếu riêng resources.view
2. Gửi GET BACKEND /api/admin/resources/:id trực tiếp, bỏ qua UI</x:v>
      </x:c>
      <x:c r="P27" s="3" t="str">
        <x:v>HTTP 403; không tạo/sửa/xóa dữ liệu; quyền khác không thay thế quyền đang thiếu.</x:v>
      </x:c>
      <x:c r="Q27" s="11" t="str"/>
      <x:c r="R27" s="8" t="str">
        <x:v>NOT RUN</x:v>
      </x:c>
      <x:c r="S27" s="11" t="str">
        <x:v>QA/UAT — cần điền URL/build</x:v>
      </x:c>
      <x:c r="T27" s="11" t="str">
        <x:v>Cần điền phiên bản thực</x:v>
      </x:c>
      <x:c r="U27" s="11" t="str"/>
      <x:c r="V27" s="12" t="str"/>
      <x:c r="W27" s="11" t="str"/>
      <x:c r="X27" s="11" t="str"/>
      <x:c r="Y27" s="3" t="str">
        <x:v>Nguồn: backend/src/modules/cms/cms.routes.ts:378. </x:v>
      </x:c>
    </x:row>
    <x:row r="28" ht="36" customHeight="1">
      <x:c r="A28" s="3" t="n">
        <x:v>27</x:v>
      </x:c>
      <x:c r="B28" s="3" t="str">
        <x:v>TC_PERMISSION_027</x:v>
      </x:c>
      <x:c r="C28" s="3" t="str">
        <x:v>PERMISSION</x:v>
      </x:c>
      <x:c r="D28" s="3" t="str">
        <x:v>Xác thực server</x:v>
      </x:c>
      <x:c r="E28" s="3" t="str">
        <x:v>Xác thực server</x:v>
      </x:c>
      <x:c r="F28" s="3" t="str">
        <x:v>Security — POST BACKEND /api/admin/resources không có phiên</x:v>
      </x:c>
      <x:c r="G28" s="3" t="str">
        <x:v>POST BACKEND /api/admin/resources không có phiên</x:v>
      </x:c>
      <x:c r="H28" s="3" t="str">
        <x:v>NFR-001</x:v>
      </x:c>
      <x:c r="I28" s="3" t="str">
        <x:v>Khách truy cập</x:v>
      </x:c>
      <x:c r="J28" s="3" t="str">
        <x:v>Security</x:v>
      </x:c>
      <x:c r="K28" s="3" t="str">
        <x:v>Critical</x:v>
      </x:c>
      <x:c r="L28" s="3" t="str">
        <x:v>Critical</x:v>
      </x:c>
      <x:c r="M28" s="3" t="str">
        <x:v>Môi trường QA cô lập, DB/MinIO sẵn sàng; dữ liệu fixture đã tạo. Không đăng nhập.</x:v>
      </x:c>
      <x:c r="N28" s="3" t="str">
        <x:v>RESOURCE</x:v>
      </x:c>
      <x:c r="O28" s="3" t="str">
        <x:v>1. Xóa cookie hoàn toàn
2. Gửi POST BACKEND /api/admin/resources với dữ liệu hợp lệ</x:v>
      </x:c>
      <x:c r="P28" s="3" t="str">
        <x:v>HTTP 401; không trả dữ liệu quản trị và không thay đổi DB/MinIO.</x:v>
      </x:c>
      <x:c r="Q28" s="11" t="str"/>
      <x:c r="R28" s="8" t="str">
        <x:v>NOT RUN</x:v>
      </x:c>
      <x:c r="S28" s="11" t="str">
        <x:v>QA/UAT — cần điền URL/build</x:v>
      </x:c>
      <x:c r="T28" s="11" t="str">
        <x:v>Cần điền phiên bản thực</x:v>
      </x:c>
      <x:c r="U28" s="11" t="str"/>
      <x:c r="V28" s="12" t="str"/>
      <x:c r="W28" s="11" t="str"/>
      <x:c r="X28" s="11" t="str"/>
      <x:c r="Y28" s="3" t="str">
        <x:v>Nguồn: backend/src/modules/cms/cms.routes.ts:367. </x:v>
      </x:c>
    </x:row>
    <x:row r="29" ht="49" customHeight="1">
      <x:c r="A29" s="3" t="n">
        <x:v>28</x:v>
      </x:c>
      <x:c r="B29" s="3" t="str">
        <x:v>TC_PERMISSION_028</x:v>
      </x:c>
      <x:c r="C29" s="3" t="str">
        <x:v>PERMISSION</x:v>
      </x:c>
      <x:c r="D29" s="3" t="str">
        <x:v>Phiên hết hạn</x:v>
      </x:c>
      <x:c r="E29" s="3" t="str">
        <x:v>Phiên hết hạn</x:v>
      </x:c>
      <x:c r="F29" s="3" t="str">
        <x:v>Security — POST BACKEND /api/admin/resources hết hạn</x:v>
      </x:c>
      <x:c r="G29" s="3" t="str">
        <x:v>POST BACKEND /api/admin/resources hết hạn</x:v>
      </x:c>
      <x:c r="H29" s="3" t="str">
        <x:v>NFR-001</x:v>
      </x:c>
      <x:c r="I29" s="3" t="str">
        <x:v>QTV có quyền tương ứng</x:v>
      </x:c>
      <x:c r="J29" s="3" t="str">
        <x:v>Security</x:v>
      </x:c>
      <x:c r="K29" s="3" t="str">
        <x:v>High</x:v>
      </x:c>
      <x:c r="L29" s="3" t="str">
        <x:v>High</x:v>
      </x:c>
      <x:c r="M29" s="3" t="str">
        <x:v>Môi trường QA cô lập, DB/MinIO sẵn sàng; dữ liệu fixture đã tạo. Đăng nhập tài khoản ACTIVE, mustChangePassword=false.</x:v>
      </x:c>
      <x:c r="N29" s="3" t="str">
        <x:v>RESOURCE</x:v>
      </x:c>
      <x:c r="O29" s="3" t="str">
        <x:v>1. Tạo cookie có Session.expiresAt đã qua
2. Gửi POST BACKEND /api/admin/resources</x:v>
      </x:c>
      <x:c r="P29" s="3" t="str">
        <x:v>HTTP 401; không có mutation; không trả dữ liệu quản trị.</x:v>
      </x:c>
      <x:c r="Q29" s="11" t="str"/>
      <x:c r="R29" s="8" t="str">
        <x:v>NOT RUN</x:v>
      </x:c>
      <x:c r="S29" s="11" t="str">
        <x:v>QA/UAT — cần điền URL/build</x:v>
      </x:c>
      <x:c r="T29" s="11" t="str">
        <x:v>Cần điền phiên bản thực</x:v>
      </x:c>
      <x:c r="U29" s="11" t="str"/>
      <x:c r="V29" s="12" t="str"/>
      <x:c r="W29" s="11" t="str"/>
      <x:c r="X29" s="11" t="str"/>
      <x:c r="Y29" s="3" t="str">
        <x:v>Nguồn: backend/src/modules/cms/cms.routes.ts:367. </x:v>
      </x:c>
    </x:row>
    <x:row r="30" ht="49" customHeight="1">
      <x:c r="A30" s="3" t="n">
        <x:v>29</x:v>
      </x:c>
      <x:c r="B30" s="3" t="str">
        <x:v>TC_PERMISSION_029</x:v>
      </x:c>
      <x:c r="C30" s="3" t="str">
        <x:v>PERMISSION</x:v>
      </x:c>
      <x:c r="D30" s="3" t="str">
        <x:v>RBAC từng hành động</x:v>
      </x:c>
      <x:c r="E30" s="3" t="str">
        <x:v>RBAC từng hành động</x:v>
      </x:c>
      <x:c r="F30" s="3" t="str">
        <x:v>Security — POST BACKEND /api/admin/resources thiếu resources.create</x:v>
      </x:c>
      <x:c r="G30" s="3" t="str">
        <x:v>POST BACKEND /api/admin/resources thiếu resources.create</x:v>
      </x:c>
      <x:c r="H30" s="3" t="str">
        <x:v>NFR-001</x:v>
      </x:c>
      <x:c r="I30" s="3" t="str">
        <x:v>Role QA thiếu permission cụ thể</x:v>
      </x:c>
      <x:c r="J30" s="3" t="str">
        <x:v>Security</x:v>
      </x:c>
      <x:c r="K30" s="3" t="str">
        <x:v>Critical</x:v>
      </x:c>
      <x:c r="L30" s="3" t="str">
        <x:v>Critical</x:v>
      </x:c>
      <x:c r="M30" s="3" t="str">
        <x:v>Môi trường QA cô lập, DB/MinIO sẵn sàng; dữ liệu fixture đã tạo. Đăng nhập tài khoản ACTIVE, mustChangePassword=false.</x:v>
      </x:c>
      <x:c r="N30" s="3" t="str">
        <x:v>RESOURCE</x:v>
      </x:c>
      <x:c r="O30" s="3" t="str">
        <x:v>1. Đăng nhập tài khoản test có phiên hợp lệ nhưng thiếu riêng resources.create
2. Gửi POST BACKEND /api/admin/resources trực tiếp, bỏ qua UI</x:v>
      </x:c>
      <x:c r="P30" s="3" t="str">
        <x:v>HTTP 403; không tạo/sửa/xóa dữ liệu; quyền khác không thay thế quyền đang thiếu.</x:v>
      </x:c>
      <x:c r="Q30" s="11" t="str"/>
      <x:c r="R30" s="8" t="str">
        <x:v>NOT RUN</x:v>
      </x:c>
      <x:c r="S30" s="11" t="str">
        <x:v>QA/UAT — cần điền URL/build</x:v>
      </x:c>
      <x:c r="T30" s="11" t="str">
        <x:v>Cần điền phiên bản thực</x:v>
      </x:c>
      <x:c r="U30" s="11" t="str"/>
      <x:c r="V30" s="12" t="str"/>
      <x:c r="W30" s="11" t="str"/>
      <x:c r="X30" s="11" t="str"/>
      <x:c r="Y30" s="3" t="str">
        <x:v>Nguồn: backend/src/modules/cms/cms.routes.ts:367. </x:v>
      </x:c>
    </x:row>
    <x:row r="31" ht="36" customHeight="1">
      <x:c r="A31" s="3" t="n">
        <x:v>30</x:v>
      </x:c>
      <x:c r="B31" s="3" t="str">
        <x:v>TC_PERMISSION_030</x:v>
      </x:c>
      <x:c r="C31" s="3" t="str">
        <x:v>PERMISSION</x:v>
      </x:c>
      <x:c r="D31" s="3" t="str">
        <x:v>Xác thực server</x:v>
      </x:c>
      <x:c r="E31" s="3" t="str">
        <x:v>Xác thực server</x:v>
      </x:c>
      <x:c r="F31" s="3" t="str">
        <x:v>Security — PUT BACKEND /api/admin/resources/:id không có phiên</x:v>
      </x:c>
      <x:c r="G31" s="3" t="str">
        <x:v>PUT BACKEND /api/admin/resources/:id không có phiên</x:v>
      </x:c>
      <x:c r="H31" s="3" t="str">
        <x:v>NFR-001</x:v>
      </x:c>
      <x:c r="I31" s="3" t="str">
        <x:v>Khách truy cập</x:v>
      </x:c>
      <x:c r="J31" s="3" t="str">
        <x:v>Security</x:v>
      </x:c>
      <x:c r="K31" s="3" t="str">
        <x:v>Critical</x:v>
      </x:c>
      <x:c r="L31" s="3" t="str">
        <x:v>Critical</x:v>
      </x:c>
      <x:c r="M31" s="3" t="str">
        <x:v>Môi trường QA cô lập, DB/MinIO sẵn sàng; dữ liệu fixture đã tạo. Không đăng nhập.</x:v>
      </x:c>
      <x:c r="N31" s="3" t="str">
        <x:v>RESOURCE</x:v>
      </x:c>
      <x:c r="O31" s="3" t="str">
        <x:v>1. Xóa cookie hoàn toàn
2. Gửi PUT BACKEND /api/admin/resources/:id với dữ liệu hợp lệ</x:v>
      </x:c>
      <x:c r="P31" s="3" t="str">
        <x:v>HTTP 401; không trả dữ liệu quản trị và không thay đổi DB/MinIO.</x:v>
      </x:c>
      <x:c r="Q31" s="11" t="str"/>
      <x:c r="R31" s="8" t="str">
        <x:v>NOT RUN</x:v>
      </x:c>
      <x:c r="S31" s="11" t="str">
        <x:v>QA/UAT — cần điền URL/build</x:v>
      </x:c>
      <x:c r="T31" s="11" t="str">
        <x:v>Cần điền phiên bản thực</x:v>
      </x:c>
      <x:c r="U31" s="11" t="str"/>
      <x:c r="V31" s="12" t="str"/>
      <x:c r="W31" s="11" t="str"/>
      <x:c r="X31" s="11" t="str"/>
      <x:c r="Y31" s="3" t="str">
        <x:v>Nguồn: backend/src/modules/cms/cms.routes.ts:378. </x:v>
      </x:c>
    </x:row>
    <x:row r="32" ht="49" customHeight="1">
      <x:c r="A32" s="3" t="n">
        <x:v>31</x:v>
      </x:c>
      <x:c r="B32" s="3" t="str">
        <x:v>TC_PERMISSION_031</x:v>
      </x:c>
      <x:c r="C32" s="3" t="str">
        <x:v>PERMISSION</x:v>
      </x:c>
      <x:c r="D32" s="3" t="str">
        <x:v>Phiên hết hạn</x:v>
      </x:c>
      <x:c r="E32" s="3" t="str">
        <x:v>Phiên hết hạn</x:v>
      </x:c>
      <x:c r="F32" s="3" t="str">
        <x:v>Security — PUT BACKEND /api/admin/resources/:id hết hạn</x:v>
      </x:c>
      <x:c r="G32" s="3" t="str">
        <x:v>PUT BACKEND /api/admin/resources/:id hết hạn</x:v>
      </x:c>
      <x:c r="H32" s="3" t="str">
        <x:v>NFR-001</x:v>
      </x:c>
      <x:c r="I32" s="3" t="str">
        <x:v>QTV có quyền tương ứng</x:v>
      </x:c>
      <x:c r="J32" s="3" t="str">
        <x:v>Security</x:v>
      </x:c>
      <x:c r="K32" s="3" t="str">
        <x:v>High</x:v>
      </x:c>
      <x:c r="L32" s="3" t="str">
        <x:v>High</x:v>
      </x:c>
      <x:c r="M32" s="3" t="str">
        <x:v>Môi trường QA cô lập, DB/MinIO sẵn sàng; dữ liệu fixture đã tạo. Đăng nhập tài khoản ACTIVE, mustChangePassword=false.</x:v>
      </x:c>
      <x:c r="N32" s="3" t="str">
        <x:v>RESOURCE</x:v>
      </x:c>
      <x:c r="O32" s="3" t="str">
        <x:v>1. Tạo cookie có Session.expiresAt đã qua
2. Gửi PUT BACKEND /api/admin/resources/:id</x:v>
      </x:c>
      <x:c r="P32" s="3" t="str">
        <x:v>HTTP 401; không có mutation; không trả dữ liệu quản trị.</x:v>
      </x:c>
      <x:c r="Q32" s="11" t="str"/>
      <x:c r="R32" s="8" t="str">
        <x:v>NOT RUN</x:v>
      </x:c>
      <x:c r="S32" s="11" t="str">
        <x:v>QA/UAT — cần điền URL/build</x:v>
      </x:c>
      <x:c r="T32" s="11" t="str">
        <x:v>Cần điền phiên bản thực</x:v>
      </x:c>
      <x:c r="U32" s="11" t="str"/>
      <x:c r="V32" s="12" t="str"/>
      <x:c r="W32" s="11" t="str"/>
      <x:c r="X32" s="11" t="str"/>
      <x:c r="Y32" s="3" t="str">
        <x:v>Nguồn: backend/src/modules/cms/cms.routes.ts:378. </x:v>
      </x:c>
    </x:row>
    <x:row r="33" ht="49" customHeight="1">
      <x:c r="A33" s="3" t="n">
        <x:v>32</x:v>
      </x:c>
      <x:c r="B33" s="3" t="str">
        <x:v>TC_PERMISSION_032</x:v>
      </x:c>
      <x:c r="C33" s="3" t="str">
        <x:v>PERMISSION</x:v>
      </x:c>
      <x:c r="D33" s="3" t="str">
        <x:v>RBAC từng hành động</x:v>
      </x:c>
      <x:c r="E33" s="3" t="str">
        <x:v>RBAC từng hành động</x:v>
      </x:c>
      <x:c r="F33" s="3" t="str">
        <x:v>Security — PUT BACKEND /api/admin/resources/:id thiếu resources.update</x:v>
      </x:c>
      <x:c r="G33" s="3" t="str">
        <x:v>PUT BACKEND /api/admin/resources/:id thiếu resources.update</x:v>
      </x:c>
      <x:c r="H33" s="3" t="str">
        <x:v>NFR-001</x:v>
      </x:c>
      <x:c r="I33" s="3" t="str">
        <x:v>Role QA thiếu permission cụ thể</x:v>
      </x:c>
      <x:c r="J33" s="3" t="str">
        <x:v>Security</x:v>
      </x:c>
      <x:c r="K33" s="3" t="str">
        <x:v>Critical</x:v>
      </x:c>
      <x:c r="L33" s="3" t="str">
        <x:v>Critical</x:v>
      </x:c>
      <x:c r="M33" s="3" t="str">
        <x:v>Môi trường QA cô lập, DB/MinIO sẵn sàng; dữ liệu fixture đã tạo. Đăng nhập tài khoản ACTIVE, mustChangePassword=false.</x:v>
      </x:c>
      <x:c r="N33" s="3" t="str">
        <x:v>RESOURCE</x:v>
      </x:c>
      <x:c r="O33" s="3" t="str">
        <x:v>1. Đăng nhập tài khoản test có phiên hợp lệ nhưng thiếu riêng resources.update
2. Gửi PUT BACKEND /api/admin/resources/:id trực tiếp, bỏ qua UI</x:v>
      </x:c>
      <x:c r="P33" s="3" t="str">
        <x:v>HTTP 403; không tạo/sửa/xóa dữ liệu; quyền khác không thay thế quyền đang thiếu.</x:v>
      </x:c>
      <x:c r="Q33" s="11" t="str"/>
      <x:c r="R33" s="8" t="str">
        <x:v>NOT RUN</x:v>
      </x:c>
      <x:c r="S33" s="11" t="str">
        <x:v>QA/UAT — cần điền URL/build</x:v>
      </x:c>
      <x:c r="T33" s="11" t="str">
        <x:v>Cần điền phiên bản thực</x:v>
      </x:c>
      <x:c r="U33" s="11" t="str"/>
      <x:c r="V33" s="12" t="str"/>
      <x:c r="W33" s="11" t="str"/>
      <x:c r="X33" s="11" t="str"/>
      <x:c r="Y33" s="3" t="str">
        <x:v>Nguồn: backend/src/modules/cms/cms.routes.ts:378. </x:v>
      </x:c>
    </x:row>
    <x:row r="34" ht="36" customHeight="1">
      <x:c r="A34" s="3" t="n">
        <x:v>33</x:v>
      </x:c>
      <x:c r="B34" s="3" t="str">
        <x:v>TC_PERMISSION_033</x:v>
      </x:c>
      <x:c r="C34" s="3" t="str">
        <x:v>PERMISSION</x:v>
      </x:c>
      <x:c r="D34" s="3" t="str">
        <x:v>Xác thực server</x:v>
      </x:c>
      <x:c r="E34" s="3" t="str">
        <x:v>Xác thực server</x:v>
      </x:c>
      <x:c r="F34" s="3" t="str">
        <x:v>Security — DELETE BACKEND /api/admin/resources/:id không có phiên</x:v>
      </x:c>
      <x:c r="G34" s="3" t="str">
        <x:v>DELETE BACKEND /api/admin/resources/:id không có phiên</x:v>
      </x:c>
      <x:c r="H34" s="3" t="str">
        <x:v>NFR-001</x:v>
      </x:c>
      <x:c r="I34" s="3" t="str">
        <x:v>Khách truy cập</x:v>
      </x:c>
      <x:c r="J34" s="3" t="str">
        <x:v>Security</x:v>
      </x:c>
      <x:c r="K34" s="3" t="str">
        <x:v>Critical</x:v>
      </x:c>
      <x:c r="L34" s="3" t="str">
        <x:v>Critical</x:v>
      </x:c>
      <x:c r="M34" s="3" t="str">
        <x:v>Môi trường QA cô lập, DB/MinIO sẵn sàng; dữ liệu fixture đã tạo. Không đăng nhập.</x:v>
      </x:c>
      <x:c r="N34" s="3" t="str">
        <x:v>RESOURCE</x:v>
      </x:c>
      <x:c r="O34" s="3" t="str">
        <x:v>1. Xóa cookie hoàn toàn
2. Gửi DELETE BACKEND /api/admin/resources/:id với dữ liệu hợp lệ</x:v>
      </x:c>
      <x:c r="P34" s="3" t="str">
        <x:v>HTTP 401; không trả dữ liệu quản trị và không thay đổi DB/MinIO.</x:v>
      </x:c>
      <x:c r="Q34" s="11" t="str"/>
      <x:c r="R34" s="8" t="str">
        <x:v>NOT RUN</x:v>
      </x:c>
      <x:c r="S34" s="11" t="str">
        <x:v>QA/UAT — cần điền URL/build</x:v>
      </x:c>
      <x:c r="T34" s="11" t="str">
        <x:v>Cần điền phiên bản thực</x:v>
      </x:c>
      <x:c r="U34" s="11" t="str"/>
      <x:c r="V34" s="12" t="str"/>
      <x:c r="W34" s="11" t="str"/>
      <x:c r="X34" s="11" t="str"/>
      <x:c r="Y34" s="3" t="str">
        <x:v>Nguồn: backend/src/modules/cms/cms.routes.ts:378. </x:v>
      </x:c>
    </x:row>
    <x:row r="35" ht="49" customHeight="1">
      <x:c r="A35" s="3" t="n">
        <x:v>34</x:v>
      </x:c>
      <x:c r="B35" s="3" t="str">
        <x:v>TC_PERMISSION_034</x:v>
      </x:c>
      <x:c r="C35" s="3" t="str">
        <x:v>PERMISSION</x:v>
      </x:c>
      <x:c r="D35" s="3" t="str">
        <x:v>Phiên hết hạn</x:v>
      </x:c>
      <x:c r="E35" s="3" t="str">
        <x:v>Phiên hết hạn</x:v>
      </x:c>
      <x:c r="F35" s="3" t="str">
        <x:v>Security — DELETE BACKEND /api/admin/resources/:id hết hạn</x:v>
      </x:c>
      <x:c r="G35" s="3" t="str">
        <x:v>DELETE BACKEND /api/admin/resources/:id hết hạn</x:v>
      </x:c>
      <x:c r="H35" s="3" t="str">
        <x:v>NFR-001</x:v>
      </x:c>
      <x:c r="I35" s="3" t="str">
        <x:v>QTV có quyền tương ứng</x:v>
      </x:c>
      <x:c r="J35" s="3" t="str">
        <x:v>Security</x:v>
      </x:c>
      <x:c r="K35" s="3" t="str">
        <x:v>High</x:v>
      </x:c>
      <x:c r="L35" s="3" t="str">
        <x:v>High</x:v>
      </x:c>
      <x:c r="M35" s="3" t="str">
        <x:v>Môi trường QA cô lập, DB/MinIO sẵn sàng; dữ liệu fixture đã tạo. Đăng nhập tài khoản ACTIVE, mustChangePassword=false.</x:v>
      </x:c>
      <x:c r="N35" s="3" t="str">
        <x:v>RESOURCE</x:v>
      </x:c>
      <x:c r="O35" s="3" t="str">
        <x:v>1. Tạo cookie có Session.expiresAt đã qua
2. Gửi DELETE BACKEND /api/admin/resources/:id</x:v>
      </x:c>
      <x:c r="P35" s="3" t="str">
        <x:v>HTTP 401; không có mutation; không trả dữ liệu quản trị.</x:v>
      </x:c>
      <x:c r="Q35" s="11" t="str"/>
      <x:c r="R35" s="8" t="str">
        <x:v>NOT RUN</x:v>
      </x:c>
      <x:c r="S35" s="11" t="str">
        <x:v>QA/UAT — cần điền URL/build</x:v>
      </x:c>
      <x:c r="T35" s="11" t="str">
        <x:v>Cần điền phiên bản thực</x:v>
      </x:c>
      <x:c r="U35" s="11" t="str"/>
      <x:c r="V35" s="12" t="str"/>
      <x:c r="W35" s="11" t="str"/>
      <x:c r="X35" s="11" t="str"/>
      <x:c r="Y35" s="3" t="str">
        <x:v>Nguồn: backend/src/modules/cms/cms.routes.ts:378. </x:v>
      </x:c>
    </x:row>
    <x:row r="36" ht="49" customHeight="1">
      <x:c r="A36" s="3" t="n">
        <x:v>35</x:v>
      </x:c>
      <x:c r="B36" s="3" t="str">
        <x:v>TC_PERMISSION_035</x:v>
      </x:c>
      <x:c r="C36" s="3" t="str">
        <x:v>PERMISSION</x:v>
      </x:c>
      <x:c r="D36" s="3" t="str">
        <x:v>RBAC từng hành động</x:v>
      </x:c>
      <x:c r="E36" s="3" t="str">
        <x:v>RBAC từng hành động</x:v>
      </x:c>
      <x:c r="F36" s="3" t="str">
        <x:v>Security — DELETE BACKEND /api/admin/resources/:id thiếu resources.delete</x:v>
      </x:c>
      <x:c r="G36" s="3" t="str">
        <x:v>DELETE BACKEND /api/admin/resources/:id thiếu resources.delete</x:v>
      </x:c>
      <x:c r="H36" s="3" t="str">
        <x:v>NFR-001</x:v>
      </x:c>
      <x:c r="I36" s="3" t="str">
        <x:v>Role QA thiếu permission cụ thể</x:v>
      </x:c>
      <x:c r="J36" s="3" t="str">
        <x:v>Security</x:v>
      </x:c>
      <x:c r="K36" s="3" t="str">
        <x:v>Critical</x:v>
      </x:c>
      <x:c r="L36" s="3" t="str">
        <x:v>Critical</x:v>
      </x:c>
      <x:c r="M36" s="3" t="str">
        <x:v>Môi trường QA cô lập, DB/MinIO sẵn sàng; dữ liệu fixture đã tạo. Đăng nhập tài khoản ACTIVE, mustChangePassword=false.</x:v>
      </x:c>
      <x:c r="N36" s="3" t="str">
        <x:v>RESOURCE</x:v>
      </x:c>
      <x:c r="O36" s="3" t="str">
        <x:v>1. Đăng nhập tài khoản test có phiên hợp lệ nhưng thiếu riêng resources.delete
2. Gửi DELETE BACKEND /api/admin/resources/:id trực tiếp, bỏ qua UI</x:v>
      </x:c>
      <x:c r="P36" s="3" t="str">
        <x:v>HTTP 403; không tạo/sửa/xóa dữ liệu; quyền khác không thay thế quyền đang thiếu.</x:v>
      </x:c>
      <x:c r="Q36" s="11" t="str"/>
      <x:c r="R36" s="8" t="str">
        <x:v>NOT RUN</x:v>
      </x:c>
      <x:c r="S36" s="11" t="str">
        <x:v>QA/UAT — cần điền URL/build</x:v>
      </x:c>
      <x:c r="T36" s="11" t="str">
        <x:v>Cần điền phiên bản thực</x:v>
      </x:c>
      <x:c r="U36" s="11" t="str"/>
      <x:c r="V36" s="12" t="str"/>
      <x:c r="W36" s="11" t="str"/>
      <x:c r="X36" s="11" t="str"/>
      <x:c r="Y36" s="3" t="str">
        <x:v>Nguồn: backend/src/modules/cms/cms.routes.ts:378. </x:v>
      </x:c>
    </x:row>
    <x:row r="37" ht="36" customHeight="1">
      <x:c r="A37" s="3" t="n">
        <x:v>36</x:v>
      </x:c>
      <x:c r="B37" s="3" t="str">
        <x:v>TC_PERMISSION_036</x:v>
      </x:c>
      <x:c r="C37" s="3" t="str">
        <x:v>PERMISSION</x:v>
      </x:c>
      <x:c r="D37" s="3" t="str">
        <x:v>Xác thực server</x:v>
      </x:c>
      <x:c r="E37" s="3" t="str">
        <x:v>Xác thực server</x:v>
      </x:c>
      <x:c r="F37" s="3" t="str">
        <x:v>Security — GET BACKEND /api/admin/resource-categories không có phiên</x:v>
      </x:c>
      <x:c r="G37" s="3" t="str">
        <x:v>GET BACKEND /api/admin/resource-categories không có phiên</x:v>
      </x:c>
      <x:c r="H37" s="3" t="str">
        <x:v>NFR-001</x:v>
      </x:c>
      <x:c r="I37" s="3" t="str">
        <x:v>Khách truy cập</x:v>
      </x:c>
      <x:c r="J37" s="3" t="str">
        <x:v>Security</x:v>
      </x:c>
      <x:c r="K37" s="3" t="str">
        <x:v>Critical</x:v>
      </x:c>
      <x:c r="L37" s="3" t="str">
        <x:v>Critical</x:v>
      </x:c>
      <x:c r="M37" s="3" t="str">
        <x:v>Môi trường QA cô lập, DB/MinIO sẵn sàng; dữ liệu fixture đã tạo. Không đăng nhập.</x:v>
      </x:c>
      <x:c r="N37" s="3" t="str">
        <x:v>CATEGORY</x:v>
      </x:c>
      <x:c r="O37" s="3" t="str">
        <x:v>1. Xóa cookie hoàn toàn
2. Gửi GET BACKEND /api/admin/resource-categories với dữ liệu hợp lệ</x:v>
      </x:c>
      <x:c r="P37" s="3" t="str">
        <x:v>HTTP 401; không trả dữ liệu quản trị và không thay đổi DB/MinIO.</x:v>
      </x:c>
      <x:c r="Q37" s="11" t="str"/>
      <x:c r="R37" s="8" t="str">
        <x:v>NOT RUN</x:v>
      </x:c>
      <x:c r="S37" s="11" t="str">
        <x:v>QA/UAT — cần điền URL/build</x:v>
      </x:c>
      <x:c r="T37" s="11" t="str">
        <x:v>Cần điền phiên bản thực</x:v>
      </x:c>
      <x:c r="U37" s="11" t="str"/>
      <x:c r="V37" s="12" t="str"/>
      <x:c r="W37" s="11" t="str"/>
      <x:c r="X37" s="11" t="str"/>
      <x:c r="Y37" s="3" t="str">
        <x:v>Nguồn: backend/src/modules/cms/cms.routes.ts:456. </x:v>
      </x:c>
    </x:row>
    <x:row r="38" ht="49" customHeight="1">
      <x:c r="A38" s="3" t="n">
        <x:v>37</x:v>
      </x:c>
      <x:c r="B38" s="3" t="str">
        <x:v>TC_PERMISSION_037</x:v>
      </x:c>
      <x:c r="C38" s="3" t="str">
        <x:v>PERMISSION</x:v>
      </x:c>
      <x:c r="D38" s="3" t="str">
        <x:v>Phiên hết hạn</x:v>
      </x:c>
      <x:c r="E38" s="3" t="str">
        <x:v>Phiên hết hạn</x:v>
      </x:c>
      <x:c r="F38" s="3" t="str">
        <x:v>Security — GET BACKEND /api/admin/resource-categories hết hạn</x:v>
      </x:c>
      <x:c r="G38" s="3" t="str">
        <x:v>GET BACKEND /api/admin/resource-categories hết hạn</x:v>
      </x:c>
      <x:c r="H38" s="3" t="str">
        <x:v>NFR-001</x:v>
      </x:c>
      <x:c r="I38" s="3" t="str">
        <x:v>QTV có quyền tương ứng</x:v>
      </x:c>
      <x:c r="J38" s="3" t="str">
        <x:v>Security</x:v>
      </x:c>
      <x:c r="K38" s="3" t="str">
        <x:v>High</x:v>
      </x:c>
      <x:c r="L38" s="3" t="str">
        <x:v>High</x:v>
      </x:c>
      <x:c r="M38" s="3" t="str">
        <x:v>Môi trường QA cô lập, DB/MinIO sẵn sàng; dữ liệu fixture đã tạo. Đăng nhập tài khoản ACTIVE, mustChangePassword=false.</x:v>
      </x:c>
      <x:c r="N38" s="3" t="str">
        <x:v>CATEGORY</x:v>
      </x:c>
      <x:c r="O38" s="3" t="str">
        <x:v>1. Tạo cookie có Session.expiresAt đã qua
2. Gửi GET BACKEND /api/admin/resource-categories</x:v>
      </x:c>
      <x:c r="P38" s="3" t="str">
        <x:v>HTTP 401; không có mutation; không trả dữ liệu quản trị.</x:v>
      </x:c>
      <x:c r="Q38" s="11" t="str"/>
      <x:c r="R38" s="8" t="str">
        <x:v>NOT RUN</x:v>
      </x:c>
      <x:c r="S38" s="11" t="str">
        <x:v>QA/UAT — cần điền URL/build</x:v>
      </x:c>
      <x:c r="T38" s="11" t="str">
        <x:v>Cần điền phiên bản thực</x:v>
      </x:c>
      <x:c r="U38" s="11" t="str"/>
      <x:c r="V38" s="12" t="str"/>
      <x:c r="W38" s="11" t="str"/>
      <x:c r="X38" s="11" t="str"/>
      <x:c r="Y38" s="3" t="str">
        <x:v>Nguồn: backend/src/modules/cms/cms.routes.ts:456. </x:v>
      </x:c>
    </x:row>
    <x:row r="39" ht="62" customHeight="1">
      <x:c r="A39" s="3" t="n">
        <x:v>38</x:v>
      </x:c>
      <x:c r="B39" s="3" t="str">
        <x:v>TC_PERMISSION_038</x:v>
      </x:c>
      <x:c r="C39" s="3" t="str">
        <x:v>PERMISSION</x:v>
      </x:c>
      <x:c r="D39" s="3" t="str">
        <x:v>RBAC từng hành động</x:v>
      </x:c>
      <x:c r="E39" s="3" t="str">
        <x:v>RBAC từng hành động</x:v>
      </x:c>
      <x:c r="F39" s="3" t="str">
        <x:v>Security — GET BACKEND /api/admin/resource-categories thiếu resources.view</x:v>
      </x:c>
      <x:c r="G39" s="3" t="str">
        <x:v>GET BACKEND /api/admin/resource-categories thiếu resources.view</x:v>
      </x:c>
      <x:c r="H39" s="3" t="str">
        <x:v>NFR-001</x:v>
      </x:c>
      <x:c r="I39" s="3" t="str">
        <x:v>Role QA thiếu permission cụ thể</x:v>
      </x:c>
      <x:c r="J39" s="3" t="str">
        <x:v>Security</x:v>
      </x:c>
      <x:c r="K39" s="3" t="str">
        <x:v>Critical</x:v>
      </x:c>
      <x:c r="L39" s="3" t="str">
        <x:v>Critical</x:v>
      </x:c>
      <x:c r="M39" s="3" t="str">
        <x:v>Môi trường QA cô lập, DB/MinIO sẵn sàng; dữ liệu fixture đã tạo. Đăng nhập tài khoản ACTIVE, mustChangePassword=false.</x:v>
      </x:c>
      <x:c r="N39" s="3" t="str">
        <x:v>CATEGORY</x:v>
      </x:c>
      <x:c r="O39" s="3" t="str">
        <x:v>1. Đăng nhập tài khoản test có phiên hợp lệ nhưng thiếu riêng resources.view
2. Gửi GET BACKEND /api/admin/resource-categories trực tiếp, bỏ qua UI</x:v>
      </x:c>
      <x:c r="P39" s="3" t="str">
        <x:v>HTTP 403; không tạo/sửa/xóa dữ liệu; quyền khác không thay thế quyền đang thiếu.</x:v>
      </x:c>
      <x:c r="Q39" s="11" t="str"/>
      <x:c r="R39" s="8" t="str">
        <x:v>NOT RUN</x:v>
      </x:c>
      <x:c r="S39" s="11" t="str">
        <x:v>QA/UAT — cần điền URL/build</x:v>
      </x:c>
      <x:c r="T39" s="11" t="str">
        <x:v>Cần điền phiên bản thực</x:v>
      </x:c>
      <x:c r="U39" s="11" t="str"/>
      <x:c r="V39" s="12" t="str"/>
      <x:c r="W39" s="11" t="str"/>
      <x:c r="X39" s="11" t="str"/>
      <x:c r="Y39" s="3" t="str">
        <x:v>Nguồn: backend/src/modules/cms/cms.routes.ts:456. </x:v>
      </x:c>
    </x:row>
    <x:row r="40" ht="36" customHeight="1">
      <x:c r="A40" s="3" t="n">
        <x:v>39</x:v>
      </x:c>
      <x:c r="B40" s="3" t="str">
        <x:v>TC_PERMISSION_039</x:v>
      </x:c>
      <x:c r="C40" s="3" t="str">
        <x:v>PERMISSION</x:v>
      </x:c>
      <x:c r="D40" s="3" t="str">
        <x:v>Xác thực server</x:v>
      </x:c>
      <x:c r="E40" s="3" t="str">
        <x:v>Xác thực server</x:v>
      </x:c>
      <x:c r="F40" s="3" t="str">
        <x:v>Security — POST BACKEND /api/admin/resource-categories không có phiên</x:v>
      </x:c>
      <x:c r="G40" s="3" t="str">
        <x:v>POST BACKEND /api/admin/resource-categories không có phiên</x:v>
      </x:c>
      <x:c r="H40" s="3" t="str">
        <x:v>NFR-001</x:v>
      </x:c>
      <x:c r="I40" s="3" t="str">
        <x:v>Khách truy cập</x:v>
      </x:c>
      <x:c r="J40" s="3" t="str">
        <x:v>Security</x:v>
      </x:c>
      <x:c r="K40" s="3" t="str">
        <x:v>Critical</x:v>
      </x:c>
      <x:c r="L40" s="3" t="str">
        <x:v>Critical</x:v>
      </x:c>
      <x:c r="M40" s="3" t="str">
        <x:v>Môi trường QA cô lập, DB/MinIO sẵn sàng; dữ liệu fixture đã tạo. Không đăng nhập.</x:v>
      </x:c>
      <x:c r="N40" s="3" t="str">
        <x:v>CATEGORY</x:v>
      </x:c>
      <x:c r="O40" s="3" t="str">
        <x:v>1. Xóa cookie hoàn toàn
2. Gửi POST BACKEND /api/admin/resource-categories với dữ liệu hợp lệ</x:v>
      </x:c>
      <x:c r="P40" s="3" t="str">
        <x:v>HTTP 401; không trả dữ liệu quản trị và không thay đổi DB/MinIO.</x:v>
      </x:c>
      <x:c r="Q40" s="11" t="str"/>
      <x:c r="R40" s="8" t="str">
        <x:v>NOT RUN</x:v>
      </x:c>
      <x:c r="S40" s="11" t="str">
        <x:v>QA/UAT — cần điền URL/build</x:v>
      </x:c>
      <x:c r="T40" s="11" t="str">
        <x:v>Cần điền phiên bản thực</x:v>
      </x:c>
      <x:c r="U40" s="11" t="str"/>
      <x:c r="V40" s="12" t="str"/>
      <x:c r="W40" s="11" t="str"/>
      <x:c r="X40" s="11" t="str"/>
      <x:c r="Y40" s="3" t="str">
        <x:v>Nguồn: backend/src/modules/cms/cms.routes.ts:456. </x:v>
      </x:c>
    </x:row>
    <x:row r="41" ht="49" customHeight="1">
      <x:c r="A41" s="3" t="n">
        <x:v>40</x:v>
      </x:c>
      <x:c r="B41" s="3" t="str">
        <x:v>TC_PERMISSION_040</x:v>
      </x:c>
      <x:c r="C41" s="3" t="str">
        <x:v>PERMISSION</x:v>
      </x:c>
      <x:c r="D41" s="3" t="str">
        <x:v>Phiên hết hạn</x:v>
      </x:c>
      <x:c r="E41" s="3" t="str">
        <x:v>Phiên hết hạn</x:v>
      </x:c>
      <x:c r="F41" s="3" t="str">
        <x:v>Security — POST BACKEND /api/admin/resource-categories hết hạn</x:v>
      </x:c>
      <x:c r="G41" s="3" t="str">
        <x:v>POST BACKEND /api/admin/resource-categories hết hạn</x:v>
      </x:c>
      <x:c r="H41" s="3" t="str">
        <x:v>NFR-001</x:v>
      </x:c>
      <x:c r="I41" s="3" t="str">
        <x:v>QTV có quyền tương ứng</x:v>
      </x:c>
      <x:c r="J41" s="3" t="str">
        <x:v>Security</x:v>
      </x:c>
      <x:c r="K41" s="3" t="str">
        <x:v>High</x:v>
      </x:c>
      <x:c r="L41" s="3" t="str">
        <x:v>High</x:v>
      </x:c>
      <x:c r="M41" s="3" t="str">
        <x:v>Môi trường QA cô lập, DB/MinIO sẵn sàng; dữ liệu fixture đã tạo. Đăng nhập tài khoản ACTIVE, mustChangePassword=false.</x:v>
      </x:c>
      <x:c r="N41" s="3" t="str">
        <x:v>CATEGORY</x:v>
      </x:c>
      <x:c r="O41" s="3" t="str">
        <x:v>1. Tạo cookie có Session.expiresAt đã qua
2. Gửi POST BACKEND /api/admin/resource-categories</x:v>
      </x:c>
      <x:c r="P41" s="3" t="str">
        <x:v>HTTP 401; không có mutation; không trả dữ liệu quản trị.</x:v>
      </x:c>
      <x:c r="Q41" s="11" t="str"/>
      <x:c r="R41" s="8" t="str">
        <x:v>NOT RUN</x:v>
      </x:c>
      <x:c r="S41" s="11" t="str">
        <x:v>QA/UAT — cần điền URL/build</x:v>
      </x:c>
      <x:c r="T41" s="11" t="str">
        <x:v>Cần điền phiên bản thực</x:v>
      </x:c>
      <x:c r="U41" s="11" t="str"/>
      <x:c r="V41" s="12" t="str"/>
      <x:c r="W41" s="11" t="str"/>
      <x:c r="X41" s="11" t="str"/>
      <x:c r="Y41" s="3" t="str">
        <x:v>Nguồn: backend/src/modules/cms/cms.routes.ts:456. </x:v>
      </x:c>
    </x:row>
    <x:row r="42" ht="62" customHeight="1">
      <x:c r="A42" s="3" t="n">
        <x:v>41</x:v>
      </x:c>
      <x:c r="B42" s="3" t="str">
        <x:v>TC_PERMISSION_041</x:v>
      </x:c>
      <x:c r="C42" s="3" t="str">
        <x:v>PERMISSION</x:v>
      </x:c>
      <x:c r="D42" s="3" t="str">
        <x:v>RBAC từng hành động</x:v>
      </x:c>
      <x:c r="E42" s="3" t="str">
        <x:v>RBAC từng hành động</x:v>
      </x:c>
      <x:c r="F42" s="3" t="str">
        <x:v>Security — POST BACKEND /api/admin/resource-categories thiếu resources.create</x:v>
      </x:c>
      <x:c r="G42" s="3" t="str">
        <x:v>POST BACKEND /api/admin/resource-categories thiếu resources.create</x:v>
      </x:c>
      <x:c r="H42" s="3" t="str">
        <x:v>NFR-001</x:v>
      </x:c>
      <x:c r="I42" s="3" t="str">
        <x:v>Role QA thiếu permission cụ thể</x:v>
      </x:c>
      <x:c r="J42" s="3" t="str">
        <x:v>Security</x:v>
      </x:c>
      <x:c r="K42" s="3" t="str">
        <x:v>Critical</x:v>
      </x:c>
      <x:c r="L42" s="3" t="str">
        <x:v>Critical</x:v>
      </x:c>
      <x:c r="M42" s="3" t="str">
        <x:v>Môi trường QA cô lập, DB/MinIO sẵn sàng; dữ liệu fixture đã tạo. Đăng nhập tài khoản ACTIVE, mustChangePassword=false.</x:v>
      </x:c>
      <x:c r="N42" s="3" t="str">
        <x:v>CATEGORY</x:v>
      </x:c>
      <x:c r="O42" s="3" t="str">
        <x:v>1. Đăng nhập tài khoản test có phiên hợp lệ nhưng thiếu riêng resources.create
2. Gửi POST BACKEND /api/admin/resource-categories trực tiếp, bỏ qua UI</x:v>
      </x:c>
      <x:c r="P42" s="3" t="str">
        <x:v>HTTP 403; không tạo/sửa/xóa dữ liệu; quyền khác không thay thế quyền đang thiếu.</x:v>
      </x:c>
      <x:c r="Q42" s="11" t="str"/>
      <x:c r="R42" s="8" t="str">
        <x:v>NOT RUN</x:v>
      </x:c>
      <x:c r="S42" s="11" t="str">
        <x:v>QA/UAT — cần điền URL/build</x:v>
      </x:c>
      <x:c r="T42" s="11" t="str">
        <x:v>Cần điền phiên bản thực</x:v>
      </x:c>
      <x:c r="U42" s="11" t="str"/>
      <x:c r="V42" s="12" t="str"/>
      <x:c r="W42" s="11" t="str"/>
      <x:c r="X42" s="11" t="str"/>
      <x:c r="Y42" s="3" t="str">
        <x:v>Nguồn: backend/src/modules/cms/cms.routes.ts:456. </x:v>
      </x:c>
    </x:row>
    <x:row r="43" ht="49" customHeight="1">
      <x:c r="A43" s="3" t="n">
        <x:v>42</x:v>
      </x:c>
      <x:c r="B43" s="3" t="str">
        <x:v>TC_PERMISSION_042</x:v>
      </x:c>
      <x:c r="C43" s="3" t="str">
        <x:v>PERMISSION</x:v>
      </x:c>
      <x:c r="D43" s="3" t="str">
        <x:v>Xác thực server</x:v>
      </x:c>
      <x:c r="E43" s="3" t="str">
        <x:v>Xác thực server</x:v>
      </x:c>
      <x:c r="F43" s="3" t="str">
        <x:v>Security — PUT BACKEND /api/admin/resource-categories/:id không có phiên</x:v>
      </x:c>
      <x:c r="G43" s="3" t="str">
        <x:v>PUT BACKEND /api/admin/resource-categories/:id không có phiên</x:v>
      </x:c>
      <x:c r="H43" s="3" t="str">
        <x:v>NFR-001</x:v>
      </x:c>
      <x:c r="I43" s="3" t="str">
        <x:v>Khách truy cập</x:v>
      </x:c>
      <x:c r="J43" s="3" t="str">
        <x:v>Security</x:v>
      </x:c>
      <x:c r="K43" s="3" t="str">
        <x:v>Critical</x:v>
      </x:c>
      <x:c r="L43" s="3" t="str">
        <x:v>Critical</x:v>
      </x:c>
      <x:c r="M43" s="3" t="str">
        <x:v>Môi trường QA cô lập, DB/MinIO sẵn sàng; dữ liệu fixture đã tạo. Không đăng nhập.</x:v>
      </x:c>
      <x:c r="N43" s="3" t="str">
        <x:v>CATEGORY</x:v>
      </x:c>
      <x:c r="O43" s="3" t="str">
        <x:v>1. Xóa cookie hoàn toàn
2. Gửi PUT BACKEND /api/admin/resource-categories/:id với dữ liệu hợp lệ</x:v>
      </x:c>
      <x:c r="P43" s="3" t="str">
        <x:v>HTTP 401; không trả dữ liệu quản trị và không thay đổi DB/MinIO.</x:v>
      </x:c>
      <x:c r="Q43" s="11" t="str"/>
      <x:c r="R43" s="8" t="str">
        <x:v>NOT RUN</x:v>
      </x:c>
      <x:c r="S43" s="11" t="str">
        <x:v>QA/UAT — cần điền URL/build</x:v>
      </x:c>
      <x:c r="T43" s="11" t="str">
        <x:v>Cần điền phiên bản thực</x:v>
      </x:c>
      <x:c r="U43" s="11" t="str"/>
      <x:c r="V43" s="12" t="str"/>
      <x:c r="W43" s="11" t="str"/>
      <x:c r="X43" s="11" t="str"/>
      <x:c r="Y43" s="3" t="str">
        <x:v>Nguồn: backend/src/modules/cms/cms.routes.ts:458. </x:v>
      </x:c>
    </x:row>
    <x:row r="44" ht="49" customHeight="1">
      <x:c r="A44" s="3" t="n">
        <x:v>43</x:v>
      </x:c>
      <x:c r="B44" s="3" t="str">
        <x:v>TC_PERMISSION_043</x:v>
      </x:c>
      <x:c r="C44" s="3" t="str">
        <x:v>PERMISSION</x:v>
      </x:c>
      <x:c r="D44" s="3" t="str">
        <x:v>Phiên hết hạn</x:v>
      </x:c>
      <x:c r="E44" s="3" t="str">
        <x:v>Phiên hết hạn</x:v>
      </x:c>
      <x:c r="F44" s="3" t="str">
        <x:v>Security — PUT BACKEND /api/admin/resource-categories/:id hết hạn</x:v>
      </x:c>
      <x:c r="G44" s="3" t="str">
        <x:v>PUT BACKEND /api/admin/resource-categories/:id hết hạn</x:v>
      </x:c>
      <x:c r="H44" s="3" t="str">
        <x:v>NFR-001</x:v>
      </x:c>
      <x:c r="I44" s="3" t="str">
        <x:v>QTV có quyền tương ứng</x:v>
      </x:c>
      <x:c r="J44" s="3" t="str">
        <x:v>Security</x:v>
      </x:c>
      <x:c r="K44" s="3" t="str">
        <x:v>High</x:v>
      </x:c>
      <x:c r="L44" s="3" t="str">
        <x:v>High</x:v>
      </x:c>
      <x:c r="M44" s="3" t="str">
        <x:v>Môi trường QA cô lập, DB/MinIO sẵn sàng; dữ liệu fixture đã tạo. Đăng nhập tài khoản ACTIVE, mustChangePassword=false.</x:v>
      </x:c>
      <x:c r="N44" s="3" t="str">
        <x:v>CATEGORY</x:v>
      </x:c>
      <x:c r="O44" s="3" t="str">
        <x:v>1. Tạo cookie có Session.expiresAt đã qua
2. Gửi PUT BACKEND /api/admin/resource-categories/:id</x:v>
      </x:c>
      <x:c r="P44" s="3" t="str">
        <x:v>HTTP 401; không có mutation; không trả dữ liệu quản trị.</x:v>
      </x:c>
      <x:c r="Q44" s="11" t="str"/>
      <x:c r="R44" s="8" t="str">
        <x:v>NOT RUN</x:v>
      </x:c>
      <x:c r="S44" s="11" t="str">
        <x:v>QA/UAT — cần điền URL/build</x:v>
      </x:c>
      <x:c r="T44" s="11" t="str">
        <x:v>Cần điền phiên bản thực</x:v>
      </x:c>
      <x:c r="U44" s="11" t="str"/>
      <x:c r="V44" s="12" t="str"/>
      <x:c r="W44" s="11" t="str"/>
      <x:c r="X44" s="11" t="str"/>
      <x:c r="Y44" s="3" t="str">
        <x:v>Nguồn: backend/src/modules/cms/cms.routes.ts:458. </x:v>
      </x:c>
    </x:row>
    <x:row r="45" ht="62" customHeight="1">
      <x:c r="A45" s="3" t="n">
        <x:v>44</x:v>
      </x:c>
      <x:c r="B45" s="3" t="str">
        <x:v>TC_PERMISSION_044</x:v>
      </x:c>
      <x:c r="C45" s="3" t="str">
        <x:v>PERMISSION</x:v>
      </x:c>
      <x:c r="D45" s="3" t="str">
        <x:v>RBAC từng hành động</x:v>
      </x:c>
      <x:c r="E45" s="3" t="str">
        <x:v>RBAC từng hành động</x:v>
      </x:c>
      <x:c r="F45" s="3" t="str">
        <x:v>Security — PUT BACKEND /api/admin/resource-categories/:id thiếu resources.update</x:v>
      </x:c>
      <x:c r="G45" s="3" t="str">
        <x:v>PUT BACKEND /api/admin/resource-categories/:id thiếu resources.update</x:v>
      </x:c>
      <x:c r="H45" s="3" t="str">
        <x:v>NFR-001</x:v>
      </x:c>
      <x:c r="I45" s="3" t="str">
        <x:v>Role QA thiếu permission cụ thể</x:v>
      </x:c>
      <x:c r="J45" s="3" t="str">
        <x:v>Security</x:v>
      </x:c>
      <x:c r="K45" s="3" t="str">
        <x:v>Critical</x:v>
      </x:c>
      <x:c r="L45" s="3" t="str">
        <x:v>Critical</x:v>
      </x:c>
      <x:c r="M45" s="3" t="str">
        <x:v>Môi trường QA cô lập, DB/MinIO sẵn sàng; dữ liệu fixture đã tạo. Đăng nhập tài khoản ACTIVE, mustChangePassword=false.</x:v>
      </x:c>
      <x:c r="N45" s="3" t="str">
        <x:v>CATEGORY</x:v>
      </x:c>
      <x:c r="O45" s="3" t="str">
        <x:v>1. Đăng nhập tài khoản test có phiên hợp lệ nhưng thiếu riêng resources.update
2. Gửi PUT BACKEND /api/admin/resource-categories/:id trực tiếp, bỏ qua UI</x:v>
      </x:c>
      <x:c r="P45" s="3" t="str">
        <x:v>HTTP 403; không tạo/sửa/xóa dữ liệu; quyền khác không thay thế quyền đang thiếu.</x:v>
      </x:c>
      <x:c r="Q45" s="11" t="str"/>
      <x:c r="R45" s="8" t="str">
        <x:v>NOT RUN</x:v>
      </x:c>
      <x:c r="S45" s="11" t="str">
        <x:v>QA/UAT — cần điền URL/build</x:v>
      </x:c>
      <x:c r="T45" s="11" t="str">
        <x:v>Cần điền phiên bản thực</x:v>
      </x:c>
      <x:c r="U45" s="11" t="str"/>
      <x:c r="V45" s="12" t="str"/>
      <x:c r="W45" s="11" t="str"/>
      <x:c r="X45" s="11" t="str"/>
      <x:c r="Y45" s="3" t="str">
        <x:v>Nguồn: backend/src/modules/cms/cms.routes.ts:458. </x:v>
      </x:c>
    </x:row>
    <x:row r="46" ht="49" customHeight="1">
      <x:c r="A46" s="3" t="n">
        <x:v>45</x:v>
      </x:c>
      <x:c r="B46" s="3" t="str">
        <x:v>TC_PERMISSION_045</x:v>
      </x:c>
      <x:c r="C46" s="3" t="str">
        <x:v>PERMISSION</x:v>
      </x:c>
      <x:c r="D46" s="3" t="str">
        <x:v>Xác thực server</x:v>
      </x:c>
      <x:c r="E46" s="3" t="str">
        <x:v>Xác thực server</x:v>
      </x:c>
      <x:c r="F46" s="3" t="str">
        <x:v>Security — DELETE BACKEND /api/admin/resource-categories/:id không có phiên</x:v>
      </x:c>
      <x:c r="G46" s="3" t="str">
        <x:v>DELETE BACKEND /api/admin/resource-categories/:id không có phiên</x:v>
      </x:c>
      <x:c r="H46" s="3" t="str">
        <x:v>NFR-001</x:v>
      </x:c>
      <x:c r="I46" s="3" t="str">
        <x:v>Khách truy cập</x:v>
      </x:c>
      <x:c r="J46" s="3" t="str">
        <x:v>Security</x:v>
      </x:c>
      <x:c r="K46" s="3" t="str">
        <x:v>Critical</x:v>
      </x:c>
      <x:c r="L46" s="3" t="str">
        <x:v>Critical</x:v>
      </x:c>
      <x:c r="M46" s="3" t="str">
        <x:v>Môi trường QA cô lập, DB/MinIO sẵn sàng; dữ liệu fixture đã tạo. Không đăng nhập.</x:v>
      </x:c>
      <x:c r="N46" s="3" t="str">
        <x:v>CATEGORY</x:v>
      </x:c>
      <x:c r="O46" s="3" t="str">
        <x:v>1. Xóa cookie hoàn toàn
2. Gửi DELETE BACKEND /api/admin/resource-categories/:id với dữ liệu hợp lệ</x:v>
      </x:c>
      <x:c r="P46" s="3" t="str">
        <x:v>HTTP 401; không trả dữ liệu quản trị và không thay đổi DB/MinIO.</x:v>
      </x:c>
      <x:c r="Q46" s="11" t="str"/>
      <x:c r="R46" s="8" t="str">
        <x:v>NOT RUN</x:v>
      </x:c>
      <x:c r="S46" s="11" t="str">
        <x:v>QA/UAT — cần điền URL/build</x:v>
      </x:c>
      <x:c r="T46" s="11" t="str">
        <x:v>Cần điền phiên bản thực</x:v>
      </x:c>
      <x:c r="U46" s="11" t="str"/>
      <x:c r="V46" s="12" t="str"/>
      <x:c r="W46" s="11" t="str"/>
      <x:c r="X46" s="11" t="str"/>
      <x:c r="Y46" s="3" t="str">
        <x:v>Nguồn: backend/src/modules/cms/cms.routes.ts:458. </x:v>
      </x:c>
    </x:row>
    <x:row r="47" ht="49" customHeight="1">
      <x:c r="A47" s="3" t="n">
        <x:v>46</x:v>
      </x:c>
      <x:c r="B47" s="3" t="str">
        <x:v>TC_PERMISSION_046</x:v>
      </x:c>
      <x:c r="C47" s="3" t="str">
        <x:v>PERMISSION</x:v>
      </x:c>
      <x:c r="D47" s="3" t="str">
        <x:v>Phiên hết hạn</x:v>
      </x:c>
      <x:c r="E47" s="3" t="str">
        <x:v>Phiên hết hạn</x:v>
      </x:c>
      <x:c r="F47" s="3" t="str">
        <x:v>Security — DELETE BACKEND /api/admin/resource-categories/:id hết hạn</x:v>
      </x:c>
      <x:c r="G47" s="3" t="str">
        <x:v>DELETE BACKEND /api/admin/resource-categories/:id hết hạn</x:v>
      </x:c>
      <x:c r="H47" s="3" t="str">
        <x:v>NFR-001</x:v>
      </x:c>
      <x:c r="I47" s="3" t="str">
        <x:v>QTV có quyền tương ứng</x:v>
      </x:c>
      <x:c r="J47" s="3" t="str">
        <x:v>Security</x:v>
      </x:c>
      <x:c r="K47" s="3" t="str">
        <x:v>High</x:v>
      </x:c>
      <x:c r="L47" s="3" t="str">
        <x:v>High</x:v>
      </x:c>
      <x:c r="M47" s="3" t="str">
        <x:v>Môi trường QA cô lập, DB/MinIO sẵn sàng; dữ liệu fixture đã tạo. Đăng nhập tài khoản ACTIVE, mustChangePassword=false.</x:v>
      </x:c>
      <x:c r="N47" s="3" t="str">
        <x:v>CATEGORY</x:v>
      </x:c>
      <x:c r="O47" s="3" t="str">
        <x:v>1. Tạo cookie có Session.expiresAt đã qua
2. Gửi DELETE BACKEND /api/admin/resource-categories/:id</x:v>
      </x:c>
      <x:c r="P47" s="3" t="str">
        <x:v>HTTP 401; không có mutation; không trả dữ liệu quản trị.</x:v>
      </x:c>
      <x:c r="Q47" s="11" t="str"/>
      <x:c r="R47" s="8" t="str">
        <x:v>NOT RUN</x:v>
      </x:c>
      <x:c r="S47" s="11" t="str">
        <x:v>QA/UAT — cần điền URL/build</x:v>
      </x:c>
      <x:c r="T47" s="11" t="str">
        <x:v>Cần điền phiên bản thực</x:v>
      </x:c>
      <x:c r="U47" s="11" t="str"/>
      <x:c r="V47" s="12" t="str"/>
      <x:c r="W47" s="11" t="str"/>
      <x:c r="X47" s="11" t="str"/>
      <x:c r="Y47" s="3" t="str">
        <x:v>Nguồn: backend/src/modules/cms/cms.routes.ts:458. </x:v>
      </x:c>
    </x:row>
    <x:row r="48" ht="62" customHeight="1">
      <x:c r="A48" s="3" t="n">
        <x:v>47</x:v>
      </x:c>
      <x:c r="B48" s="3" t="str">
        <x:v>TC_PERMISSION_047</x:v>
      </x:c>
      <x:c r="C48" s="3" t="str">
        <x:v>PERMISSION</x:v>
      </x:c>
      <x:c r="D48" s="3" t="str">
        <x:v>RBAC từng hành động</x:v>
      </x:c>
      <x:c r="E48" s="3" t="str">
        <x:v>RBAC từng hành động</x:v>
      </x:c>
      <x:c r="F48" s="3" t="str">
        <x:v>Security — DELETE BACKEND /api/admin/resource-categories/:id thiếu resources.delete</x:v>
      </x:c>
      <x:c r="G48" s="3" t="str">
        <x:v>DELETE BACKEND /api/admin/resource-categories/:id thiếu resources.delete</x:v>
      </x:c>
      <x:c r="H48" s="3" t="str">
        <x:v>NFR-001</x:v>
      </x:c>
      <x:c r="I48" s="3" t="str">
        <x:v>Role QA thiếu permission cụ thể</x:v>
      </x:c>
      <x:c r="J48" s="3" t="str">
        <x:v>Security</x:v>
      </x:c>
      <x:c r="K48" s="3" t="str">
        <x:v>Critical</x:v>
      </x:c>
      <x:c r="L48" s="3" t="str">
        <x:v>Critical</x:v>
      </x:c>
      <x:c r="M48" s="3" t="str">
        <x:v>Môi trường QA cô lập, DB/MinIO sẵn sàng; dữ liệu fixture đã tạo. Đăng nhập tài khoản ACTIVE, mustChangePassword=false.</x:v>
      </x:c>
      <x:c r="N48" s="3" t="str">
        <x:v>CATEGORY</x:v>
      </x:c>
      <x:c r="O48" s="3" t="str">
        <x:v>1. Đăng nhập tài khoản test có phiên hợp lệ nhưng thiếu riêng resources.delete
2. Gửi DELETE BACKEND /api/admin/resource-categories/:id trực tiếp, bỏ qua UI</x:v>
      </x:c>
      <x:c r="P48" s="3" t="str">
        <x:v>HTTP 403; không tạo/sửa/xóa dữ liệu; quyền khác không thay thế quyền đang thiếu.</x:v>
      </x:c>
      <x:c r="Q48" s="11" t="str"/>
      <x:c r="R48" s="8" t="str">
        <x:v>NOT RUN</x:v>
      </x:c>
      <x:c r="S48" s="11" t="str">
        <x:v>QA/UAT — cần điền URL/build</x:v>
      </x:c>
      <x:c r="T48" s="11" t="str">
        <x:v>Cần điền phiên bản thực</x:v>
      </x:c>
      <x:c r="U48" s="11" t="str"/>
      <x:c r="V48" s="12" t="str"/>
      <x:c r="W48" s="11" t="str"/>
      <x:c r="X48" s="11" t="str"/>
      <x:c r="Y48" s="3" t="str">
        <x:v>Nguồn: backend/src/modules/cms/cms.routes.ts:458. </x:v>
      </x:c>
    </x:row>
    <x:row r="49" ht="36" customHeight="1">
      <x:c r="A49" s="3" t="n">
        <x:v>48</x:v>
      </x:c>
      <x:c r="B49" s="3" t="str">
        <x:v>TC_PERMISSION_048</x:v>
      </x:c>
      <x:c r="C49" s="3" t="str">
        <x:v>PERMISSION</x:v>
      </x:c>
      <x:c r="D49" s="3" t="str">
        <x:v>Xác thực server</x:v>
      </x:c>
      <x:c r="E49" s="3" t="str">
        <x:v>Xác thực server</x:v>
      </x:c>
      <x:c r="F49" s="3" t="str">
        <x:v>Security — GET BACKEND /api/admin/applications không có phiên</x:v>
      </x:c>
      <x:c r="G49" s="3" t="str">
        <x:v>GET BACKEND /api/admin/applications không có phiên</x:v>
      </x:c>
      <x:c r="H49" s="3" t="str">
        <x:v>NFR-001</x:v>
      </x:c>
      <x:c r="I49" s="3" t="str">
        <x:v>Khách truy cập</x:v>
      </x:c>
      <x:c r="J49" s="3" t="str">
        <x:v>Security</x:v>
      </x:c>
      <x:c r="K49" s="3" t="str">
        <x:v>Critical</x:v>
      </x:c>
      <x:c r="L49" s="3" t="str">
        <x:v>Critical</x:v>
      </x:c>
      <x:c r="M49" s="3" t="str">
        <x:v>Môi trường QA cô lập, DB/MinIO sẵn sàng; dữ liệu fixture đã tạo. Không đăng nhập.</x:v>
      </x:c>
      <x:c r="N49" s="3" t="str">
        <x:v>Fixture tương ứng route; tham số mặc định; ID/path hợp lệ trong QA</x:v>
      </x:c>
      <x:c r="O49" s="3" t="str">
        <x:v>1. Xóa cookie hoàn toàn
2. Gửi GET BACKEND /api/admin/applications với dữ liệu hợp lệ</x:v>
      </x:c>
      <x:c r="P49" s="3" t="str">
        <x:v>HTTP 401; không trả dữ liệu quản trị và không thay đổi DB/MinIO.</x:v>
      </x:c>
      <x:c r="Q49" s="11" t="str"/>
      <x:c r="R49" s="8" t="str">
        <x:v>NOT RUN</x:v>
      </x:c>
      <x:c r="S49" s="11" t="str">
        <x:v>QA/UAT — cần điền URL/build</x:v>
      </x:c>
      <x:c r="T49" s="11" t="str">
        <x:v>Cần điền phiên bản thực</x:v>
      </x:c>
      <x:c r="U49" s="11" t="str"/>
      <x:c r="V49" s="12" t="str"/>
      <x:c r="W49" s="11" t="str"/>
      <x:c r="X49" s="11" t="str"/>
      <x:c r="Y49" s="3" t="str">
        <x:v>Nguồn: backend/src/modules/cms/cms.routes.ts:460. </x:v>
      </x:c>
    </x:row>
    <x:row r="50" ht="49" customHeight="1">
      <x:c r="A50" s="3" t="n">
        <x:v>49</x:v>
      </x:c>
      <x:c r="B50" s="3" t="str">
        <x:v>TC_PERMISSION_049</x:v>
      </x:c>
      <x:c r="C50" s="3" t="str">
        <x:v>PERMISSION</x:v>
      </x:c>
      <x:c r="D50" s="3" t="str">
        <x:v>Phiên hết hạn</x:v>
      </x:c>
      <x:c r="E50" s="3" t="str">
        <x:v>Phiên hết hạn</x:v>
      </x:c>
      <x:c r="F50" s="3" t="str">
        <x:v>Security — GET BACKEND /api/admin/applications hết hạn</x:v>
      </x:c>
      <x:c r="G50" s="3" t="str">
        <x:v>GET BACKEND /api/admin/applications hết hạn</x:v>
      </x:c>
      <x:c r="H50" s="3" t="str">
        <x:v>NFR-001</x:v>
      </x:c>
      <x:c r="I50" s="3" t="str">
        <x:v>QTV có quyền tương ứng</x:v>
      </x:c>
      <x:c r="J50" s="3" t="str">
        <x:v>Security</x:v>
      </x:c>
      <x:c r="K50" s="3" t="str">
        <x:v>High</x:v>
      </x:c>
      <x:c r="L50" s="3" t="str">
        <x:v>High</x:v>
      </x:c>
      <x:c r="M50" s="3" t="str">
        <x:v>Môi trường QA cô lập, DB/MinIO sẵn sàng; dữ liệu fixture đã tạo. Đăng nhập tài khoản ACTIVE, mustChangePassword=false.</x:v>
      </x:c>
      <x:c r="N50" s="3" t="str">
        <x:v>Fixture tương ứng route; tham số mặc định; ID/path hợp lệ trong QA</x:v>
      </x:c>
      <x:c r="O50" s="3" t="str">
        <x:v>1. Tạo cookie có Session.expiresAt đã qua
2. Gửi GET BACKEND /api/admin/applications</x:v>
      </x:c>
      <x:c r="P50" s="3" t="str">
        <x:v>HTTP 401; không có mutation; không trả dữ liệu quản trị.</x:v>
      </x:c>
      <x:c r="Q50" s="11" t="str"/>
      <x:c r="R50" s="8" t="str">
        <x:v>NOT RUN</x:v>
      </x:c>
      <x:c r="S50" s="11" t="str">
        <x:v>QA/UAT — cần điền URL/build</x:v>
      </x:c>
      <x:c r="T50" s="11" t="str">
        <x:v>Cần điền phiên bản thực</x:v>
      </x:c>
      <x:c r="U50" s="11" t="str"/>
      <x:c r="V50" s="12" t="str"/>
      <x:c r="W50" s="11" t="str"/>
      <x:c r="X50" s="11" t="str"/>
      <x:c r="Y50" s="3" t="str">
        <x:v>Nguồn: backend/src/modules/cms/cms.routes.ts:460. </x:v>
      </x:c>
    </x:row>
    <x:row r="51" ht="49" customHeight="1">
      <x:c r="A51" s="3" t="n">
        <x:v>50</x:v>
      </x:c>
      <x:c r="B51" s="3" t="str">
        <x:v>TC_PERMISSION_050</x:v>
      </x:c>
      <x:c r="C51" s="3" t="str">
        <x:v>PERMISSION</x:v>
      </x:c>
      <x:c r="D51" s="3" t="str">
        <x:v>RBAC từng hành động</x:v>
      </x:c>
      <x:c r="E51" s="3" t="str">
        <x:v>RBAC từng hành động</x:v>
      </x:c>
      <x:c r="F51" s="3" t="str">
        <x:v>Security — GET BACKEND /api/admin/applications thiếu applications.view</x:v>
      </x:c>
      <x:c r="G51" s="3" t="str">
        <x:v>GET BACKEND /api/admin/applications thiếu applications.view</x:v>
      </x:c>
      <x:c r="H51" s="3" t="str">
        <x:v>NFR-001</x:v>
      </x:c>
      <x:c r="I51" s="3" t="str">
        <x:v>Role QA thiếu permission cụ thể</x:v>
      </x:c>
      <x:c r="J51" s="3" t="str">
        <x:v>Security</x:v>
      </x:c>
      <x:c r="K51" s="3" t="str">
        <x:v>Critical</x:v>
      </x:c>
      <x:c r="L51" s="3" t="str">
        <x:v>Critical</x:v>
      </x:c>
      <x:c r="M51" s="3" t="str">
        <x:v>Môi trường QA cô lập, DB/MinIO sẵn sàng; dữ liệu fixture đã tạo. Đăng nhập tài khoản ACTIVE, mustChangePassword=false.</x:v>
      </x:c>
      <x:c r="N51" s="3" t="str">
        <x:v>Fixture tương ứng route; tham số mặc định; ID/path hợp lệ trong QA</x:v>
      </x:c>
      <x:c r="O51" s="3" t="str">
        <x:v>1. Đăng nhập tài khoản test có phiên hợp lệ nhưng thiếu riêng applications.view
2. Gửi GET BACKEND /api/admin/applications trực tiếp, bỏ qua UI</x:v>
      </x:c>
      <x:c r="P51" s="3" t="str">
        <x:v>HTTP 403; không tạo/sửa/xóa dữ liệu; quyền khác không thay thế quyền đang thiếu.</x:v>
      </x:c>
      <x:c r="Q51" s="11" t="str"/>
      <x:c r="R51" s="8" t="str">
        <x:v>NOT RUN</x:v>
      </x:c>
      <x:c r="S51" s="11" t="str">
        <x:v>QA/UAT — cần điền URL/build</x:v>
      </x:c>
      <x:c r="T51" s="11" t="str">
        <x:v>Cần điền phiên bản thực</x:v>
      </x:c>
      <x:c r="U51" s="11" t="str"/>
      <x:c r="V51" s="12" t="str"/>
      <x:c r="W51" s="11" t="str"/>
      <x:c r="X51" s="11" t="str"/>
      <x:c r="Y51" s="3" t="str">
        <x:v>Nguồn: backend/src/modules/cms/cms.routes.ts:460. </x:v>
      </x:c>
    </x:row>
    <x:row r="52" ht="36" customHeight="1">
      <x:c r="A52" s="3" t="n">
        <x:v>51</x:v>
      </x:c>
      <x:c r="B52" s="3" t="str">
        <x:v>TC_PERMISSION_051</x:v>
      </x:c>
      <x:c r="C52" s="3" t="str">
        <x:v>PERMISSION</x:v>
      </x:c>
      <x:c r="D52" s="3" t="str">
        <x:v>Xác thực server</x:v>
      </x:c>
      <x:c r="E52" s="3" t="str">
        <x:v>Xác thực server</x:v>
      </x:c>
      <x:c r="F52" s="3" t="str">
        <x:v>Security — GET BACKEND /api/admin/site-content không có phiên</x:v>
      </x:c>
      <x:c r="G52" s="3" t="str">
        <x:v>GET BACKEND /api/admin/site-content không có phiên</x:v>
      </x:c>
      <x:c r="H52" s="3" t="str">
        <x:v>NFR-001</x:v>
      </x:c>
      <x:c r="I52" s="3" t="str">
        <x:v>Khách truy cập</x:v>
      </x:c>
      <x:c r="J52" s="3" t="str">
        <x:v>Security</x:v>
      </x:c>
      <x:c r="K52" s="3" t="str">
        <x:v>Critical</x:v>
      </x:c>
      <x:c r="L52" s="3" t="str">
        <x:v>Critical</x:v>
      </x:c>
      <x:c r="M52" s="3" t="str">
        <x:v>Môi trường QA cô lập, DB/MinIO sẵn sàng; dữ liệu fixture đã tạo. Không đăng nhập.</x:v>
      </x:c>
      <x:c r="N52" s="3" t="str">
        <x:v>SITE</x:v>
      </x:c>
      <x:c r="O52" s="3" t="str">
        <x:v>1. Xóa cookie hoàn toàn
2. Gửi GET BACKEND /api/admin/site-content với dữ liệu hợp lệ</x:v>
      </x:c>
      <x:c r="P52" s="3" t="str">
        <x:v>HTTP 401; không trả dữ liệu quản trị và không thay đổi DB/MinIO.</x:v>
      </x:c>
      <x:c r="Q52" s="11" t="str"/>
      <x:c r="R52" s="8" t="str">
        <x:v>NOT RUN</x:v>
      </x:c>
      <x:c r="S52" s="11" t="str">
        <x:v>QA/UAT — cần điền URL/build</x:v>
      </x:c>
      <x:c r="T52" s="11" t="str">
        <x:v>Cần điền phiên bản thực</x:v>
      </x:c>
      <x:c r="U52" s="11" t="str"/>
      <x:c r="V52" s="12" t="str"/>
      <x:c r="W52" s="11" t="str"/>
      <x:c r="X52" s="11" t="str"/>
      <x:c r="Y52" s="3" t="str">
        <x:v>Nguồn: backend/src/modules/cms/cms.routes.ts:462. </x:v>
      </x:c>
    </x:row>
    <x:row r="53" ht="49" customHeight="1">
      <x:c r="A53" s="3" t="n">
        <x:v>52</x:v>
      </x:c>
      <x:c r="B53" s="3" t="str">
        <x:v>TC_PERMISSION_052</x:v>
      </x:c>
      <x:c r="C53" s="3" t="str">
        <x:v>PERMISSION</x:v>
      </x:c>
      <x:c r="D53" s="3" t="str">
        <x:v>Phiên hết hạn</x:v>
      </x:c>
      <x:c r="E53" s="3" t="str">
        <x:v>Phiên hết hạn</x:v>
      </x:c>
      <x:c r="F53" s="3" t="str">
        <x:v>Security — GET BACKEND /api/admin/site-content hết hạn</x:v>
      </x:c>
      <x:c r="G53" s="3" t="str">
        <x:v>GET BACKEND /api/admin/site-content hết hạn</x:v>
      </x:c>
      <x:c r="H53" s="3" t="str">
        <x:v>NFR-001</x:v>
      </x:c>
      <x:c r="I53" s="3" t="str">
        <x:v>QTV có quyền tương ứng</x:v>
      </x:c>
      <x:c r="J53" s="3" t="str">
        <x:v>Security</x:v>
      </x:c>
      <x:c r="K53" s="3" t="str">
        <x:v>High</x:v>
      </x:c>
      <x:c r="L53" s="3" t="str">
        <x:v>High</x:v>
      </x:c>
      <x:c r="M53" s="3" t="str">
        <x:v>Môi trường QA cô lập, DB/MinIO sẵn sàng; dữ liệu fixture đã tạo. Đăng nhập tài khoản ACTIVE, mustChangePassword=false.</x:v>
      </x:c>
      <x:c r="N53" s="3" t="str">
        <x:v>SITE</x:v>
      </x:c>
      <x:c r="O53" s="3" t="str">
        <x:v>1. Tạo cookie có Session.expiresAt đã qua
2. Gửi GET BACKEND /api/admin/site-content</x:v>
      </x:c>
      <x:c r="P53" s="3" t="str">
        <x:v>HTTP 401; không có mutation; không trả dữ liệu quản trị.</x:v>
      </x:c>
      <x:c r="Q53" s="11" t="str"/>
      <x:c r="R53" s="8" t="str">
        <x:v>NOT RUN</x:v>
      </x:c>
      <x:c r="S53" s="11" t="str">
        <x:v>QA/UAT — cần điền URL/build</x:v>
      </x:c>
      <x:c r="T53" s="11" t="str">
        <x:v>Cần điền phiên bản thực</x:v>
      </x:c>
      <x:c r="U53" s="11" t="str"/>
      <x:c r="V53" s="12" t="str"/>
      <x:c r="W53" s="11" t="str"/>
      <x:c r="X53" s="11" t="str"/>
      <x:c r="Y53" s="3" t="str">
        <x:v>Nguồn: backend/src/modules/cms/cms.routes.ts:462. </x:v>
      </x:c>
    </x:row>
    <x:row r="54" ht="49" customHeight="1">
      <x:c r="A54" s="3" t="n">
        <x:v>53</x:v>
      </x:c>
      <x:c r="B54" s="3" t="str">
        <x:v>TC_PERMISSION_053</x:v>
      </x:c>
      <x:c r="C54" s="3" t="str">
        <x:v>PERMISSION</x:v>
      </x:c>
      <x:c r="D54" s="3" t="str">
        <x:v>RBAC từng hành động</x:v>
      </x:c>
      <x:c r="E54" s="3" t="str">
        <x:v>RBAC từng hành động</x:v>
      </x:c>
      <x:c r="F54" s="3" t="str">
        <x:v>Security — GET BACKEND /api/admin/site-content thiếu website.view</x:v>
      </x:c>
      <x:c r="G54" s="3" t="str">
        <x:v>GET BACKEND /api/admin/site-content thiếu website.view</x:v>
      </x:c>
      <x:c r="H54" s="3" t="str">
        <x:v>NFR-001</x:v>
      </x:c>
      <x:c r="I54" s="3" t="str">
        <x:v>Role QA thiếu permission cụ thể</x:v>
      </x:c>
      <x:c r="J54" s="3" t="str">
        <x:v>Security</x:v>
      </x:c>
      <x:c r="K54" s="3" t="str">
        <x:v>Critical</x:v>
      </x:c>
      <x:c r="L54" s="3" t="str">
        <x:v>Critical</x:v>
      </x:c>
      <x:c r="M54" s="3" t="str">
        <x:v>Môi trường QA cô lập, DB/MinIO sẵn sàng; dữ liệu fixture đã tạo. Đăng nhập tài khoản ACTIVE, mustChangePassword=false.</x:v>
      </x:c>
      <x:c r="N54" s="3" t="str">
        <x:v>SITE</x:v>
      </x:c>
      <x:c r="O54" s="3" t="str">
        <x:v>1. Đăng nhập tài khoản test có phiên hợp lệ nhưng thiếu riêng website.view
2. Gửi GET BACKEND /api/admin/site-content trực tiếp, bỏ qua UI</x:v>
      </x:c>
      <x:c r="P54" s="3" t="str">
        <x:v>HTTP 403; không tạo/sửa/xóa dữ liệu; quyền khác không thay thế quyền đang thiếu.</x:v>
      </x:c>
      <x:c r="Q54" s="11" t="str"/>
      <x:c r="R54" s="8" t="str">
        <x:v>NOT RUN</x:v>
      </x:c>
      <x:c r="S54" s="11" t="str">
        <x:v>QA/UAT — cần điền URL/build</x:v>
      </x:c>
      <x:c r="T54" s="11" t="str">
        <x:v>Cần điền phiên bản thực</x:v>
      </x:c>
      <x:c r="U54" s="11" t="str"/>
      <x:c r="V54" s="12" t="str"/>
      <x:c r="W54" s="11" t="str"/>
      <x:c r="X54" s="11" t="str"/>
      <x:c r="Y54" s="3" t="str">
        <x:v>Nguồn: backend/src/modules/cms/cms.routes.ts:462. </x:v>
      </x:c>
    </x:row>
    <x:row r="55" ht="36" customHeight="1">
      <x:c r="A55" s="3" t="n">
        <x:v>54</x:v>
      </x:c>
      <x:c r="B55" s="3" t="str">
        <x:v>TC_PERMISSION_054</x:v>
      </x:c>
      <x:c r="C55" s="3" t="str">
        <x:v>PERMISSION</x:v>
      </x:c>
      <x:c r="D55" s="3" t="str">
        <x:v>Xác thực server</x:v>
      </x:c>
      <x:c r="E55" s="3" t="str">
        <x:v>Xác thực server</x:v>
      </x:c>
      <x:c r="F55" s="3" t="str">
        <x:v>Security — POST BACKEND /api/admin/site-content không có phiên</x:v>
      </x:c>
      <x:c r="G55" s="3" t="str">
        <x:v>POST BACKEND /api/admin/site-content không có phiên</x:v>
      </x:c>
      <x:c r="H55" s="3" t="str">
        <x:v>NFR-001</x:v>
      </x:c>
      <x:c r="I55" s="3" t="str">
        <x:v>Khách truy cập</x:v>
      </x:c>
      <x:c r="J55" s="3" t="str">
        <x:v>Security</x:v>
      </x:c>
      <x:c r="K55" s="3" t="str">
        <x:v>Critical</x:v>
      </x:c>
      <x:c r="L55" s="3" t="str">
        <x:v>Critical</x:v>
      </x:c>
      <x:c r="M55" s="3" t="str">
        <x:v>Môi trường QA cô lập, DB/MinIO sẵn sàng; dữ liệu fixture đã tạo. Không đăng nhập.</x:v>
      </x:c>
      <x:c r="N55" s="3" t="str">
        <x:v>SITE</x:v>
      </x:c>
      <x:c r="O55" s="3" t="str">
        <x:v>1. Xóa cookie hoàn toàn
2. Gửi POST BACKEND /api/admin/site-content với dữ liệu hợp lệ</x:v>
      </x:c>
      <x:c r="P55" s="3" t="str">
        <x:v>HTTP 401; không trả dữ liệu quản trị và không thay đổi DB/MinIO.</x:v>
      </x:c>
      <x:c r="Q55" s="11" t="str"/>
      <x:c r="R55" s="8" t="str">
        <x:v>NOT RUN</x:v>
      </x:c>
      <x:c r="S55" s="11" t="str">
        <x:v>QA/UAT — cần điền URL/build</x:v>
      </x:c>
      <x:c r="T55" s="11" t="str">
        <x:v>Cần điền phiên bản thực</x:v>
      </x:c>
      <x:c r="U55" s="11" t="str"/>
      <x:c r="V55" s="12" t="str"/>
      <x:c r="W55" s="11" t="str"/>
      <x:c r="X55" s="11" t="str"/>
      <x:c r="Y55" s="3" t="str">
        <x:v>Nguồn: backend/src/modules/cms/cms.routes.ts:462. </x:v>
      </x:c>
    </x:row>
    <x:row r="56" ht="49" customHeight="1">
      <x:c r="A56" s="3" t="n">
        <x:v>55</x:v>
      </x:c>
      <x:c r="B56" s="3" t="str">
        <x:v>TC_PERMISSION_055</x:v>
      </x:c>
      <x:c r="C56" s="3" t="str">
        <x:v>PERMISSION</x:v>
      </x:c>
      <x:c r="D56" s="3" t="str">
        <x:v>Phiên hết hạn</x:v>
      </x:c>
      <x:c r="E56" s="3" t="str">
        <x:v>Phiên hết hạn</x:v>
      </x:c>
      <x:c r="F56" s="3" t="str">
        <x:v>Security — POST BACKEND /api/admin/site-content hết hạn</x:v>
      </x:c>
      <x:c r="G56" s="3" t="str">
        <x:v>POST BACKEND /api/admin/site-content hết hạn</x:v>
      </x:c>
      <x:c r="H56" s="3" t="str">
        <x:v>NFR-001</x:v>
      </x:c>
      <x:c r="I56" s="3" t="str">
        <x:v>QTV có quyền tương ứng</x:v>
      </x:c>
      <x:c r="J56" s="3" t="str">
        <x:v>Security</x:v>
      </x:c>
      <x:c r="K56" s="3" t="str">
        <x:v>High</x:v>
      </x:c>
      <x:c r="L56" s="3" t="str">
        <x:v>High</x:v>
      </x:c>
      <x:c r="M56" s="3" t="str">
        <x:v>Môi trường QA cô lập, DB/MinIO sẵn sàng; dữ liệu fixture đã tạo. Đăng nhập tài khoản ACTIVE, mustChangePassword=false.</x:v>
      </x:c>
      <x:c r="N56" s="3" t="str">
        <x:v>SITE</x:v>
      </x:c>
      <x:c r="O56" s="3" t="str">
        <x:v>1. Tạo cookie có Session.expiresAt đã qua
2. Gửi POST BACKEND /api/admin/site-content</x:v>
      </x:c>
      <x:c r="P56" s="3" t="str">
        <x:v>HTTP 401; không có mutation; không trả dữ liệu quản trị.</x:v>
      </x:c>
      <x:c r="Q56" s="11" t="str"/>
      <x:c r="R56" s="8" t="str">
        <x:v>NOT RUN</x:v>
      </x:c>
      <x:c r="S56" s="11" t="str">
        <x:v>QA/UAT — cần điền URL/build</x:v>
      </x:c>
      <x:c r="T56" s="11" t="str">
        <x:v>Cần điền phiên bản thực</x:v>
      </x:c>
      <x:c r="U56" s="11" t="str"/>
      <x:c r="V56" s="12" t="str"/>
      <x:c r="W56" s="11" t="str"/>
      <x:c r="X56" s="11" t="str"/>
      <x:c r="Y56" s="3" t="str">
        <x:v>Nguồn: backend/src/modules/cms/cms.routes.ts:462. </x:v>
      </x:c>
    </x:row>
    <x:row r="57" ht="49" customHeight="1">
      <x:c r="A57" s="3" t="n">
        <x:v>56</x:v>
      </x:c>
      <x:c r="B57" s="3" t="str">
        <x:v>TC_PERMISSION_056</x:v>
      </x:c>
      <x:c r="C57" s="3" t="str">
        <x:v>PERMISSION</x:v>
      </x:c>
      <x:c r="D57" s="3" t="str">
        <x:v>RBAC từng hành động</x:v>
      </x:c>
      <x:c r="E57" s="3" t="str">
        <x:v>RBAC từng hành động</x:v>
      </x:c>
      <x:c r="F57" s="3" t="str">
        <x:v>Security — POST BACKEND /api/admin/site-content thiếu website.update</x:v>
      </x:c>
      <x:c r="G57" s="3" t="str">
        <x:v>POST BACKEND /api/admin/site-content thiếu website.update</x:v>
      </x:c>
      <x:c r="H57" s="3" t="str">
        <x:v>NFR-001</x:v>
      </x:c>
      <x:c r="I57" s="3" t="str">
        <x:v>Role QA thiếu permission cụ thể</x:v>
      </x:c>
      <x:c r="J57" s="3" t="str">
        <x:v>Security</x:v>
      </x:c>
      <x:c r="K57" s="3" t="str">
        <x:v>Critical</x:v>
      </x:c>
      <x:c r="L57" s="3" t="str">
        <x:v>Critical</x:v>
      </x:c>
      <x:c r="M57" s="3" t="str">
        <x:v>Môi trường QA cô lập, DB/MinIO sẵn sàng; dữ liệu fixture đã tạo. Đăng nhập tài khoản ACTIVE, mustChangePassword=false.</x:v>
      </x:c>
      <x:c r="N57" s="3" t="str">
        <x:v>SITE</x:v>
      </x:c>
      <x:c r="O57" s="3" t="str">
        <x:v>1. Đăng nhập tài khoản test có phiên hợp lệ nhưng thiếu riêng website.update
2. Gửi POST BACKEND /api/admin/site-content trực tiếp, bỏ qua UI</x:v>
      </x:c>
      <x:c r="P57" s="3" t="str">
        <x:v>HTTP 403; không tạo/sửa/xóa dữ liệu; quyền khác không thay thế quyền đang thiếu.</x:v>
      </x:c>
      <x:c r="Q57" s="11" t="str"/>
      <x:c r="R57" s="8" t="str">
        <x:v>NOT RUN</x:v>
      </x:c>
      <x:c r="S57" s="11" t="str">
        <x:v>QA/UAT — cần điền URL/build</x:v>
      </x:c>
      <x:c r="T57" s="11" t="str">
        <x:v>Cần điền phiên bản thực</x:v>
      </x:c>
      <x:c r="U57" s="11" t="str"/>
      <x:c r="V57" s="12" t="str"/>
      <x:c r="W57" s="11" t="str"/>
      <x:c r="X57" s="11" t="str"/>
      <x:c r="Y57" s="3" t="str">
        <x:v>Nguồn: backend/src/modules/cms/cms.routes.ts:462. </x:v>
      </x:c>
    </x:row>
    <x:row r="58" ht="36" customHeight="1">
      <x:c r="A58" s="3" t="n">
        <x:v>57</x:v>
      </x:c>
      <x:c r="B58" s="3" t="str">
        <x:v>TC_PERMISSION_057</x:v>
      </x:c>
      <x:c r="C58" s="3" t="str">
        <x:v>PERMISSION</x:v>
      </x:c>
      <x:c r="D58" s="3" t="str">
        <x:v>Xác thực server</x:v>
      </x:c>
      <x:c r="E58" s="3" t="str">
        <x:v>Xác thực server</x:v>
      </x:c>
      <x:c r="F58" s="3" t="str">
        <x:v>Security — GET BACKEND /api/admin/consultations không có phiên</x:v>
      </x:c>
      <x:c r="G58" s="3" t="str">
        <x:v>GET BACKEND /api/admin/consultations không có phiên</x:v>
      </x:c>
      <x:c r="H58" s="3" t="str">
        <x:v>NFR-001</x:v>
      </x:c>
      <x:c r="I58" s="3" t="str">
        <x:v>Khách truy cập</x:v>
      </x:c>
      <x:c r="J58" s="3" t="str">
        <x:v>Security</x:v>
      </x:c>
      <x:c r="K58" s="3" t="str">
        <x:v>Critical</x:v>
      </x:c>
      <x:c r="L58" s="3" t="str">
        <x:v>Critical</x:v>
      </x:c>
      <x:c r="M58" s="3" t="str">
        <x:v>Môi trường QA cô lập, DB/MinIO sẵn sàng; dữ liệu fixture đã tạo. Không đăng nhập.</x:v>
      </x:c>
      <x:c r="N58" s="3" t="str">
        <x:v>Lead fixture</x:v>
      </x:c>
      <x:c r="O58" s="3" t="str">
        <x:v>1. Xóa cookie hoàn toàn
2. Gửi GET BACKEND /api/admin/consultations với dữ liệu hợp lệ</x:v>
      </x:c>
      <x:c r="P58" s="3" t="str">
        <x:v>HTTP 401; không trả dữ liệu quản trị và không thay đổi DB/MinIO.</x:v>
      </x:c>
      <x:c r="Q58" s="11" t="str"/>
      <x:c r="R58" s="8" t="str">
        <x:v>NOT RUN</x:v>
      </x:c>
      <x:c r="S58" s="11" t="str">
        <x:v>QA/UAT — cần điền URL/build</x:v>
      </x:c>
      <x:c r="T58" s="11" t="str">
        <x:v>Cần điền phiên bản thực</x:v>
      </x:c>
      <x:c r="U58" s="11" t="str"/>
      <x:c r="V58" s="12" t="str"/>
      <x:c r="W58" s="11" t="str"/>
      <x:c r="X58" s="11" t="str"/>
      <x:c r="Y58" s="3" t="str">
        <x:v>Nguồn: backend/src/modules/consultations/consultations.routes.ts:86. </x:v>
      </x:c>
    </x:row>
    <x:row r="59" ht="49" customHeight="1">
      <x:c r="A59" s="3" t="n">
        <x:v>58</x:v>
      </x:c>
      <x:c r="B59" s="3" t="str">
        <x:v>TC_PERMISSION_058</x:v>
      </x:c>
      <x:c r="C59" s="3" t="str">
        <x:v>PERMISSION</x:v>
      </x:c>
      <x:c r="D59" s="3" t="str">
        <x:v>Phiên hết hạn</x:v>
      </x:c>
      <x:c r="E59" s="3" t="str">
        <x:v>Phiên hết hạn</x:v>
      </x:c>
      <x:c r="F59" s="3" t="str">
        <x:v>Security — GET BACKEND /api/admin/consultations hết hạn</x:v>
      </x:c>
      <x:c r="G59" s="3" t="str">
        <x:v>GET BACKEND /api/admin/consultations hết hạn</x:v>
      </x:c>
      <x:c r="H59" s="3" t="str">
        <x:v>NFR-001</x:v>
      </x:c>
      <x:c r="I59" s="3" t="str">
        <x:v>QTV có quyền tương ứng</x:v>
      </x:c>
      <x:c r="J59" s="3" t="str">
        <x:v>Security</x:v>
      </x:c>
      <x:c r="K59" s="3" t="str">
        <x:v>High</x:v>
      </x:c>
      <x:c r="L59" s="3" t="str">
        <x:v>High</x:v>
      </x:c>
      <x:c r="M59" s="3" t="str">
        <x:v>Môi trường QA cô lập, DB/MinIO sẵn sàng; dữ liệu fixture đã tạo. Đăng nhập tài khoản ACTIVE, mustChangePassword=false.</x:v>
      </x:c>
      <x:c r="N59" s="3" t="str">
        <x:v>Lead fixture</x:v>
      </x:c>
      <x:c r="O59" s="3" t="str">
        <x:v>1. Tạo cookie có Session.expiresAt đã qua
2. Gửi GET BACKEND /api/admin/consultations</x:v>
      </x:c>
      <x:c r="P59" s="3" t="str">
        <x:v>HTTP 401; không có mutation; không trả dữ liệu quản trị.</x:v>
      </x:c>
      <x:c r="Q59" s="11" t="str"/>
      <x:c r="R59" s="8" t="str">
        <x:v>NOT RUN</x:v>
      </x:c>
      <x:c r="S59" s="11" t="str">
        <x:v>QA/UAT — cần điền URL/build</x:v>
      </x:c>
      <x:c r="T59" s="11" t="str">
        <x:v>Cần điền phiên bản thực</x:v>
      </x:c>
      <x:c r="U59" s="11" t="str"/>
      <x:c r="V59" s="12" t="str"/>
      <x:c r="W59" s="11" t="str"/>
      <x:c r="X59" s="11" t="str"/>
      <x:c r="Y59" s="3" t="str">
        <x:v>Nguồn: backend/src/modules/consultations/consultations.routes.ts:86. </x:v>
      </x:c>
    </x:row>
    <x:row r="60" ht="49" customHeight="1">
      <x:c r="A60" s="3" t="n">
        <x:v>59</x:v>
      </x:c>
      <x:c r="B60" s="3" t="str">
        <x:v>TC_PERMISSION_059</x:v>
      </x:c>
      <x:c r="C60" s="3" t="str">
        <x:v>PERMISSION</x:v>
      </x:c>
      <x:c r="D60" s="3" t="str">
        <x:v>RBAC từng hành động</x:v>
      </x:c>
      <x:c r="E60" s="3" t="str">
        <x:v>RBAC từng hành động</x:v>
      </x:c>
      <x:c r="F60" s="3" t="str">
        <x:v>Security — GET BACKEND /api/admin/consultations thiếu consultations.view</x:v>
      </x:c>
      <x:c r="G60" s="3" t="str">
        <x:v>GET BACKEND /api/admin/consultations thiếu consultations.view</x:v>
      </x:c>
      <x:c r="H60" s="3" t="str">
        <x:v>NFR-001</x:v>
      </x:c>
      <x:c r="I60" s="3" t="str">
        <x:v>Role QA thiếu permission cụ thể</x:v>
      </x:c>
      <x:c r="J60" s="3" t="str">
        <x:v>Security</x:v>
      </x:c>
      <x:c r="K60" s="3" t="str">
        <x:v>Critical</x:v>
      </x:c>
      <x:c r="L60" s="3" t="str">
        <x:v>Critical</x:v>
      </x:c>
      <x:c r="M60" s="3" t="str">
        <x:v>Môi trường QA cô lập, DB/MinIO sẵn sàng; dữ liệu fixture đã tạo. Đăng nhập tài khoản ACTIVE, mustChangePassword=false.</x:v>
      </x:c>
      <x:c r="N60" s="3" t="str">
        <x:v>Lead fixture</x:v>
      </x:c>
      <x:c r="O60" s="3" t="str">
        <x:v>1. Đăng nhập tài khoản test có phiên hợp lệ nhưng thiếu riêng consultations.view
2. Gửi GET BACKEND /api/admin/consultations trực tiếp, bỏ qua UI</x:v>
      </x:c>
      <x:c r="P60" s="3" t="str">
        <x:v>HTTP 403; không tạo/sửa/xóa dữ liệu; quyền khác không thay thế quyền đang thiếu.</x:v>
      </x:c>
      <x:c r="Q60" s="11" t="str"/>
      <x:c r="R60" s="8" t="str">
        <x:v>NOT RUN</x:v>
      </x:c>
      <x:c r="S60" s="11" t="str">
        <x:v>QA/UAT — cần điền URL/build</x:v>
      </x:c>
      <x:c r="T60" s="11" t="str">
        <x:v>Cần điền phiên bản thực</x:v>
      </x:c>
      <x:c r="U60" s="11" t="str"/>
      <x:c r="V60" s="12" t="str"/>
      <x:c r="W60" s="11" t="str"/>
      <x:c r="X60" s="11" t="str"/>
      <x:c r="Y60" s="3" t="str">
        <x:v>Nguồn: backend/src/modules/consultations/consultations.routes.ts:86. </x:v>
      </x:c>
    </x:row>
    <x:row r="61" ht="49" customHeight="1">
      <x:c r="A61" s="3" t="n">
        <x:v>60</x:v>
      </x:c>
      <x:c r="B61" s="3" t="str">
        <x:v>TC_PERMISSION_060</x:v>
      </x:c>
      <x:c r="C61" s="3" t="str">
        <x:v>PERMISSION</x:v>
      </x:c>
      <x:c r="D61" s="3" t="str">
        <x:v>Xác thực server</x:v>
      </x:c>
      <x:c r="E61" s="3" t="str">
        <x:v>Xác thực server</x:v>
      </x:c>
      <x:c r="F61" s="3" t="str">
        <x:v>Security — PATCH BACKEND /api/admin/consultations/:id/status không có phiên</x:v>
      </x:c>
      <x:c r="G61" s="3" t="str">
        <x:v>PATCH BACKEND /api/admin/consultations/:id/status không có phiên</x:v>
      </x:c>
      <x:c r="H61" s="3" t="str">
        <x:v>NFR-001</x:v>
      </x:c>
      <x:c r="I61" s="3" t="str">
        <x:v>Khách truy cập</x:v>
      </x:c>
      <x:c r="J61" s="3" t="str">
        <x:v>Security</x:v>
      </x:c>
      <x:c r="K61" s="3" t="str">
        <x:v>Critical</x:v>
      </x:c>
      <x:c r="L61" s="3" t="str">
        <x:v>Critical</x:v>
      </x:c>
      <x:c r="M61" s="3" t="str">
        <x:v>Môi trường QA cô lập, DB/MinIO sẵn sàng; dữ liệu fixture đã tạo. Không đăng nhập.</x:v>
      </x:c>
      <x:c r="N61" s="3" t="str">
        <x:v>status=CONTACTING</x:v>
      </x:c>
      <x:c r="O61" s="3" t="str">
        <x:v>1. Xóa cookie hoàn toàn
2. Gửi PATCH BACKEND /api/admin/consultations/:id/status với dữ liệu hợp lệ</x:v>
      </x:c>
      <x:c r="P61" s="3" t="str">
        <x:v>HTTP 401; không trả dữ liệu quản trị và không thay đổi DB/MinIO.</x:v>
      </x:c>
      <x:c r="Q61" s="11" t="str"/>
      <x:c r="R61" s="8" t="str">
        <x:v>NOT RUN</x:v>
      </x:c>
      <x:c r="S61" s="11" t="str">
        <x:v>QA/UAT — cần điền URL/build</x:v>
      </x:c>
      <x:c r="T61" s="11" t="str">
        <x:v>Cần điền phiên bản thực</x:v>
      </x:c>
      <x:c r="U61" s="11" t="str"/>
      <x:c r="V61" s="12" t="str"/>
      <x:c r="W61" s="11" t="str"/>
      <x:c r="X61" s="11" t="str"/>
      <x:c r="Y61" s="3" t="str">
        <x:v>Nguồn: backend/src/modules/consultations/consultations.routes.ts:105. </x:v>
      </x:c>
    </x:row>
    <x:row r="62" ht="49" customHeight="1">
      <x:c r="A62" s="3" t="n">
        <x:v>61</x:v>
      </x:c>
      <x:c r="B62" s="3" t="str">
        <x:v>TC_PERMISSION_061</x:v>
      </x:c>
      <x:c r="C62" s="3" t="str">
        <x:v>PERMISSION</x:v>
      </x:c>
      <x:c r="D62" s="3" t="str">
        <x:v>Phiên hết hạn</x:v>
      </x:c>
      <x:c r="E62" s="3" t="str">
        <x:v>Phiên hết hạn</x:v>
      </x:c>
      <x:c r="F62" s="3" t="str">
        <x:v>Security — PATCH BACKEND /api/admin/consultations/:id/status hết hạn</x:v>
      </x:c>
      <x:c r="G62" s="3" t="str">
        <x:v>PATCH BACKEND /api/admin/consultations/:id/status hết hạn</x:v>
      </x:c>
      <x:c r="H62" s="3" t="str">
        <x:v>NFR-001</x:v>
      </x:c>
      <x:c r="I62" s="3" t="str">
        <x:v>QTV có quyền tương ứng</x:v>
      </x:c>
      <x:c r="J62" s="3" t="str">
        <x:v>Security</x:v>
      </x:c>
      <x:c r="K62" s="3" t="str">
        <x:v>High</x:v>
      </x:c>
      <x:c r="L62" s="3" t="str">
        <x:v>High</x:v>
      </x:c>
      <x:c r="M62" s="3" t="str">
        <x:v>Môi trường QA cô lập, DB/MinIO sẵn sàng; dữ liệu fixture đã tạo. Đăng nhập tài khoản ACTIVE, mustChangePassword=false.</x:v>
      </x:c>
      <x:c r="N62" s="3" t="str">
        <x:v>status=CONTACTING</x:v>
      </x:c>
      <x:c r="O62" s="3" t="str">
        <x:v>1. Tạo cookie có Session.expiresAt đã qua
2. Gửi PATCH BACKEND /api/admin/consultations/:id/status</x:v>
      </x:c>
      <x:c r="P62" s="3" t="str">
        <x:v>HTTP 401; không có mutation; không trả dữ liệu quản trị.</x:v>
      </x:c>
      <x:c r="Q62" s="11" t="str"/>
      <x:c r="R62" s="8" t="str">
        <x:v>NOT RUN</x:v>
      </x:c>
      <x:c r="S62" s="11" t="str">
        <x:v>QA/UAT — cần điền URL/build</x:v>
      </x:c>
      <x:c r="T62" s="11" t="str">
        <x:v>Cần điền phiên bản thực</x:v>
      </x:c>
      <x:c r="U62" s="11" t="str"/>
      <x:c r="V62" s="12" t="str"/>
      <x:c r="W62" s="11" t="str"/>
      <x:c r="X62" s="11" t="str"/>
      <x:c r="Y62" s="3" t="str">
        <x:v>Nguồn: backend/src/modules/consultations/consultations.routes.ts:105. </x:v>
      </x:c>
    </x:row>
    <x:row r="63" ht="62" customHeight="1">
      <x:c r="A63" s="3" t="n">
        <x:v>62</x:v>
      </x:c>
      <x:c r="B63" s="3" t="str">
        <x:v>TC_PERMISSION_062</x:v>
      </x:c>
      <x:c r="C63" s="3" t="str">
        <x:v>PERMISSION</x:v>
      </x:c>
      <x:c r="D63" s="3" t="str">
        <x:v>RBAC từng hành động</x:v>
      </x:c>
      <x:c r="E63" s="3" t="str">
        <x:v>RBAC từng hành động</x:v>
      </x:c>
      <x:c r="F63" s="3" t="str">
        <x:v>Security — PATCH BACKEND /api/admin/consultations/:id/status thiếu consultations.update</x:v>
      </x:c>
      <x:c r="G63" s="3" t="str">
        <x:v>PATCH BACKEND /api/admin/consultations/:id/status thiếu consultations.update</x:v>
      </x:c>
      <x:c r="H63" s="3" t="str">
        <x:v>NFR-001</x:v>
      </x:c>
      <x:c r="I63" s="3" t="str">
        <x:v>Role QA thiếu permission cụ thể</x:v>
      </x:c>
      <x:c r="J63" s="3" t="str">
        <x:v>Security</x:v>
      </x:c>
      <x:c r="K63" s="3" t="str">
        <x:v>Critical</x:v>
      </x:c>
      <x:c r="L63" s="3" t="str">
        <x:v>Critical</x:v>
      </x:c>
      <x:c r="M63" s="3" t="str">
        <x:v>Môi trường QA cô lập, DB/MinIO sẵn sàng; dữ liệu fixture đã tạo. Đăng nhập tài khoản ACTIVE, mustChangePassword=false.</x:v>
      </x:c>
      <x:c r="N63" s="3" t="str">
        <x:v>status=CONTACTING</x:v>
      </x:c>
      <x:c r="O63" s="3" t="str">
        <x:v>1. Đăng nhập tài khoản test có phiên hợp lệ nhưng thiếu riêng consultations.update
2. Gửi PATCH BACKEND /api/admin/consultations/:id/status trực tiếp, bỏ qua UI</x:v>
      </x:c>
      <x:c r="P63" s="3" t="str">
        <x:v>HTTP 403; không tạo/sửa/xóa dữ liệu; quyền khác không thay thế quyền đang thiếu.</x:v>
      </x:c>
      <x:c r="Q63" s="11" t="str"/>
      <x:c r="R63" s="8" t="str">
        <x:v>NOT RUN</x:v>
      </x:c>
      <x:c r="S63" s="11" t="str">
        <x:v>QA/UAT — cần điền URL/build</x:v>
      </x:c>
      <x:c r="T63" s="11" t="str">
        <x:v>Cần điền phiên bản thực</x:v>
      </x:c>
      <x:c r="U63" s="11" t="str"/>
      <x:c r="V63" s="12" t="str"/>
      <x:c r="W63" s="11" t="str"/>
      <x:c r="X63" s="11" t="str"/>
      <x:c r="Y63" s="3" t="str">
        <x:v>Nguồn: backend/src/modules/consultations/consultations.routes.ts:105. </x:v>
      </x:c>
    </x:row>
    <x:row r="64" ht="36" customHeight="1">
      <x:c r="A64" s="3" t="n">
        <x:v>63</x:v>
      </x:c>
      <x:c r="B64" s="3" t="str">
        <x:v>TC_PERMISSION_063</x:v>
      </x:c>
      <x:c r="C64" s="3" t="str">
        <x:v>PERMISSION</x:v>
      </x:c>
      <x:c r="D64" s="3" t="str">
        <x:v>Xác thực server</x:v>
      </x:c>
      <x:c r="E64" s="3" t="str">
        <x:v>Xác thực server</x:v>
      </x:c>
      <x:c r="F64" s="3" t="str">
        <x:v>Security — GET ADMIN /api/admin/notifications không có phiên</x:v>
      </x:c>
      <x:c r="G64" s="3" t="str">
        <x:v>GET ADMIN /api/admin/notifications không có phiên</x:v>
      </x:c>
      <x:c r="H64" s="3" t="str">
        <x:v>NFR-001</x:v>
      </x:c>
      <x:c r="I64" s="3" t="str">
        <x:v>Khách truy cập</x:v>
      </x:c>
      <x:c r="J64" s="3" t="str">
        <x:v>Security</x:v>
      </x:c>
      <x:c r="K64" s="3" t="str">
        <x:v>Critical</x:v>
      </x:c>
      <x:c r="L64" s="3" t="str">
        <x:v>Critical</x:v>
      </x:c>
      <x:c r="M64" s="3" t="str">
        <x:v>Môi trường QA cô lập, DB/MinIO sẵn sàng; dữ liệu fixture đã tạo. Không đăng nhập.</x:v>
      </x:c>
      <x:c r="N64" s="3" t="str">
        <x:v>Fixture tương ứng route; tham số mặc định; ID/path hợp lệ trong QA</x:v>
      </x:c>
      <x:c r="O64" s="3" t="str">
        <x:v>1. Xóa cookie hoàn toàn
2. Gửi GET ADMIN /api/admin/notifications với dữ liệu hợp lệ</x:v>
      </x:c>
      <x:c r="P64" s="3" t="str">
        <x:v>HTTP 401; không trả dữ liệu quản trị và không thay đổi DB/MinIO.</x:v>
      </x:c>
      <x:c r="Q64" s="11" t="str"/>
      <x:c r="R64" s="8" t="str">
        <x:v>NOT RUN</x:v>
      </x:c>
      <x:c r="S64" s="11" t="str">
        <x:v>QA/UAT — cần điền URL/build</x:v>
      </x:c>
      <x:c r="T64" s="11" t="str">
        <x:v>Cần điền phiên bản thực</x:v>
      </x:c>
      <x:c r="U64" s="11" t="str"/>
      <x:c r="V64" s="12" t="str"/>
      <x:c r="W64" s="11" t="str"/>
      <x:c r="X64" s="11" t="str"/>
      <x:c r="Y64" s="3" t="str">
        <x:v>Nguồn: admin/src/app/api/admin/notifications/route.ts. </x:v>
      </x:c>
    </x:row>
    <x:row r="65" ht="49" customHeight="1">
      <x:c r="A65" s="3" t="n">
        <x:v>64</x:v>
      </x:c>
      <x:c r="B65" s="3" t="str">
        <x:v>TC_PERMISSION_064</x:v>
      </x:c>
      <x:c r="C65" s="3" t="str">
        <x:v>PERMISSION</x:v>
      </x:c>
      <x:c r="D65" s="3" t="str">
        <x:v>Phiên hết hạn</x:v>
      </x:c>
      <x:c r="E65" s="3" t="str">
        <x:v>Phiên hết hạn</x:v>
      </x:c>
      <x:c r="F65" s="3" t="str">
        <x:v>Security — GET ADMIN /api/admin/notifications hết hạn</x:v>
      </x:c>
      <x:c r="G65" s="3" t="str">
        <x:v>GET ADMIN /api/admin/notifications hết hạn</x:v>
      </x:c>
      <x:c r="H65" s="3" t="str">
        <x:v>NFR-001</x:v>
      </x:c>
      <x:c r="I65" s="3" t="str">
        <x:v>QTV có quyền tương ứng</x:v>
      </x:c>
      <x:c r="J65" s="3" t="str">
        <x:v>Security</x:v>
      </x:c>
      <x:c r="K65" s="3" t="str">
        <x:v>High</x:v>
      </x:c>
      <x:c r="L65" s="3" t="str">
        <x:v>High</x:v>
      </x:c>
      <x:c r="M65" s="3" t="str">
        <x:v>Môi trường QA cô lập, DB/MinIO sẵn sàng; dữ liệu fixture đã tạo. Đăng nhập tài khoản ACTIVE, mustChangePassword=false.</x:v>
      </x:c>
      <x:c r="N65" s="3" t="str">
        <x:v>Fixture tương ứng route; tham số mặc định; ID/path hợp lệ trong QA</x:v>
      </x:c>
      <x:c r="O65" s="3" t="str">
        <x:v>1. Tạo cookie có Session.expiresAt đã qua
2. Gửi GET ADMIN /api/admin/notifications</x:v>
      </x:c>
      <x:c r="P65" s="3" t="str">
        <x:v>HTTP 401; không có mutation; không trả dữ liệu quản trị.</x:v>
      </x:c>
      <x:c r="Q65" s="11" t="str"/>
      <x:c r="R65" s="8" t="str">
        <x:v>NOT RUN</x:v>
      </x:c>
      <x:c r="S65" s="11" t="str">
        <x:v>QA/UAT — cần điền URL/build</x:v>
      </x:c>
      <x:c r="T65" s="11" t="str">
        <x:v>Cần điền phiên bản thực</x:v>
      </x:c>
      <x:c r="U65" s="11" t="str"/>
      <x:c r="V65" s="12" t="str"/>
      <x:c r="W65" s="11" t="str"/>
      <x:c r="X65" s="11" t="str"/>
      <x:c r="Y65" s="3" t="str">
        <x:v>Nguồn: admin/src/app/api/admin/notifications/route.ts. </x:v>
      </x:c>
    </x:row>
    <x:row r="66" ht="36" customHeight="1">
      <x:c r="A66" s="3" t="n">
        <x:v>65</x:v>
      </x:c>
      <x:c r="B66" s="3" t="str">
        <x:v>TC_PERMISSION_065</x:v>
      </x:c>
      <x:c r="C66" s="3" t="str">
        <x:v>PERMISSION</x:v>
      </x:c>
      <x:c r="D66" s="3" t="str">
        <x:v>Xác thực server</x:v>
      </x:c>
      <x:c r="E66" s="3" t="str">
        <x:v>Xác thực server</x:v>
      </x:c>
      <x:c r="F66" s="3" t="str">
        <x:v>Security — GET ADMIN /api/admin/users không có phiên</x:v>
      </x:c>
      <x:c r="G66" s="3" t="str">
        <x:v>GET ADMIN /api/admin/users không có phiên</x:v>
      </x:c>
      <x:c r="H66" s="3" t="str">
        <x:v>NFR-001</x:v>
      </x:c>
      <x:c r="I66" s="3" t="str">
        <x:v>Khách truy cập</x:v>
      </x:c>
      <x:c r="J66" s="3" t="str">
        <x:v>Security</x:v>
      </x:c>
      <x:c r="K66" s="3" t="str">
        <x:v>Critical</x:v>
      </x:c>
      <x:c r="L66" s="3" t="str">
        <x:v>Critical</x:v>
      </x:c>
      <x:c r="M66" s="3" t="str">
        <x:v>Môi trường QA cô lập, DB/MinIO sẵn sàng; dữ liệu fixture đã tạo. Không đăng nhập.</x:v>
      </x:c>
      <x:c r="N66" s="3" t="str">
        <x:v>USER; id=USER_ID; role/status/password theo endpoint</x:v>
      </x:c>
      <x:c r="O66" s="3" t="str">
        <x:v>1. Xóa cookie hoàn toàn
2. Gửi GET ADMIN /api/admin/users với dữ liệu hợp lệ</x:v>
      </x:c>
      <x:c r="P66" s="3" t="str">
        <x:v>HTTP 401; không trả dữ liệu quản trị và không thay đổi DB/MinIO.</x:v>
      </x:c>
      <x:c r="Q66" s="11" t="str"/>
      <x:c r="R66" s="8" t="str">
        <x:v>NOT RUN</x:v>
      </x:c>
      <x:c r="S66" s="11" t="str">
        <x:v>QA/UAT — cần điền URL/build</x:v>
      </x:c>
      <x:c r="T66" s="11" t="str">
        <x:v>Cần điền phiên bản thực</x:v>
      </x:c>
      <x:c r="U66" s="11" t="str"/>
      <x:c r="V66" s="12" t="str"/>
      <x:c r="W66" s="11" t="str"/>
      <x:c r="X66" s="11" t="str"/>
      <x:c r="Y66" s="3" t="str">
        <x:v>Nguồn: admin/src/app/api/admin/users/route.ts. </x:v>
      </x:c>
    </x:row>
    <x:row r="67" ht="49" customHeight="1">
      <x:c r="A67" s="3" t="n">
        <x:v>66</x:v>
      </x:c>
      <x:c r="B67" s="3" t="str">
        <x:v>TC_PERMISSION_066</x:v>
      </x:c>
      <x:c r="C67" s="3" t="str">
        <x:v>PERMISSION</x:v>
      </x:c>
      <x:c r="D67" s="3" t="str">
        <x:v>Phiên hết hạn</x:v>
      </x:c>
      <x:c r="E67" s="3" t="str">
        <x:v>Phiên hết hạn</x:v>
      </x:c>
      <x:c r="F67" s="3" t="str">
        <x:v>Security — GET ADMIN /api/admin/users hết hạn</x:v>
      </x:c>
      <x:c r="G67" s="3" t="str">
        <x:v>GET ADMIN /api/admin/users hết hạn</x:v>
      </x:c>
      <x:c r="H67" s="3" t="str">
        <x:v>NFR-001</x:v>
      </x:c>
      <x:c r="I67" s="3" t="str">
        <x:v>QTV có quyền tương ứng</x:v>
      </x:c>
      <x:c r="J67" s="3" t="str">
        <x:v>Security</x:v>
      </x:c>
      <x:c r="K67" s="3" t="str">
        <x:v>High</x:v>
      </x:c>
      <x:c r="L67" s="3" t="str">
        <x:v>High</x:v>
      </x:c>
      <x:c r="M67" s="3" t="str">
        <x:v>Môi trường QA cô lập, DB/MinIO sẵn sàng; dữ liệu fixture đã tạo. Đăng nhập tài khoản ACTIVE, mustChangePassword=false.</x:v>
      </x:c>
      <x:c r="N67" s="3" t="str">
        <x:v>USER; id=USER_ID; role/status/password theo endpoint</x:v>
      </x:c>
      <x:c r="O67" s="3" t="str">
        <x:v>1. Tạo cookie có Session.expiresAt đã qua
2. Gửi GET ADMIN /api/admin/users</x:v>
      </x:c>
      <x:c r="P67" s="3" t="str">
        <x:v>HTTP 401; không có mutation; không trả dữ liệu quản trị.</x:v>
      </x:c>
      <x:c r="Q67" s="11" t="str"/>
      <x:c r="R67" s="8" t="str">
        <x:v>NOT RUN</x:v>
      </x:c>
      <x:c r="S67" s="11" t="str">
        <x:v>QA/UAT — cần điền URL/build</x:v>
      </x:c>
      <x:c r="T67" s="11" t="str">
        <x:v>Cần điền phiên bản thực</x:v>
      </x:c>
      <x:c r="U67" s="11" t="str"/>
      <x:c r="V67" s="12" t="str"/>
      <x:c r="W67" s="11" t="str"/>
      <x:c r="X67" s="11" t="str"/>
      <x:c r="Y67" s="3" t="str">
        <x:v>Nguồn: admin/src/app/api/admin/users/route.ts. </x:v>
      </x:c>
    </x:row>
    <x:row r="68" ht="49" customHeight="1">
      <x:c r="A68" s="3" t="n">
        <x:v>67</x:v>
      </x:c>
      <x:c r="B68" s="3" t="str">
        <x:v>TC_PERMISSION_067</x:v>
      </x:c>
      <x:c r="C68" s="3" t="str">
        <x:v>PERMISSION</x:v>
      </x:c>
      <x:c r="D68" s="3" t="str">
        <x:v>RBAC từng hành động</x:v>
      </x:c>
      <x:c r="E68" s="3" t="str">
        <x:v>RBAC từng hành động</x:v>
      </x:c>
      <x:c r="F68" s="3" t="str">
        <x:v>Security — GET ADMIN /api/admin/users thiếu admins.view</x:v>
      </x:c>
      <x:c r="G68" s="3" t="str">
        <x:v>GET ADMIN /api/admin/users thiếu admins.view</x:v>
      </x:c>
      <x:c r="H68" s="3" t="str">
        <x:v>NFR-001</x:v>
      </x:c>
      <x:c r="I68" s="3" t="str">
        <x:v>Role QA thiếu permission cụ thể</x:v>
      </x:c>
      <x:c r="J68" s="3" t="str">
        <x:v>Security</x:v>
      </x:c>
      <x:c r="K68" s="3" t="str">
        <x:v>Critical</x:v>
      </x:c>
      <x:c r="L68" s="3" t="str">
        <x:v>Critical</x:v>
      </x:c>
      <x:c r="M68" s="3" t="str">
        <x:v>Môi trường QA cô lập, DB/MinIO sẵn sàng; dữ liệu fixture đã tạo. Đăng nhập tài khoản ACTIVE, mustChangePassword=false.</x:v>
      </x:c>
      <x:c r="N68" s="3" t="str">
        <x:v>USER; id=USER_ID; role/status/password theo endpoint</x:v>
      </x:c>
      <x:c r="O68" s="3" t="str">
        <x:v>1. Đăng nhập tài khoản test có phiên hợp lệ nhưng thiếu riêng admins.view
2. Gửi GET ADMIN /api/admin/users trực tiếp, bỏ qua UI</x:v>
      </x:c>
      <x:c r="P68" s="3" t="str">
        <x:v>HTTP 403; không tạo/sửa/xóa dữ liệu; quyền khác không thay thế quyền đang thiếu.</x:v>
      </x:c>
      <x:c r="Q68" s="11" t="str"/>
      <x:c r="R68" s="8" t="str">
        <x:v>NOT RUN</x:v>
      </x:c>
      <x:c r="S68" s="11" t="str">
        <x:v>QA/UAT — cần điền URL/build</x:v>
      </x:c>
      <x:c r="T68" s="11" t="str">
        <x:v>Cần điền phiên bản thực</x:v>
      </x:c>
      <x:c r="U68" s="11" t="str"/>
      <x:c r="V68" s="12" t="str"/>
      <x:c r="W68" s="11" t="str"/>
      <x:c r="X68" s="11" t="str"/>
      <x:c r="Y68" s="3" t="str">
        <x:v>Nguồn: admin/src/app/api/admin/users/route.ts. </x:v>
      </x:c>
    </x:row>
    <x:row r="69" ht="36" customHeight="1">
      <x:c r="A69" s="3" t="n">
        <x:v>68</x:v>
      </x:c>
      <x:c r="B69" s="3" t="str">
        <x:v>TC_PERMISSION_068</x:v>
      </x:c>
      <x:c r="C69" s="3" t="str">
        <x:v>PERMISSION</x:v>
      </x:c>
      <x:c r="D69" s="3" t="str">
        <x:v>Xác thực server</x:v>
      </x:c>
      <x:c r="E69" s="3" t="str">
        <x:v>Xác thực server</x:v>
      </x:c>
      <x:c r="F69" s="3" t="str">
        <x:v>Security — POST ADMIN /api/admin/users không có phiên</x:v>
      </x:c>
      <x:c r="G69" s="3" t="str">
        <x:v>POST ADMIN /api/admin/users không có phiên</x:v>
      </x:c>
      <x:c r="H69" s="3" t="str">
        <x:v>NFR-001</x:v>
      </x:c>
      <x:c r="I69" s="3" t="str">
        <x:v>Khách truy cập</x:v>
      </x:c>
      <x:c r="J69" s="3" t="str">
        <x:v>Security</x:v>
      </x:c>
      <x:c r="K69" s="3" t="str">
        <x:v>Critical</x:v>
      </x:c>
      <x:c r="L69" s="3" t="str">
        <x:v>Critical</x:v>
      </x:c>
      <x:c r="M69" s="3" t="str">
        <x:v>Môi trường QA cô lập, DB/MinIO sẵn sàng; dữ liệu fixture đã tạo. Không đăng nhập.</x:v>
      </x:c>
      <x:c r="N69" s="3" t="str">
        <x:v>USER; id=USER_ID; role/status/password theo endpoint</x:v>
      </x:c>
      <x:c r="O69" s="3" t="str">
        <x:v>1. Xóa cookie hoàn toàn
2. Gửi POST ADMIN /api/admin/users với dữ liệu hợp lệ</x:v>
      </x:c>
      <x:c r="P69" s="3" t="str">
        <x:v>HTTP 401; không trả dữ liệu quản trị và không thay đổi DB/MinIO.</x:v>
      </x:c>
      <x:c r="Q69" s="11" t="str"/>
      <x:c r="R69" s="8" t="str">
        <x:v>NOT RUN</x:v>
      </x:c>
      <x:c r="S69" s="11" t="str">
        <x:v>QA/UAT — cần điền URL/build</x:v>
      </x:c>
      <x:c r="T69" s="11" t="str">
        <x:v>Cần điền phiên bản thực</x:v>
      </x:c>
      <x:c r="U69" s="11" t="str"/>
      <x:c r="V69" s="12" t="str"/>
      <x:c r="W69" s="11" t="str"/>
      <x:c r="X69" s="11" t="str"/>
      <x:c r="Y69" s="3" t="str">
        <x:v>Nguồn: admin/src/app/api/admin/users/route.ts. </x:v>
      </x:c>
    </x:row>
    <x:row r="70" ht="49" customHeight="1">
      <x:c r="A70" s="3" t="n">
        <x:v>69</x:v>
      </x:c>
      <x:c r="B70" s="3" t="str">
        <x:v>TC_PERMISSION_069</x:v>
      </x:c>
      <x:c r="C70" s="3" t="str">
        <x:v>PERMISSION</x:v>
      </x:c>
      <x:c r="D70" s="3" t="str">
        <x:v>Phiên hết hạn</x:v>
      </x:c>
      <x:c r="E70" s="3" t="str">
        <x:v>Phiên hết hạn</x:v>
      </x:c>
      <x:c r="F70" s="3" t="str">
        <x:v>Security — POST ADMIN /api/admin/users hết hạn</x:v>
      </x:c>
      <x:c r="G70" s="3" t="str">
        <x:v>POST ADMIN /api/admin/users hết hạn</x:v>
      </x:c>
      <x:c r="H70" s="3" t="str">
        <x:v>NFR-001</x:v>
      </x:c>
      <x:c r="I70" s="3" t="str">
        <x:v>QTV có quyền tương ứng</x:v>
      </x:c>
      <x:c r="J70" s="3" t="str">
        <x:v>Security</x:v>
      </x:c>
      <x:c r="K70" s="3" t="str">
        <x:v>High</x:v>
      </x:c>
      <x:c r="L70" s="3" t="str">
        <x:v>High</x:v>
      </x:c>
      <x:c r="M70" s="3" t="str">
        <x:v>Môi trường QA cô lập, DB/MinIO sẵn sàng; dữ liệu fixture đã tạo. Đăng nhập tài khoản ACTIVE, mustChangePassword=false.</x:v>
      </x:c>
      <x:c r="N70" s="3" t="str">
        <x:v>USER; id=USER_ID; role/status/password theo endpoint</x:v>
      </x:c>
      <x:c r="O70" s="3" t="str">
        <x:v>1. Tạo cookie có Session.expiresAt đã qua
2. Gửi POST ADMIN /api/admin/users</x:v>
      </x:c>
      <x:c r="P70" s="3" t="str">
        <x:v>HTTP 401; không có mutation; không trả dữ liệu quản trị.</x:v>
      </x:c>
      <x:c r="Q70" s="11" t="str"/>
      <x:c r="R70" s="8" t="str">
        <x:v>NOT RUN</x:v>
      </x:c>
      <x:c r="S70" s="11" t="str">
        <x:v>QA/UAT — cần điền URL/build</x:v>
      </x:c>
      <x:c r="T70" s="11" t="str">
        <x:v>Cần điền phiên bản thực</x:v>
      </x:c>
      <x:c r="U70" s="11" t="str"/>
      <x:c r="V70" s="12" t="str"/>
      <x:c r="W70" s="11" t="str"/>
      <x:c r="X70" s="11" t="str"/>
      <x:c r="Y70" s="3" t="str">
        <x:v>Nguồn: admin/src/app/api/admin/users/route.ts. </x:v>
      </x:c>
    </x:row>
    <x:row r="71" ht="49" customHeight="1">
      <x:c r="A71" s="3" t="n">
        <x:v>70</x:v>
      </x:c>
      <x:c r="B71" s="3" t="str">
        <x:v>TC_PERMISSION_070</x:v>
      </x:c>
      <x:c r="C71" s="3" t="str">
        <x:v>PERMISSION</x:v>
      </x:c>
      <x:c r="D71" s="3" t="str">
        <x:v>RBAC từng hành động</x:v>
      </x:c>
      <x:c r="E71" s="3" t="str">
        <x:v>RBAC từng hành động</x:v>
      </x:c>
      <x:c r="F71" s="3" t="str">
        <x:v>Security — POST ADMIN /api/admin/users thiếu admins.view</x:v>
      </x:c>
      <x:c r="G71" s="3" t="str">
        <x:v>POST ADMIN /api/admin/users thiếu admins.view</x:v>
      </x:c>
      <x:c r="H71" s="3" t="str">
        <x:v>NFR-001</x:v>
      </x:c>
      <x:c r="I71" s="3" t="str">
        <x:v>Role QA thiếu permission cụ thể</x:v>
      </x:c>
      <x:c r="J71" s="3" t="str">
        <x:v>Security</x:v>
      </x:c>
      <x:c r="K71" s="3" t="str">
        <x:v>Critical</x:v>
      </x:c>
      <x:c r="L71" s="3" t="str">
        <x:v>Critical</x:v>
      </x:c>
      <x:c r="M71" s="3" t="str">
        <x:v>Môi trường QA cô lập, DB/MinIO sẵn sàng; dữ liệu fixture đã tạo. Đăng nhập tài khoản ACTIVE, mustChangePassword=false.</x:v>
      </x:c>
      <x:c r="N71" s="3" t="str">
        <x:v>USER; id=USER_ID; role/status/password theo endpoint</x:v>
      </x:c>
      <x:c r="O71" s="3" t="str">
        <x:v>1. Đăng nhập tài khoản test có phiên hợp lệ nhưng thiếu riêng admins.view
2. Gửi POST ADMIN /api/admin/users trực tiếp, bỏ qua UI</x:v>
      </x:c>
      <x:c r="P71" s="3" t="str">
        <x:v>HTTP 403; không tạo/sửa/xóa dữ liệu; quyền khác không thay thế quyền đang thiếu.</x:v>
      </x:c>
      <x:c r="Q71" s="11" t="str"/>
      <x:c r="R71" s="8" t="str">
        <x:v>NOT RUN</x:v>
      </x:c>
      <x:c r="S71" s="11" t="str">
        <x:v>QA/UAT — cần điền URL/build</x:v>
      </x:c>
      <x:c r="T71" s="11" t="str">
        <x:v>Cần điền phiên bản thực</x:v>
      </x:c>
      <x:c r="U71" s="11" t="str"/>
      <x:c r="V71" s="12" t="str"/>
      <x:c r="W71" s="11" t="str"/>
      <x:c r="X71" s="11" t="str"/>
      <x:c r="Y71" s="3" t="str">
        <x:v>Nguồn: admin/src/app/api/admin/users/route.ts. </x:v>
      </x:c>
    </x:row>
    <x:row r="72" ht="36" customHeight="1">
      <x:c r="A72" s="3" t="n">
        <x:v>71</x:v>
      </x:c>
      <x:c r="B72" s="3" t="str">
        <x:v>TC_PERMISSION_071</x:v>
      </x:c>
      <x:c r="C72" s="3" t="str">
        <x:v>PERMISSION</x:v>
      </x:c>
      <x:c r="D72" s="3" t="str">
        <x:v>Xác thực server</x:v>
      </x:c>
      <x:c r="E72" s="3" t="str">
        <x:v>Xác thực server</x:v>
      </x:c>
      <x:c r="F72" s="3" t="str">
        <x:v>Security — POST ADMIN /api/admin/auth/change-password không có phiên</x:v>
      </x:c>
      <x:c r="G72" s="3" t="str">
        <x:v>POST ADMIN /api/admin/auth/change-password không có phiên</x:v>
      </x:c>
      <x:c r="H72" s="3" t="str">
        <x:v>NFR-001</x:v>
      </x:c>
      <x:c r="I72" s="3" t="str">
        <x:v>Khách truy cập</x:v>
      </x:c>
      <x:c r="J72" s="3" t="str">
        <x:v>Security</x:v>
      </x:c>
      <x:c r="K72" s="3" t="str">
        <x:v>Critical</x:v>
      </x:c>
      <x:c r="L72" s="3" t="str">
        <x:v>Critical</x:v>
      </x:c>
      <x:c r="M72" s="3" t="str">
        <x:v>Môi trường QA cô lập, DB/MinIO sẵn sàng; dữ liệu fixture đã tạo. Không đăng nhập.</x:v>
      </x:c>
      <x:c r="N72" s="3" t="str">
        <x:v>CHANGE</x:v>
      </x:c>
      <x:c r="O72" s="3" t="str">
        <x:v>1. Xóa cookie hoàn toàn
2. Gửi POST ADMIN /api/admin/auth/change-password với dữ liệu hợp lệ</x:v>
      </x:c>
      <x:c r="P72" s="3" t="str">
        <x:v>HTTP 401; không trả dữ liệu quản trị và không thay đổi DB/MinIO.</x:v>
      </x:c>
      <x:c r="Q72" s="11" t="str"/>
      <x:c r="R72" s="8" t="str">
        <x:v>NOT RUN</x:v>
      </x:c>
      <x:c r="S72" s="11" t="str">
        <x:v>QA/UAT — cần điền URL/build</x:v>
      </x:c>
      <x:c r="T72" s="11" t="str">
        <x:v>Cần điền phiên bản thực</x:v>
      </x:c>
      <x:c r="U72" s="11" t="str"/>
      <x:c r="V72" s="12" t="str"/>
      <x:c r="W72" s="11" t="str"/>
      <x:c r="X72" s="11" t="str"/>
      <x:c r="Y72" s="3" t="str">
        <x:v>Nguồn: admin/src/app/api/admin/auth/change-password/route.ts. </x:v>
      </x:c>
    </x:row>
    <x:row r="73" ht="49" customHeight="1">
      <x:c r="A73" s="3" t="n">
        <x:v>72</x:v>
      </x:c>
      <x:c r="B73" s="3" t="str">
        <x:v>TC_PERMISSION_072</x:v>
      </x:c>
      <x:c r="C73" s="3" t="str">
        <x:v>PERMISSION</x:v>
      </x:c>
      <x:c r="D73" s="3" t="str">
        <x:v>Phiên hết hạn</x:v>
      </x:c>
      <x:c r="E73" s="3" t="str">
        <x:v>Phiên hết hạn</x:v>
      </x:c>
      <x:c r="F73" s="3" t="str">
        <x:v>Security — POST ADMIN /api/admin/auth/change-password hết hạn</x:v>
      </x:c>
      <x:c r="G73" s="3" t="str">
        <x:v>POST ADMIN /api/admin/auth/change-password hết hạn</x:v>
      </x:c>
      <x:c r="H73" s="3" t="str">
        <x:v>NFR-001</x:v>
      </x:c>
      <x:c r="I73" s="3" t="str">
        <x:v>QTV có quyền tương ứng</x:v>
      </x:c>
      <x:c r="J73" s="3" t="str">
        <x:v>Security</x:v>
      </x:c>
      <x:c r="K73" s="3" t="str">
        <x:v>High</x:v>
      </x:c>
      <x:c r="L73" s="3" t="str">
        <x:v>High</x:v>
      </x:c>
      <x:c r="M73" s="3" t="str">
        <x:v>Môi trường QA cô lập, DB/MinIO sẵn sàng; dữ liệu fixture đã tạo. Đăng nhập tài khoản ACTIVE, mustChangePassword=false.</x:v>
      </x:c>
      <x:c r="N73" s="3" t="str">
        <x:v>CHANGE</x:v>
      </x:c>
      <x:c r="O73" s="3" t="str">
        <x:v>1. Tạo cookie có Session.expiresAt đã qua
2. Gửi POST ADMIN /api/admin/auth/change-password</x:v>
      </x:c>
      <x:c r="P73" s="3" t="str">
        <x:v>HTTP 401; không có mutation; không trả dữ liệu quản trị.</x:v>
      </x:c>
      <x:c r="Q73" s="11" t="str"/>
      <x:c r="R73" s="8" t="str">
        <x:v>NOT RUN</x:v>
      </x:c>
      <x:c r="S73" s="11" t="str">
        <x:v>QA/UAT — cần điền URL/build</x:v>
      </x:c>
      <x:c r="T73" s="11" t="str">
        <x:v>Cần điền phiên bản thực</x:v>
      </x:c>
      <x:c r="U73" s="11" t="str"/>
      <x:c r="V73" s="12" t="str"/>
      <x:c r="W73" s="11" t="str"/>
      <x:c r="X73" s="11" t="str"/>
      <x:c r="Y73" s="3" t="str">
        <x:v>Nguồn: admin/src/app/api/admin/auth/change-password/route.ts. </x:v>
      </x:c>
    </x:row>
    <x:row r="74" ht="36" customHeight="1">
      <x:c r="A74" s="3" t="n">
        <x:v>73</x:v>
      </x:c>
      <x:c r="B74" s="3" t="str">
        <x:v>TC_PERMISSION_073</x:v>
      </x:c>
      <x:c r="C74" s="3" t="str">
        <x:v>PERMISSION</x:v>
      </x:c>
      <x:c r="D74" s="3" t="str">
        <x:v>Xác thực server</x:v>
      </x:c>
      <x:c r="E74" s="3" t="str">
        <x:v>Xác thực server</x:v>
      </x:c>
      <x:c r="F74" s="3" t="str">
        <x:v>Security — GET ADMIN /api/admin/auth/me không có phiên</x:v>
      </x:c>
      <x:c r="G74" s="3" t="str">
        <x:v>GET ADMIN /api/admin/auth/me không có phiên</x:v>
      </x:c>
      <x:c r="H74" s="3" t="str">
        <x:v>NFR-001</x:v>
      </x:c>
      <x:c r="I74" s="3" t="str">
        <x:v>Khách truy cập</x:v>
      </x:c>
      <x:c r="J74" s="3" t="str">
        <x:v>Security</x:v>
      </x:c>
      <x:c r="K74" s="3" t="str">
        <x:v>Critical</x:v>
      </x:c>
      <x:c r="L74" s="3" t="str">
        <x:v>Critical</x:v>
      </x:c>
      <x:c r="M74" s="3" t="str">
        <x:v>Môi trường QA cô lập, DB/MinIO sẵn sàng; dữ liệu fixture đã tạo. Không đăng nhập.</x:v>
      </x:c>
      <x:c r="N74" s="3" t="str">
        <x:v>Fixture tương ứng route; tham số mặc định; ID/path hợp lệ trong QA</x:v>
      </x:c>
      <x:c r="O74" s="3" t="str">
        <x:v>1. Xóa cookie hoàn toàn
2. Gửi GET ADMIN /api/admin/auth/me với dữ liệu hợp lệ</x:v>
      </x:c>
      <x:c r="P74" s="3" t="str">
        <x:v>HTTP 401; không trả dữ liệu quản trị và không thay đổi DB/MinIO.</x:v>
      </x:c>
      <x:c r="Q74" s="11" t="str"/>
      <x:c r="R74" s="8" t="str">
        <x:v>NOT RUN</x:v>
      </x:c>
      <x:c r="S74" s="11" t="str">
        <x:v>QA/UAT — cần điền URL/build</x:v>
      </x:c>
      <x:c r="T74" s="11" t="str">
        <x:v>Cần điền phiên bản thực</x:v>
      </x:c>
      <x:c r="U74" s="11" t="str"/>
      <x:c r="V74" s="12" t="str"/>
      <x:c r="W74" s="11" t="str"/>
      <x:c r="X74" s="11" t="str"/>
      <x:c r="Y74" s="3" t="str">
        <x:v>Nguồn: admin/src/app/api/admin/auth/me/route.ts. </x:v>
      </x:c>
    </x:row>
    <x:row r="75" ht="49" customHeight="1">
      <x:c r="A75" s="3" t="n">
        <x:v>74</x:v>
      </x:c>
      <x:c r="B75" s="3" t="str">
        <x:v>TC_PERMISSION_074</x:v>
      </x:c>
      <x:c r="C75" s="3" t="str">
        <x:v>PERMISSION</x:v>
      </x:c>
      <x:c r="D75" s="3" t="str">
        <x:v>Phiên hết hạn</x:v>
      </x:c>
      <x:c r="E75" s="3" t="str">
        <x:v>Phiên hết hạn</x:v>
      </x:c>
      <x:c r="F75" s="3" t="str">
        <x:v>Security — GET ADMIN /api/admin/auth/me hết hạn</x:v>
      </x:c>
      <x:c r="G75" s="3" t="str">
        <x:v>GET ADMIN /api/admin/auth/me hết hạn</x:v>
      </x:c>
      <x:c r="H75" s="3" t="str">
        <x:v>NFR-001</x:v>
      </x:c>
      <x:c r="I75" s="3" t="str">
        <x:v>QTV có quyền tương ứng</x:v>
      </x:c>
      <x:c r="J75" s="3" t="str">
        <x:v>Security</x:v>
      </x:c>
      <x:c r="K75" s="3" t="str">
        <x:v>High</x:v>
      </x:c>
      <x:c r="L75" s="3" t="str">
        <x:v>High</x:v>
      </x:c>
      <x:c r="M75" s="3" t="str">
        <x:v>Môi trường QA cô lập, DB/MinIO sẵn sàng; dữ liệu fixture đã tạo. Đăng nhập tài khoản ACTIVE, mustChangePassword=false.</x:v>
      </x:c>
      <x:c r="N75" s="3" t="str">
        <x:v>Fixture tương ứng route; tham số mặc định; ID/path hợp lệ trong QA</x:v>
      </x:c>
      <x:c r="O75" s="3" t="str">
        <x:v>1. Tạo cookie có Session.expiresAt đã qua
2. Gửi GET ADMIN /api/admin/auth/me</x:v>
      </x:c>
      <x:c r="P75" s="3" t="str">
        <x:v>HTTP 401; không có mutation; không trả dữ liệu quản trị.</x:v>
      </x:c>
      <x:c r="Q75" s="11" t="str"/>
      <x:c r="R75" s="8" t="str">
        <x:v>NOT RUN</x:v>
      </x:c>
      <x:c r="S75" s="11" t="str">
        <x:v>QA/UAT — cần điền URL/build</x:v>
      </x:c>
      <x:c r="T75" s="11" t="str">
        <x:v>Cần điền phiên bản thực</x:v>
      </x:c>
      <x:c r="U75" s="11" t="str"/>
      <x:c r="V75" s="12" t="str"/>
      <x:c r="W75" s="11" t="str"/>
      <x:c r="X75" s="11" t="str"/>
      <x:c r="Y75" s="3" t="str">
        <x:v>Nguồn: admin/src/app/api/admin/auth/me/route.ts. </x:v>
      </x:c>
    </x:row>
    <x:row r="76" ht="36" customHeight="1">
      <x:c r="A76" s="3" t="n">
        <x:v>75</x:v>
      </x:c>
      <x:c r="B76" s="3" t="str">
        <x:v>TC_PERMISSION_075</x:v>
      </x:c>
      <x:c r="C76" s="3" t="str">
        <x:v>PERMISSION</x:v>
      </x:c>
      <x:c r="D76" s="3" t="str">
        <x:v>Xác thực server</x:v>
      </x:c>
      <x:c r="E76" s="3" t="str">
        <x:v>Xác thực server</x:v>
      </x:c>
      <x:c r="F76" s="3" t="str">
        <x:v>Security — PATCH ADMIN /api/admin/auth/me không có phiên</x:v>
      </x:c>
      <x:c r="G76" s="3" t="str">
        <x:v>PATCH ADMIN /api/admin/auth/me không có phiên</x:v>
      </x:c>
      <x:c r="H76" s="3" t="str">
        <x:v>NFR-001</x:v>
      </x:c>
      <x:c r="I76" s="3" t="str">
        <x:v>Khách truy cập</x:v>
      </x:c>
      <x:c r="J76" s="3" t="str">
        <x:v>Security</x:v>
      </x:c>
      <x:c r="K76" s="3" t="str">
        <x:v>Critical</x:v>
      </x:c>
      <x:c r="L76" s="3" t="str">
        <x:v>Critical</x:v>
      </x:c>
      <x:c r="M76" s="3" t="str">
        <x:v>Môi trường QA cô lập, DB/MinIO sẵn sàng; dữ liệu fixture đã tạo. Không đăng nhập.</x:v>
      </x:c>
      <x:c r="N76" s="3" t="str">
        <x:v>Fixture tương ứng route; tham số mặc định; ID/path hợp lệ trong QA</x:v>
      </x:c>
      <x:c r="O76" s="3" t="str">
        <x:v>1. Xóa cookie hoàn toàn
2. Gửi PATCH ADMIN /api/admin/auth/me với dữ liệu hợp lệ</x:v>
      </x:c>
      <x:c r="P76" s="3" t="str">
        <x:v>HTTP 401; không trả dữ liệu quản trị và không thay đổi DB/MinIO.</x:v>
      </x:c>
      <x:c r="Q76" s="11" t="str"/>
      <x:c r="R76" s="8" t="str">
        <x:v>NOT RUN</x:v>
      </x:c>
      <x:c r="S76" s="11" t="str">
        <x:v>QA/UAT — cần điền URL/build</x:v>
      </x:c>
      <x:c r="T76" s="11" t="str">
        <x:v>Cần điền phiên bản thực</x:v>
      </x:c>
      <x:c r="U76" s="11" t="str"/>
      <x:c r="V76" s="12" t="str"/>
      <x:c r="W76" s="11" t="str"/>
      <x:c r="X76" s="11" t="str"/>
      <x:c r="Y76" s="3" t="str">
        <x:v>Nguồn: admin/src/app/api/admin/auth/me/route.ts. </x:v>
      </x:c>
    </x:row>
    <x:row r="77" ht="49" customHeight="1">
      <x:c r="A77" s="3" t="n">
        <x:v>76</x:v>
      </x:c>
      <x:c r="B77" s="3" t="str">
        <x:v>TC_PERMISSION_076</x:v>
      </x:c>
      <x:c r="C77" s="3" t="str">
        <x:v>PERMISSION</x:v>
      </x:c>
      <x:c r="D77" s="3" t="str">
        <x:v>Phiên hết hạn</x:v>
      </x:c>
      <x:c r="E77" s="3" t="str">
        <x:v>Phiên hết hạn</x:v>
      </x:c>
      <x:c r="F77" s="3" t="str">
        <x:v>Security — PATCH ADMIN /api/admin/auth/me hết hạn</x:v>
      </x:c>
      <x:c r="G77" s="3" t="str">
        <x:v>PATCH ADMIN /api/admin/auth/me hết hạn</x:v>
      </x:c>
      <x:c r="H77" s="3" t="str">
        <x:v>NFR-001</x:v>
      </x:c>
      <x:c r="I77" s="3" t="str">
        <x:v>QTV có quyền tương ứng</x:v>
      </x:c>
      <x:c r="J77" s="3" t="str">
        <x:v>Security</x:v>
      </x:c>
      <x:c r="K77" s="3" t="str">
        <x:v>High</x:v>
      </x:c>
      <x:c r="L77" s="3" t="str">
        <x:v>High</x:v>
      </x:c>
      <x:c r="M77" s="3" t="str">
        <x:v>Môi trường QA cô lập, DB/MinIO sẵn sàng; dữ liệu fixture đã tạo. Đăng nhập tài khoản ACTIVE, mustChangePassword=false.</x:v>
      </x:c>
      <x:c r="N77" s="3" t="str">
        <x:v>Fixture tương ứng route; tham số mặc định; ID/path hợp lệ trong QA</x:v>
      </x:c>
      <x:c r="O77" s="3" t="str">
        <x:v>1. Tạo cookie có Session.expiresAt đã qua
2. Gửi PATCH ADMIN /api/admin/auth/me</x:v>
      </x:c>
      <x:c r="P77" s="3" t="str">
        <x:v>HTTP 401; không có mutation; không trả dữ liệu quản trị.</x:v>
      </x:c>
      <x:c r="Q77" s="11" t="str"/>
      <x:c r="R77" s="8" t="str">
        <x:v>NOT RUN</x:v>
      </x:c>
      <x:c r="S77" s="11" t="str">
        <x:v>QA/UAT — cần điền URL/build</x:v>
      </x:c>
      <x:c r="T77" s="11" t="str">
        <x:v>Cần điền phiên bản thực</x:v>
      </x:c>
      <x:c r="U77" s="11" t="str"/>
      <x:c r="V77" s="12" t="str"/>
      <x:c r="W77" s="11" t="str"/>
      <x:c r="X77" s="11" t="str"/>
      <x:c r="Y77" s="3" t="str">
        <x:v>Nguồn: admin/src/app/api/admin/auth/me/route.ts. </x:v>
      </x:c>
    </x:row>
    <x:row r="78" ht="36" customHeight="1">
      <x:c r="A78" s="3" t="n">
        <x:v>77</x:v>
      </x:c>
      <x:c r="B78" s="3" t="str">
        <x:v>TC_PERMISSION_077</x:v>
      </x:c>
      <x:c r="C78" s="3" t="str">
        <x:v>PERMISSION</x:v>
      </x:c>
      <x:c r="D78" s="3" t="str">
        <x:v>Xác thực server</x:v>
      </x:c>
      <x:c r="E78" s="3" t="str">
        <x:v>Xác thực server</x:v>
      </x:c>
      <x:c r="F78" s="3" t="str">
        <x:v>Security — GET ADMIN /api/admin/users/[id] không có phiên</x:v>
      </x:c>
      <x:c r="G78" s="3" t="str">
        <x:v>GET ADMIN /api/admin/users/[id] không có phiên</x:v>
      </x:c>
      <x:c r="H78" s="3" t="str">
        <x:v>NFR-001</x:v>
      </x:c>
      <x:c r="I78" s="3" t="str">
        <x:v>Khách truy cập</x:v>
      </x:c>
      <x:c r="J78" s="3" t="str">
        <x:v>Security</x:v>
      </x:c>
      <x:c r="K78" s="3" t="str">
        <x:v>Critical</x:v>
      </x:c>
      <x:c r="L78" s="3" t="str">
        <x:v>Critical</x:v>
      </x:c>
      <x:c r="M78" s="3" t="str">
        <x:v>Môi trường QA cô lập, DB/MinIO sẵn sàng; dữ liệu fixture đã tạo. Không đăng nhập.</x:v>
      </x:c>
      <x:c r="N78" s="3" t="str">
        <x:v>USER; id=USER_ID; role/status/password theo endpoint</x:v>
      </x:c>
      <x:c r="O78" s="3" t="str">
        <x:v>1. Xóa cookie hoàn toàn
2. Gửi GET ADMIN /api/admin/users/[id] với dữ liệu hợp lệ</x:v>
      </x:c>
      <x:c r="P78" s="3" t="str">
        <x:v>HTTP 401; không trả dữ liệu quản trị và không thay đổi DB/MinIO.</x:v>
      </x:c>
      <x:c r="Q78" s="11" t="str"/>
      <x:c r="R78" s="8" t="str">
        <x:v>NOT RUN</x:v>
      </x:c>
      <x:c r="S78" s="11" t="str">
        <x:v>QA/UAT — cần điền URL/build</x:v>
      </x:c>
      <x:c r="T78" s="11" t="str">
        <x:v>Cần điền phiên bản thực</x:v>
      </x:c>
      <x:c r="U78" s="11" t="str"/>
      <x:c r="V78" s="12" t="str"/>
      <x:c r="W78" s="11" t="str"/>
      <x:c r="X78" s="11" t="str"/>
      <x:c r="Y78" s="3" t="str">
        <x:v>Nguồn: admin/src/app/api/admin/users/[id]/route.ts. </x:v>
      </x:c>
    </x:row>
    <x:row r="79" ht="49" customHeight="1">
      <x:c r="A79" s="3" t="n">
        <x:v>78</x:v>
      </x:c>
      <x:c r="B79" s="3" t="str">
        <x:v>TC_PERMISSION_078</x:v>
      </x:c>
      <x:c r="C79" s="3" t="str">
        <x:v>PERMISSION</x:v>
      </x:c>
      <x:c r="D79" s="3" t="str">
        <x:v>Phiên hết hạn</x:v>
      </x:c>
      <x:c r="E79" s="3" t="str">
        <x:v>Phiên hết hạn</x:v>
      </x:c>
      <x:c r="F79" s="3" t="str">
        <x:v>Security — GET ADMIN /api/admin/users/[id] hết hạn</x:v>
      </x:c>
      <x:c r="G79" s="3" t="str">
        <x:v>GET ADMIN /api/admin/users/[id] hết hạn</x:v>
      </x:c>
      <x:c r="H79" s="3" t="str">
        <x:v>NFR-001</x:v>
      </x:c>
      <x:c r="I79" s="3" t="str">
        <x:v>QTV có quyền tương ứng</x:v>
      </x:c>
      <x:c r="J79" s="3" t="str">
        <x:v>Security</x:v>
      </x:c>
      <x:c r="K79" s="3" t="str">
        <x:v>High</x:v>
      </x:c>
      <x:c r="L79" s="3" t="str">
        <x:v>High</x:v>
      </x:c>
      <x:c r="M79" s="3" t="str">
        <x:v>Môi trường QA cô lập, DB/MinIO sẵn sàng; dữ liệu fixture đã tạo. Đăng nhập tài khoản ACTIVE, mustChangePassword=false.</x:v>
      </x:c>
      <x:c r="N79" s="3" t="str">
        <x:v>USER; id=USER_ID; role/status/password theo endpoint</x:v>
      </x:c>
      <x:c r="O79" s="3" t="str">
        <x:v>1. Tạo cookie có Session.expiresAt đã qua
2. Gửi GET ADMIN /api/admin/users/[id]</x:v>
      </x:c>
      <x:c r="P79" s="3" t="str">
        <x:v>HTTP 401; không có mutation; không trả dữ liệu quản trị.</x:v>
      </x:c>
      <x:c r="Q79" s="11" t="str"/>
      <x:c r="R79" s="8" t="str">
        <x:v>NOT RUN</x:v>
      </x:c>
      <x:c r="S79" s="11" t="str">
        <x:v>QA/UAT — cần điền URL/build</x:v>
      </x:c>
      <x:c r="T79" s="11" t="str">
        <x:v>Cần điền phiên bản thực</x:v>
      </x:c>
      <x:c r="U79" s="11" t="str"/>
      <x:c r="V79" s="12" t="str"/>
      <x:c r="W79" s="11" t="str"/>
      <x:c r="X79" s="11" t="str"/>
      <x:c r="Y79" s="3" t="str">
        <x:v>Nguồn: admin/src/app/api/admin/users/[id]/route.ts. </x:v>
      </x:c>
    </x:row>
    <x:row r="80" ht="49" customHeight="1">
      <x:c r="A80" s="3" t="n">
        <x:v>79</x:v>
      </x:c>
      <x:c r="B80" s="3" t="str">
        <x:v>TC_PERMISSION_079</x:v>
      </x:c>
      <x:c r="C80" s="3" t="str">
        <x:v>PERMISSION</x:v>
      </x:c>
      <x:c r="D80" s="3" t="str">
        <x:v>RBAC từng hành động</x:v>
      </x:c>
      <x:c r="E80" s="3" t="str">
        <x:v>RBAC từng hành động</x:v>
      </x:c>
      <x:c r="F80" s="3" t="str">
        <x:v>Security — GET ADMIN /api/admin/users/[id] thiếu admins.view</x:v>
      </x:c>
      <x:c r="G80" s="3" t="str">
        <x:v>GET ADMIN /api/admin/users/[id] thiếu admins.view</x:v>
      </x:c>
      <x:c r="H80" s="3" t="str">
        <x:v>NFR-001</x:v>
      </x:c>
      <x:c r="I80" s="3" t="str">
        <x:v>Role QA thiếu permission cụ thể</x:v>
      </x:c>
      <x:c r="J80" s="3" t="str">
        <x:v>Security</x:v>
      </x:c>
      <x:c r="K80" s="3" t="str">
        <x:v>Critical</x:v>
      </x:c>
      <x:c r="L80" s="3" t="str">
        <x:v>Critical</x:v>
      </x:c>
      <x:c r="M80" s="3" t="str">
        <x:v>Môi trường QA cô lập, DB/MinIO sẵn sàng; dữ liệu fixture đã tạo. Đăng nhập tài khoản ACTIVE, mustChangePassword=false.</x:v>
      </x:c>
      <x:c r="N80" s="3" t="str">
        <x:v>USER; id=USER_ID; role/status/password theo endpoint</x:v>
      </x:c>
      <x:c r="O80" s="3" t="str">
        <x:v>1. Đăng nhập tài khoản test có phiên hợp lệ nhưng thiếu riêng admins.view
2. Gửi GET ADMIN /api/admin/users/[id] trực tiếp, bỏ qua UI</x:v>
      </x:c>
      <x:c r="P80" s="3" t="str">
        <x:v>HTTP 403; không tạo/sửa/xóa dữ liệu; quyền khác không thay thế quyền đang thiếu.</x:v>
      </x:c>
      <x:c r="Q80" s="11" t="str"/>
      <x:c r="R80" s="8" t="str">
        <x:v>NOT RUN</x:v>
      </x:c>
      <x:c r="S80" s="11" t="str">
        <x:v>QA/UAT — cần điền URL/build</x:v>
      </x:c>
      <x:c r="T80" s="11" t="str">
        <x:v>Cần điền phiên bản thực</x:v>
      </x:c>
      <x:c r="U80" s="11" t="str"/>
      <x:c r="V80" s="12" t="str"/>
      <x:c r="W80" s="11" t="str"/>
      <x:c r="X80" s="11" t="str"/>
      <x:c r="Y80" s="3" t="str">
        <x:v>Nguồn: admin/src/app/api/admin/users/[id]/route.ts. </x:v>
      </x:c>
    </x:row>
    <x:row r="81" ht="36" customHeight="1">
      <x:c r="A81" s="3" t="n">
        <x:v>80</x:v>
      </x:c>
      <x:c r="B81" s="3" t="str">
        <x:v>TC_PERMISSION_080</x:v>
      </x:c>
      <x:c r="C81" s="3" t="str">
        <x:v>PERMISSION</x:v>
      </x:c>
      <x:c r="D81" s="3" t="str">
        <x:v>Xác thực server</x:v>
      </x:c>
      <x:c r="E81" s="3" t="str">
        <x:v>Xác thực server</x:v>
      </x:c>
      <x:c r="F81" s="3" t="str">
        <x:v>Security — PATCH ADMIN /api/admin/users/[id] không có phiên</x:v>
      </x:c>
      <x:c r="G81" s="3" t="str">
        <x:v>PATCH ADMIN /api/admin/users/[id] không có phiên</x:v>
      </x:c>
      <x:c r="H81" s="3" t="str">
        <x:v>NFR-001</x:v>
      </x:c>
      <x:c r="I81" s="3" t="str">
        <x:v>Khách truy cập</x:v>
      </x:c>
      <x:c r="J81" s="3" t="str">
        <x:v>Security</x:v>
      </x:c>
      <x:c r="K81" s="3" t="str">
        <x:v>Critical</x:v>
      </x:c>
      <x:c r="L81" s="3" t="str">
        <x:v>Critical</x:v>
      </x:c>
      <x:c r="M81" s="3" t="str">
        <x:v>Môi trường QA cô lập, DB/MinIO sẵn sàng; dữ liệu fixture đã tạo. Không đăng nhập.</x:v>
      </x:c>
      <x:c r="N81" s="3" t="str">
        <x:v>USER; id=USER_ID; role/status/password theo endpoint</x:v>
      </x:c>
      <x:c r="O81" s="3" t="str">
        <x:v>1. Xóa cookie hoàn toàn
2. Gửi PATCH ADMIN /api/admin/users/[id] với dữ liệu hợp lệ</x:v>
      </x:c>
      <x:c r="P81" s="3" t="str">
        <x:v>HTTP 401; không trả dữ liệu quản trị và không thay đổi DB/MinIO.</x:v>
      </x:c>
      <x:c r="Q81" s="11" t="str"/>
      <x:c r="R81" s="8" t="str">
        <x:v>NOT RUN</x:v>
      </x:c>
      <x:c r="S81" s="11" t="str">
        <x:v>QA/UAT — cần điền URL/build</x:v>
      </x:c>
      <x:c r="T81" s="11" t="str">
        <x:v>Cần điền phiên bản thực</x:v>
      </x:c>
      <x:c r="U81" s="11" t="str"/>
      <x:c r="V81" s="12" t="str"/>
      <x:c r="W81" s="11" t="str"/>
      <x:c r="X81" s="11" t="str"/>
      <x:c r="Y81" s="3" t="str">
        <x:v>Nguồn: admin/src/app/api/admin/users/[id]/route.ts. </x:v>
      </x:c>
    </x:row>
    <x:row r="82" ht="49" customHeight="1">
      <x:c r="A82" s="3" t="n">
        <x:v>81</x:v>
      </x:c>
      <x:c r="B82" s="3" t="str">
        <x:v>TC_PERMISSION_081</x:v>
      </x:c>
      <x:c r="C82" s="3" t="str">
        <x:v>PERMISSION</x:v>
      </x:c>
      <x:c r="D82" s="3" t="str">
        <x:v>Phiên hết hạn</x:v>
      </x:c>
      <x:c r="E82" s="3" t="str">
        <x:v>Phiên hết hạn</x:v>
      </x:c>
      <x:c r="F82" s="3" t="str">
        <x:v>Security — PATCH ADMIN /api/admin/users/[id] hết hạn</x:v>
      </x:c>
      <x:c r="G82" s="3" t="str">
        <x:v>PATCH ADMIN /api/admin/users/[id] hết hạn</x:v>
      </x:c>
      <x:c r="H82" s="3" t="str">
        <x:v>NFR-001</x:v>
      </x:c>
      <x:c r="I82" s="3" t="str">
        <x:v>QTV có quyền tương ứng</x:v>
      </x:c>
      <x:c r="J82" s="3" t="str">
        <x:v>Security</x:v>
      </x:c>
      <x:c r="K82" s="3" t="str">
        <x:v>High</x:v>
      </x:c>
      <x:c r="L82" s="3" t="str">
        <x:v>High</x:v>
      </x:c>
      <x:c r="M82" s="3" t="str">
        <x:v>Môi trường QA cô lập, DB/MinIO sẵn sàng; dữ liệu fixture đã tạo. Đăng nhập tài khoản ACTIVE, mustChangePassword=false.</x:v>
      </x:c>
      <x:c r="N82" s="3" t="str">
        <x:v>USER; id=USER_ID; role/status/password theo endpoint</x:v>
      </x:c>
      <x:c r="O82" s="3" t="str">
        <x:v>1. Tạo cookie có Session.expiresAt đã qua
2. Gửi PATCH ADMIN /api/admin/users/[id]</x:v>
      </x:c>
      <x:c r="P82" s="3" t="str">
        <x:v>HTTP 401; không có mutation; không trả dữ liệu quản trị.</x:v>
      </x:c>
      <x:c r="Q82" s="11" t="str"/>
      <x:c r="R82" s="8" t="str">
        <x:v>NOT RUN</x:v>
      </x:c>
      <x:c r="S82" s="11" t="str">
        <x:v>QA/UAT — cần điền URL/build</x:v>
      </x:c>
      <x:c r="T82" s="11" t="str">
        <x:v>Cần điền phiên bản thực</x:v>
      </x:c>
      <x:c r="U82" s="11" t="str"/>
      <x:c r="V82" s="12" t="str"/>
      <x:c r="W82" s="11" t="str"/>
      <x:c r="X82" s="11" t="str"/>
      <x:c r="Y82" s="3" t="str">
        <x:v>Nguồn: admin/src/app/api/admin/users/[id]/route.ts. </x:v>
      </x:c>
    </x:row>
    <x:row r="83" ht="49" customHeight="1">
      <x:c r="A83" s="3" t="n">
        <x:v>82</x:v>
      </x:c>
      <x:c r="B83" s="3" t="str">
        <x:v>TC_PERMISSION_082</x:v>
      </x:c>
      <x:c r="C83" s="3" t="str">
        <x:v>PERMISSION</x:v>
      </x:c>
      <x:c r="D83" s="3" t="str">
        <x:v>RBAC từng hành động</x:v>
      </x:c>
      <x:c r="E83" s="3" t="str">
        <x:v>RBAC từng hành động</x:v>
      </x:c>
      <x:c r="F83" s="3" t="str">
        <x:v>Security — PATCH ADMIN /api/admin/users/[id] thiếu admins.view</x:v>
      </x:c>
      <x:c r="G83" s="3" t="str">
        <x:v>PATCH ADMIN /api/admin/users/[id] thiếu admins.view</x:v>
      </x:c>
      <x:c r="H83" s="3" t="str">
        <x:v>NFR-001</x:v>
      </x:c>
      <x:c r="I83" s="3" t="str">
        <x:v>Role QA thiếu permission cụ thể</x:v>
      </x:c>
      <x:c r="J83" s="3" t="str">
        <x:v>Security</x:v>
      </x:c>
      <x:c r="K83" s="3" t="str">
        <x:v>Critical</x:v>
      </x:c>
      <x:c r="L83" s="3" t="str">
        <x:v>Critical</x:v>
      </x:c>
      <x:c r="M83" s="3" t="str">
        <x:v>Môi trường QA cô lập, DB/MinIO sẵn sàng; dữ liệu fixture đã tạo. Đăng nhập tài khoản ACTIVE, mustChangePassword=false.</x:v>
      </x:c>
      <x:c r="N83" s="3" t="str">
        <x:v>USER; id=USER_ID; role/status/password theo endpoint</x:v>
      </x:c>
      <x:c r="O83" s="3" t="str">
        <x:v>1. Đăng nhập tài khoản test có phiên hợp lệ nhưng thiếu riêng admins.view
2. Gửi PATCH ADMIN /api/admin/users/[id] trực tiếp, bỏ qua UI</x:v>
      </x:c>
      <x:c r="P83" s="3" t="str">
        <x:v>HTTP 403; không tạo/sửa/xóa dữ liệu; quyền khác không thay thế quyền đang thiếu.</x:v>
      </x:c>
      <x:c r="Q83" s="11" t="str"/>
      <x:c r="R83" s="8" t="str">
        <x:v>NOT RUN</x:v>
      </x:c>
      <x:c r="S83" s="11" t="str">
        <x:v>QA/UAT — cần điền URL/build</x:v>
      </x:c>
      <x:c r="T83" s="11" t="str">
        <x:v>Cần điền phiên bản thực</x:v>
      </x:c>
      <x:c r="U83" s="11" t="str"/>
      <x:c r="V83" s="12" t="str"/>
      <x:c r="W83" s="11" t="str"/>
      <x:c r="X83" s="11" t="str"/>
      <x:c r="Y83" s="3" t="str">
        <x:v>Nguồn: admin/src/app/api/admin/users/[id]/route.ts. </x:v>
      </x:c>
    </x:row>
    <x:row r="84" ht="36" customHeight="1">
      <x:c r="A84" s="3" t="n">
        <x:v>83</x:v>
      </x:c>
      <x:c r="B84" s="3" t="str">
        <x:v>TC_PERMISSION_083</x:v>
      </x:c>
      <x:c r="C84" s="3" t="str">
        <x:v>PERMISSION</x:v>
      </x:c>
      <x:c r="D84" s="3" t="str">
        <x:v>Xác thực server</x:v>
      </x:c>
      <x:c r="E84" s="3" t="str">
        <x:v>Xác thực server</x:v>
      </x:c>
      <x:c r="F84" s="3" t="str">
        <x:v>Security — DELETE ADMIN /api/admin/users/[id] không có phiên</x:v>
      </x:c>
      <x:c r="G84" s="3" t="str">
        <x:v>DELETE ADMIN /api/admin/users/[id] không có phiên</x:v>
      </x:c>
      <x:c r="H84" s="3" t="str">
        <x:v>NFR-001</x:v>
      </x:c>
      <x:c r="I84" s="3" t="str">
        <x:v>Khách truy cập</x:v>
      </x:c>
      <x:c r="J84" s="3" t="str">
        <x:v>Security</x:v>
      </x:c>
      <x:c r="K84" s="3" t="str">
        <x:v>Critical</x:v>
      </x:c>
      <x:c r="L84" s="3" t="str">
        <x:v>Critical</x:v>
      </x:c>
      <x:c r="M84" s="3" t="str">
        <x:v>Môi trường QA cô lập, DB/MinIO sẵn sàng; dữ liệu fixture đã tạo. Không đăng nhập.</x:v>
      </x:c>
      <x:c r="N84" s="3" t="str">
        <x:v>USER; id=USER_ID; role/status/password theo endpoint</x:v>
      </x:c>
      <x:c r="O84" s="3" t="str">
        <x:v>1. Xóa cookie hoàn toàn
2. Gửi DELETE ADMIN /api/admin/users/[id] với dữ liệu hợp lệ</x:v>
      </x:c>
      <x:c r="P84" s="3" t="str">
        <x:v>HTTP 401; không trả dữ liệu quản trị và không thay đổi DB/MinIO.</x:v>
      </x:c>
      <x:c r="Q84" s="11" t="str"/>
      <x:c r="R84" s="8" t="str">
        <x:v>NOT RUN</x:v>
      </x:c>
      <x:c r="S84" s="11" t="str">
        <x:v>QA/UAT — cần điền URL/build</x:v>
      </x:c>
      <x:c r="T84" s="11" t="str">
        <x:v>Cần điền phiên bản thực</x:v>
      </x:c>
      <x:c r="U84" s="11" t="str"/>
      <x:c r="V84" s="12" t="str"/>
      <x:c r="W84" s="11" t="str"/>
      <x:c r="X84" s="11" t="str"/>
      <x:c r="Y84" s="3" t="str">
        <x:v>Nguồn: admin/src/app/api/admin/users/[id]/route.ts. </x:v>
      </x:c>
    </x:row>
    <x:row r="85" ht="49" customHeight="1">
      <x:c r="A85" s="3" t="n">
        <x:v>84</x:v>
      </x:c>
      <x:c r="B85" s="3" t="str">
        <x:v>TC_PERMISSION_084</x:v>
      </x:c>
      <x:c r="C85" s="3" t="str">
        <x:v>PERMISSION</x:v>
      </x:c>
      <x:c r="D85" s="3" t="str">
        <x:v>Phiên hết hạn</x:v>
      </x:c>
      <x:c r="E85" s="3" t="str">
        <x:v>Phiên hết hạn</x:v>
      </x:c>
      <x:c r="F85" s="3" t="str">
        <x:v>Security — DELETE ADMIN /api/admin/users/[id] hết hạn</x:v>
      </x:c>
      <x:c r="G85" s="3" t="str">
        <x:v>DELETE ADMIN /api/admin/users/[id] hết hạn</x:v>
      </x:c>
      <x:c r="H85" s="3" t="str">
        <x:v>NFR-001</x:v>
      </x:c>
      <x:c r="I85" s="3" t="str">
        <x:v>QTV có quyền tương ứng</x:v>
      </x:c>
      <x:c r="J85" s="3" t="str">
        <x:v>Security</x:v>
      </x:c>
      <x:c r="K85" s="3" t="str">
        <x:v>High</x:v>
      </x:c>
      <x:c r="L85" s="3" t="str">
        <x:v>High</x:v>
      </x:c>
      <x:c r="M85" s="3" t="str">
        <x:v>Môi trường QA cô lập, DB/MinIO sẵn sàng; dữ liệu fixture đã tạo. Đăng nhập tài khoản ACTIVE, mustChangePassword=false.</x:v>
      </x:c>
      <x:c r="N85" s="3" t="str">
        <x:v>USER; id=USER_ID; role/status/password theo endpoint</x:v>
      </x:c>
      <x:c r="O85" s="3" t="str">
        <x:v>1. Tạo cookie có Session.expiresAt đã qua
2. Gửi DELETE ADMIN /api/admin/users/[id]</x:v>
      </x:c>
      <x:c r="P85" s="3" t="str">
        <x:v>HTTP 401; không có mutation; không trả dữ liệu quản trị.</x:v>
      </x:c>
      <x:c r="Q85" s="11" t="str"/>
      <x:c r="R85" s="8" t="str">
        <x:v>NOT RUN</x:v>
      </x:c>
      <x:c r="S85" s="11" t="str">
        <x:v>QA/UAT — cần điền URL/build</x:v>
      </x:c>
      <x:c r="T85" s="11" t="str">
        <x:v>Cần điền phiên bản thực</x:v>
      </x:c>
      <x:c r="U85" s="11" t="str"/>
      <x:c r="V85" s="12" t="str"/>
      <x:c r="W85" s="11" t="str"/>
      <x:c r="X85" s="11" t="str"/>
      <x:c r="Y85" s="3" t="str">
        <x:v>Nguồn: admin/src/app/api/admin/users/[id]/route.ts. </x:v>
      </x:c>
    </x:row>
    <x:row r="86" ht="49" customHeight="1">
      <x:c r="A86" s="3" t="n">
        <x:v>85</x:v>
      </x:c>
      <x:c r="B86" s="3" t="str">
        <x:v>TC_PERMISSION_085</x:v>
      </x:c>
      <x:c r="C86" s="3" t="str">
        <x:v>PERMISSION</x:v>
      </x:c>
      <x:c r="D86" s="3" t="str">
        <x:v>RBAC từng hành động</x:v>
      </x:c>
      <x:c r="E86" s="3" t="str">
        <x:v>RBAC từng hành động</x:v>
      </x:c>
      <x:c r="F86" s="3" t="str">
        <x:v>Security — DELETE ADMIN /api/admin/users/[id] thiếu admins.view</x:v>
      </x:c>
      <x:c r="G86" s="3" t="str">
        <x:v>DELETE ADMIN /api/admin/users/[id] thiếu admins.view</x:v>
      </x:c>
      <x:c r="H86" s="3" t="str">
        <x:v>NFR-001</x:v>
      </x:c>
      <x:c r="I86" s="3" t="str">
        <x:v>Role QA thiếu permission cụ thể</x:v>
      </x:c>
      <x:c r="J86" s="3" t="str">
        <x:v>Security</x:v>
      </x:c>
      <x:c r="K86" s="3" t="str">
        <x:v>Critical</x:v>
      </x:c>
      <x:c r="L86" s="3" t="str">
        <x:v>Critical</x:v>
      </x:c>
      <x:c r="M86" s="3" t="str">
        <x:v>Môi trường QA cô lập, DB/MinIO sẵn sàng; dữ liệu fixture đã tạo. Đăng nhập tài khoản ACTIVE, mustChangePassword=false.</x:v>
      </x:c>
      <x:c r="N86" s="3" t="str">
        <x:v>USER; id=USER_ID; role/status/password theo endpoint</x:v>
      </x:c>
      <x:c r="O86" s="3" t="str">
        <x:v>1. Đăng nhập tài khoản test có phiên hợp lệ nhưng thiếu riêng admins.view
2. Gửi DELETE ADMIN /api/admin/users/[id] trực tiếp, bỏ qua UI</x:v>
      </x:c>
      <x:c r="P86" s="3" t="str">
        <x:v>HTTP 403; không tạo/sửa/xóa dữ liệu; quyền khác không thay thế quyền đang thiếu.</x:v>
      </x:c>
      <x:c r="Q86" s="11" t="str"/>
      <x:c r="R86" s="8" t="str">
        <x:v>NOT RUN</x:v>
      </x:c>
      <x:c r="S86" s="11" t="str">
        <x:v>QA/UAT — cần điền URL/build</x:v>
      </x:c>
      <x:c r="T86" s="11" t="str">
        <x:v>Cần điền phiên bản thực</x:v>
      </x:c>
      <x:c r="U86" s="11" t="str"/>
      <x:c r="V86" s="12" t="str"/>
      <x:c r="W86" s="11" t="str"/>
      <x:c r="X86" s="11" t="str"/>
      <x:c r="Y86" s="3" t="str">
        <x:v>Nguồn: admin/src/app/api/admin/users/[id]/route.ts. </x:v>
      </x:c>
    </x:row>
    <x:row r="87" ht="49" customHeight="1">
      <x:c r="A87" s="3" t="n">
        <x:v>86</x:v>
      </x:c>
      <x:c r="B87" s="3" t="str">
        <x:v>TC_PERMISSION_086</x:v>
      </x:c>
      <x:c r="C87" s="3" t="str">
        <x:v>PERMISSION</x:v>
      </x:c>
      <x:c r="D87" s="3" t="str">
        <x:v>Xác thực server</x:v>
      </x:c>
      <x:c r="E87" s="3" t="str">
        <x:v>Xác thực server</x:v>
      </x:c>
      <x:c r="F87" s="3" t="str">
        <x:v>Security — POST ADMIN /api/admin/users/[id]/reset-password không có phiên</x:v>
      </x:c>
      <x:c r="G87" s="3" t="str">
        <x:v>POST ADMIN /api/admin/users/[id]/reset-password không có phiên</x:v>
      </x:c>
      <x:c r="H87" s="3" t="str">
        <x:v>NFR-001</x:v>
      </x:c>
      <x:c r="I87" s="3" t="str">
        <x:v>Khách truy cập</x:v>
      </x:c>
      <x:c r="J87" s="3" t="str">
        <x:v>Security</x:v>
      </x:c>
      <x:c r="K87" s="3" t="str">
        <x:v>Critical</x:v>
      </x:c>
      <x:c r="L87" s="3" t="str">
        <x:v>Critical</x:v>
      </x:c>
      <x:c r="M87" s="3" t="str">
        <x:v>Môi trường QA cô lập, DB/MinIO sẵn sàng; dữ liệu fixture đã tạo. Không đăng nhập.</x:v>
      </x:c>
      <x:c r="N87" s="3" t="str">
        <x:v>token còn hạn từ SMTP QA, password/confirm fixture</x:v>
      </x:c>
      <x:c r="O87" s="3" t="str">
        <x:v>1. Xóa cookie hoàn toàn
2. Gửi POST ADMIN /api/admin/users/[id]/reset-password với dữ liệu hợp lệ</x:v>
      </x:c>
      <x:c r="P87" s="3" t="str">
        <x:v>HTTP 401; không trả dữ liệu quản trị và không thay đổi DB/MinIO.</x:v>
      </x:c>
      <x:c r="Q87" s="11" t="str"/>
      <x:c r="R87" s="8" t="str">
        <x:v>NOT RUN</x:v>
      </x:c>
      <x:c r="S87" s="11" t="str">
        <x:v>QA/UAT — cần điền URL/build</x:v>
      </x:c>
      <x:c r="T87" s="11" t="str">
        <x:v>Cần điền phiên bản thực</x:v>
      </x:c>
      <x:c r="U87" s="11" t="str"/>
      <x:c r="V87" s="12" t="str"/>
      <x:c r="W87" s="11" t="str"/>
      <x:c r="X87" s="11" t="str"/>
      <x:c r="Y87" s="3" t="str">
        <x:v>Nguồn: admin/src/app/api/admin/users/[id]/reset-password/route.ts. </x:v>
      </x:c>
    </x:row>
    <x:row r="88" ht="49" customHeight="1">
      <x:c r="A88" s="3" t="n">
        <x:v>87</x:v>
      </x:c>
      <x:c r="B88" s="3" t="str">
        <x:v>TC_PERMISSION_087</x:v>
      </x:c>
      <x:c r="C88" s="3" t="str">
        <x:v>PERMISSION</x:v>
      </x:c>
      <x:c r="D88" s="3" t="str">
        <x:v>Phiên hết hạn</x:v>
      </x:c>
      <x:c r="E88" s="3" t="str">
        <x:v>Phiên hết hạn</x:v>
      </x:c>
      <x:c r="F88" s="3" t="str">
        <x:v>Security — POST ADMIN /api/admin/users/[id]/reset-password hết hạn</x:v>
      </x:c>
      <x:c r="G88" s="3" t="str">
        <x:v>POST ADMIN /api/admin/users/[id]/reset-password hết hạn</x:v>
      </x:c>
      <x:c r="H88" s="3" t="str">
        <x:v>NFR-001</x:v>
      </x:c>
      <x:c r="I88" s="3" t="str">
        <x:v>QTV có quyền tương ứng</x:v>
      </x:c>
      <x:c r="J88" s="3" t="str">
        <x:v>Security</x:v>
      </x:c>
      <x:c r="K88" s="3" t="str">
        <x:v>High</x:v>
      </x:c>
      <x:c r="L88" s="3" t="str">
        <x:v>High</x:v>
      </x:c>
      <x:c r="M88" s="3" t="str">
        <x:v>Môi trường QA cô lập, DB/MinIO sẵn sàng; dữ liệu fixture đã tạo. Đăng nhập tài khoản ACTIVE, mustChangePassword=false.</x:v>
      </x:c>
      <x:c r="N88" s="3" t="str">
        <x:v>token còn hạn từ SMTP QA, password/confirm fixture</x:v>
      </x:c>
      <x:c r="O88" s="3" t="str">
        <x:v>1. Tạo cookie có Session.expiresAt đã qua
2. Gửi POST ADMIN /api/admin/users/[id]/reset-password</x:v>
      </x:c>
      <x:c r="P88" s="3" t="str">
        <x:v>HTTP 401; không có mutation; không trả dữ liệu quản trị.</x:v>
      </x:c>
      <x:c r="Q88" s="11" t="str"/>
      <x:c r="R88" s="8" t="str">
        <x:v>NOT RUN</x:v>
      </x:c>
      <x:c r="S88" s="11" t="str">
        <x:v>QA/UAT — cần điền URL/build</x:v>
      </x:c>
      <x:c r="T88" s="11" t="str">
        <x:v>Cần điền phiên bản thực</x:v>
      </x:c>
      <x:c r="U88" s="11" t="str"/>
      <x:c r="V88" s="12" t="str"/>
      <x:c r="W88" s="11" t="str"/>
      <x:c r="X88" s="11" t="str"/>
      <x:c r="Y88" s="3" t="str">
        <x:v>Nguồn: admin/src/app/api/admin/users/[id]/reset-password/route.ts. </x:v>
      </x:c>
    </x:row>
    <x:row r="89" ht="62" customHeight="1">
      <x:c r="A89" s="3" t="n">
        <x:v>88</x:v>
      </x:c>
      <x:c r="B89" s="3" t="str">
        <x:v>TC_PERMISSION_088</x:v>
      </x:c>
      <x:c r="C89" s="3" t="str">
        <x:v>PERMISSION</x:v>
      </x:c>
      <x:c r="D89" s="3" t="str">
        <x:v>RBAC từng hành động</x:v>
      </x:c>
      <x:c r="E89" s="3" t="str">
        <x:v>RBAC từng hành động</x:v>
      </x:c>
      <x:c r="F89" s="3" t="str">
        <x:v>Security — POST ADMIN /api/admin/users/[id]/reset-password thiếu admins.reset_password</x:v>
      </x:c>
      <x:c r="G89" s="3" t="str">
        <x:v>POST ADMIN /api/admin/users/[id]/reset-password thiếu admins.reset_password</x:v>
      </x:c>
      <x:c r="H89" s="3" t="str">
        <x:v>NFR-001</x:v>
      </x:c>
      <x:c r="I89" s="3" t="str">
        <x:v>Role QA thiếu permission cụ thể</x:v>
      </x:c>
      <x:c r="J89" s="3" t="str">
        <x:v>Security</x:v>
      </x:c>
      <x:c r="K89" s="3" t="str">
        <x:v>Critical</x:v>
      </x:c>
      <x:c r="L89" s="3" t="str">
        <x:v>Critical</x:v>
      </x:c>
      <x:c r="M89" s="3" t="str">
        <x:v>Môi trường QA cô lập, DB/MinIO sẵn sàng; dữ liệu fixture đã tạo. Đăng nhập tài khoản ACTIVE, mustChangePassword=false.</x:v>
      </x:c>
      <x:c r="N89" s="3" t="str">
        <x:v>token còn hạn từ SMTP QA, password/confirm fixture</x:v>
      </x:c>
      <x:c r="O89" s="3" t="str">
        <x:v>1. Đăng nhập tài khoản test có phiên hợp lệ nhưng thiếu riêng admins.reset_password
2. Gửi POST ADMIN /api/admin/users/[id]/reset-password trực tiếp, bỏ qua UI</x:v>
      </x:c>
      <x:c r="P89" s="3" t="str">
        <x:v>HTTP 403; không tạo/sửa/xóa dữ liệu; quyền khác không thay thế quyền đang thiếu.</x:v>
      </x:c>
      <x:c r="Q89" s="11" t="str"/>
      <x:c r="R89" s="8" t="str">
        <x:v>NOT RUN</x:v>
      </x:c>
      <x:c r="S89" s="11" t="str">
        <x:v>QA/UAT — cần điền URL/build</x:v>
      </x:c>
      <x:c r="T89" s="11" t="str">
        <x:v>Cần điền phiên bản thực</x:v>
      </x:c>
      <x:c r="U89" s="11" t="str"/>
      <x:c r="V89" s="12" t="str"/>
      <x:c r="W89" s="11" t="str"/>
      <x:c r="X89" s="11" t="str"/>
      <x:c r="Y89" s="3" t="str">
        <x:v>Nguồn: admin/src/app/api/admin/users/[id]/reset-password/route.ts. </x:v>
      </x:c>
    </x:row>
    <x:row r="90" ht="36" customHeight="1">
      <x:c r="A90" s="3" t="n">
        <x:v>89</x:v>
      </x:c>
      <x:c r="B90" s="3" t="str">
        <x:v>TC_PERMISSION_089</x:v>
      </x:c>
      <x:c r="C90" s="3" t="str">
        <x:v>PERMISSION</x:v>
      </x:c>
      <x:c r="D90" s="3" t="str">
        <x:v>Xác thực server</x:v>
      </x:c>
      <x:c r="E90" s="3" t="str">
        <x:v>Xác thực server</x:v>
      </x:c>
      <x:c r="F90" s="3" t="str">
        <x:v>Security — PATCH ADMIN /api/admin/users/[id]/role không có phiên</x:v>
      </x:c>
      <x:c r="G90" s="3" t="str">
        <x:v>PATCH ADMIN /api/admin/users/[id]/role không có phiên</x:v>
      </x:c>
      <x:c r="H90" s="3" t="str">
        <x:v>NFR-001</x:v>
      </x:c>
      <x:c r="I90" s="3" t="str">
        <x:v>Khách truy cập</x:v>
      </x:c>
      <x:c r="J90" s="3" t="str">
        <x:v>Security</x:v>
      </x:c>
      <x:c r="K90" s="3" t="str">
        <x:v>Critical</x:v>
      </x:c>
      <x:c r="L90" s="3" t="str">
        <x:v>Critical</x:v>
      </x:c>
      <x:c r="M90" s="3" t="str">
        <x:v>Môi trường QA cô lập, DB/MinIO sẵn sàng; dữ liệu fixture đã tạo. Không đăng nhập.</x:v>
      </x:c>
      <x:c r="N90" s="3" t="str">
        <x:v>USER; id=USER_ID; role/status/password theo endpoint</x:v>
      </x:c>
      <x:c r="O90" s="3" t="str">
        <x:v>1. Xóa cookie hoàn toàn
2. Gửi PATCH ADMIN /api/admin/users/[id]/role với dữ liệu hợp lệ</x:v>
      </x:c>
      <x:c r="P90" s="3" t="str">
        <x:v>HTTP 401; không trả dữ liệu quản trị và không thay đổi DB/MinIO.</x:v>
      </x:c>
      <x:c r="Q90" s="11" t="str"/>
      <x:c r="R90" s="8" t="str">
        <x:v>NOT RUN</x:v>
      </x:c>
      <x:c r="S90" s="11" t="str">
        <x:v>QA/UAT — cần điền URL/build</x:v>
      </x:c>
      <x:c r="T90" s="11" t="str">
        <x:v>Cần điền phiên bản thực</x:v>
      </x:c>
      <x:c r="U90" s="11" t="str"/>
      <x:c r="V90" s="12" t="str"/>
      <x:c r="W90" s="11" t="str"/>
      <x:c r="X90" s="11" t="str"/>
      <x:c r="Y90" s="3" t="str">
        <x:v>Nguồn: admin/src/app/api/admin/users/[id]/role/route.ts. </x:v>
      </x:c>
    </x:row>
    <x:row r="91" ht="49" customHeight="1">
      <x:c r="A91" s="3" t="n">
        <x:v>90</x:v>
      </x:c>
      <x:c r="B91" s="3" t="str">
        <x:v>TC_PERMISSION_090</x:v>
      </x:c>
      <x:c r="C91" s="3" t="str">
        <x:v>PERMISSION</x:v>
      </x:c>
      <x:c r="D91" s="3" t="str">
        <x:v>Phiên hết hạn</x:v>
      </x:c>
      <x:c r="E91" s="3" t="str">
        <x:v>Phiên hết hạn</x:v>
      </x:c>
      <x:c r="F91" s="3" t="str">
        <x:v>Security — PATCH ADMIN /api/admin/users/[id]/role hết hạn</x:v>
      </x:c>
      <x:c r="G91" s="3" t="str">
        <x:v>PATCH ADMIN /api/admin/users/[id]/role hết hạn</x:v>
      </x:c>
      <x:c r="H91" s="3" t="str">
        <x:v>NFR-001</x:v>
      </x:c>
      <x:c r="I91" s="3" t="str">
        <x:v>QTV có quyền tương ứng</x:v>
      </x:c>
      <x:c r="J91" s="3" t="str">
        <x:v>Security</x:v>
      </x:c>
      <x:c r="K91" s="3" t="str">
        <x:v>High</x:v>
      </x:c>
      <x:c r="L91" s="3" t="str">
        <x:v>High</x:v>
      </x:c>
      <x:c r="M91" s="3" t="str">
        <x:v>Môi trường QA cô lập, DB/MinIO sẵn sàng; dữ liệu fixture đã tạo. Đăng nhập tài khoản ACTIVE, mustChangePassword=false.</x:v>
      </x:c>
      <x:c r="N91" s="3" t="str">
        <x:v>USER; id=USER_ID; role/status/password theo endpoint</x:v>
      </x:c>
      <x:c r="O91" s="3" t="str">
        <x:v>1. Tạo cookie có Session.expiresAt đã qua
2. Gửi PATCH ADMIN /api/admin/users/[id]/role</x:v>
      </x:c>
      <x:c r="P91" s="3" t="str">
        <x:v>HTTP 401; không có mutation; không trả dữ liệu quản trị.</x:v>
      </x:c>
      <x:c r="Q91" s="11" t="str"/>
      <x:c r="R91" s="8" t="str">
        <x:v>NOT RUN</x:v>
      </x:c>
      <x:c r="S91" s="11" t="str">
        <x:v>QA/UAT — cần điền URL/build</x:v>
      </x:c>
      <x:c r="T91" s="11" t="str">
        <x:v>Cần điền phiên bản thực</x:v>
      </x:c>
      <x:c r="U91" s="11" t="str"/>
      <x:c r="V91" s="12" t="str"/>
      <x:c r="W91" s="11" t="str"/>
      <x:c r="X91" s="11" t="str"/>
      <x:c r="Y91" s="3" t="str">
        <x:v>Nguồn: admin/src/app/api/admin/users/[id]/role/route.ts. </x:v>
      </x:c>
    </x:row>
    <x:row r="92" ht="49" customHeight="1">
      <x:c r="A92" s="3" t="n">
        <x:v>91</x:v>
      </x:c>
      <x:c r="B92" s="3" t="str">
        <x:v>TC_PERMISSION_091</x:v>
      </x:c>
      <x:c r="C92" s="3" t="str">
        <x:v>PERMISSION</x:v>
      </x:c>
      <x:c r="D92" s="3" t="str">
        <x:v>RBAC từng hành động</x:v>
      </x:c>
      <x:c r="E92" s="3" t="str">
        <x:v>RBAC từng hành động</x:v>
      </x:c>
      <x:c r="F92" s="3" t="str">
        <x:v>Security — PATCH ADMIN /api/admin/users/[id]/role thiếu admins.change_role</x:v>
      </x:c>
      <x:c r="G92" s="3" t="str">
        <x:v>PATCH ADMIN /api/admin/users/[id]/role thiếu admins.change_role</x:v>
      </x:c>
      <x:c r="H92" s="3" t="str">
        <x:v>NFR-001</x:v>
      </x:c>
      <x:c r="I92" s="3" t="str">
        <x:v>Role QA thiếu permission cụ thể</x:v>
      </x:c>
      <x:c r="J92" s="3" t="str">
        <x:v>Security</x:v>
      </x:c>
      <x:c r="K92" s="3" t="str">
        <x:v>Critical</x:v>
      </x:c>
      <x:c r="L92" s="3" t="str">
        <x:v>Critical</x:v>
      </x:c>
      <x:c r="M92" s="3" t="str">
        <x:v>Môi trường QA cô lập, DB/MinIO sẵn sàng; dữ liệu fixture đã tạo. Đăng nhập tài khoản ACTIVE, mustChangePassword=false.</x:v>
      </x:c>
      <x:c r="N92" s="3" t="str">
        <x:v>USER; id=USER_ID; role/status/password theo endpoint</x:v>
      </x:c>
      <x:c r="O92" s="3" t="str">
        <x:v>1. Đăng nhập tài khoản test có phiên hợp lệ nhưng thiếu riêng admins.change_role
2. Gửi PATCH ADMIN /api/admin/users/[id]/role trực tiếp, bỏ qua UI</x:v>
      </x:c>
      <x:c r="P92" s="3" t="str">
        <x:v>HTTP 403; không tạo/sửa/xóa dữ liệu; quyền khác không thay thế quyền đang thiếu.</x:v>
      </x:c>
      <x:c r="Q92" s="11" t="str"/>
      <x:c r="R92" s="8" t="str">
        <x:v>NOT RUN</x:v>
      </x:c>
      <x:c r="S92" s="11" t="str">
        <x:v>QA/UAT — cần điền URL/build</x:v>
      </x:c>
      <x:c r="T92" s="11" t="str">
        <x:v>Cần điền phiên bản thực</x:v>
      </x:c>
      <x:c r="U92" s="11" t="str"/>
      <x:c r="V92" s="12" t="str"/>
      <x:c r="W92" s="11" t="str"/>
      <x:c r="X92" s="11" t="str"/>
      <x:c r="Y92" s="3" t="str">
        <x:v>Nguồn: admin/src/app/api/admin/users/[id]/role/route.ts. </x:v>
      </x:c>
    </x:row>
    <x:row r="93" ht="36" customHeight="1">
      <x:c r="A93" s="3" t="n">
        <x:v>92</x:v>
      </x:c>
      <x:c r="B93" s="3" t="str">
        <x:v>TC_PERMISSION_092</x:v>
      </x:c>
      <x:c r="C93" s="3" t="str">
        <x:v>PERMISSION</x:v>
      </x:c>
      <x:c r="D93" s="3" t="str">
        <x:v>Xác thực server</x:v>
      </x:c>
      <x:c r="E93" s="3" t="str">
        <x:v>Xác thực server</x:v>
      </x:c>
      <x:c r="F93" s="3" t="str">
        <x:v>Security — PATCH ADMIN /api/admin/users/[id]/status không có phiên</x:v>
      </x:c>
      <x:c r="G93" s="3" t="str">
        <x:v>PATCH ADMIN /api/admin/users/[id]/status không có phiên</x:v>
      </x:c>
      <x:c r="H93" s="3" t="str">
        <x:v>NFR-001</x:v>
      </x:c>
      <x:c r="I93" s="3" t="str">
        <x:v>Khách truy cập</x:v>
      </x:c>
      <x:c r="J93" s="3" t="str">
        <x:v>Security</x:v>
      </x:c>
      <x:c r="K93" s="3" t="str">
        <x:v>Critical</x:v>
      </x:c>
      <x:c r="L93" s="3" t="str">
        <x:v>Critical</x:v>
      </x:c>
      <x:c r="M93" s="3" t="str">
        <x:v>Môi trường QA cô lập, DB/MinIO sẵn sàng; dữ liệu fixture đã tạo. Không đăng nhập.</x:v>
      </x:c>
      <x:c r="N93" s="3" t="str">
        <x:v>USER; id=USER_ID; role/status/password theo endpoint</x:v>
      </x:c>
      <x:c r="O93" s="3" t="str">
        <x:v>1. Xóa cookie hoàn toàn
2. Gửi PATCH ADMIN /api/admin/users/[id]/status với dữ liệu hợp lệ</x:v>
      </x:c>
      <x:c r="P93" s="3" t="str">
        <x:v>HTTP 401; không trả dữ liệu quản trị và không thay đổi DB/MinIO.</x:v>
      </x:c>
      <x:c r="Q93" s="11" t="str"/>
      <x:c r="R93" s="8" t="str">
        <x:v>NOT RUN</x:v>
      </x:c>
      <x:c r="S93" s="11" t="str">
        <x:v>QA/UAT — cần điền URL/build</x:v>
      </x:c>
      <x:c r="T93" s="11" t="str">
        <x:v>Cần điền phiên bản thực</x:v>
      </x:c>
      <x:c r="U93" s="11" t="str"/>
      <x:c r="V93" s="12" t="str"/>
      <x:c r="W93" s="11" t="str"/>
      <x:c r="X93" s="11" t="str"/>
      <x:c r="Y93" s="3" t="str">
        <x:v>Nguồn: admin/src/app/api/admin/users/[id]/status/route.ts. </x:v>
      </x:c>
    </x:row>
    <x:row r="94" ht="49" customHeight="1">
      <x:c r="A94" s="3" t="n">
        <x:v>93</x:v>
      </x:c>
      <x:c r="B94" s="3" t="str">
        <x:v>TC_PERMISSION_093</x:v>
      </x:c>
      <x:c r="C94" s="3" t="str">
        <x:v>PERMISSION</x:v>
      </x:c>
      <x:c r="D94" s="3" t="str">
        <x:v>Phiên hết hạn</x:v>
      </x:c>
      <x:c r="E94" s="3" t="str">
        <x:v>Phiên hết hạn</x:v>
      </x:c>
      <x:c r="F94" s="3" t="str">
        <x:v>Security — PATCH ADMIN /api/admin/users/[id]/status hết hạn</x:v>
      </x:c>
      <x:c r="G94" s="3" t="str">
        <x:v>PATCH ADMIN /api/admin/users/[id]/status hết hạn</x:v>
      </x:c>
      <x:c r="H94" s="3" t="str">
        <x:v>NFR-001</x:v>
      </x:c>
      <x:c r="I94" s="3" t="str">
        <x:v>QTV có quyền tương ứng</x:v>
      </x:c>
      <x:c r="J94" s="3" t="str">
        <x:v>Security</x:v>
      </x:c>
      <x:c r="K94" s="3" t="str">
        <x:v>High</x:v>
      </x:c>
      <x:c r="L94" s="3" t="str">
        <x:v>High</x:v>
      </x:c>
      <x:c r="M94" s="3" t="str">
        <x:v>Môi trường QA cô lập, DB/MinIO sẵn sàng; dữ liệu fixture đã tạo. Đăng nhập tài khoản ACTIVE, mustChangePassword=false.</x:v>
      </x:c>
      <x:c r="N94" s="3" t="str">
        <x:v>USER; id=USER_ID; role/status/password theo endpoint</x:v>
      </x:c>
      <x:c r="O94" s="3" t="str">
        <x:v>1. Tạo cookie có Session.expiresAt đã qua
2. Gửi PATCH ADMIN /api/admin/users/[id]/status</x:v>
      </x:c>
      <x:c r="P94" s="3" t="str">
        <x:v>HTTP 401; không có mutation; không trả dữ liệu quản trị.</x:v>
      </x:c>
      <x:c r="Q94" s="11" t="str"/>
      <x:c r="R94" s="8" t="str">
        <x:v>NOT RUN</x:v>
      </x:c>
      <x:c r="S94" s="11" t="str">
        <x:v>QA/UAT — cần điền URL/build</x:v>
      </x:c>
      <x:c r="T94" s="11" t="str">
        <x:v>Cần điền phiên bản thực</x:v>
      </x:c>
      <x:c r="U94" s="11" t="str"/>
      <x:c r="V94" s="12" t="str"/>
      <x:c r="W94" s="11" t="str"/>
      <x:c r="X94" s="11" t="str"/>
      <x:c r="Y94" s="3" t="str">
        <x:v>Nguồn: admin/src/app/api/admin/users/[id]/status/route.ts. </x:v>
      </x:c>
    </x:row>
    <x:row r="95" ht="49" customHeight="1">
      <x:c r="A95" s="3" t="n">
        <x:v>94</x:v>
      </x:c>
      <x:c r="B95" s="3" t="str">
        <x:v>TC_PERMISSION_094</x:v>
      </x:c>
      <x:c r="C95" s="3" t="str">
        <x:v>PERMISSION</x:v>
      </x:c>
      <x:c r="D95" s="3" t="str">
        <x:v>RBAC từng hành động</x:v>
      </x:c>
      <x:c r="E95" s="3" t="str">
        <x:v>RBAC từng hành động</x:v>
      </x:c>
      <x:c r="F95" s="3" t="str">
        <x:v>Security — PATCH ADMIN /api/admin/users/[id]/status thiếu admins.disable</x:v>
      </x:c>
      <x:c r="G95" s="3" t="str">
        <x:v>PATCH ADMIN /api/admin/users/[id]/status thiếu admins.disable</x:v>
      </x:c>
      <x:c r="H95" s="3" t="str">
        <x:v>NFR-001</x:v>
      </x:c>
      <x:c r="I95" s="3" t="str">
        <x:v>Role QA thiếu permission cụ thể</x:v>
      </x:c>
      <x:c r="J95" s="3" t="str">
        <x:v>Security</x:v>
      </x:c>
      <x:c r="K95" s="3" t="str">
        <x:v>Critical</x:v>
      </x:c>
      <x:c r="L95" s="3" t="str">
        <x:v>Critical</x:v>
      </x:c>
      <x:c r="M95" s="3" t="str">
        <x:v>Môi trường QA cô lập, DB/MinIO sẵn sàng; dữ liệu fixture đã tạo. Đăng nhập tài khoản ACTIVE, mustChangePassword=false.</x:v>
      </x:c>
      <x:c r="N95" s="3" t="str">
        <x:v>USER; id=USER_ID; role/status/password theo endpoint</x:v>
      </x:c>
      <x:c r="O95" s="3" t="str">
        <x:v>1. Đăng nhập tài khoản test có phiên hợp lệ nhưng thiếu riêng admins.disable
2. Gửi PATCH ADMIN /api/admin/users/[id]/status trực tiếp, bỏ qua UI</x:v>
      </x:c>
      <x:c r="P95" s="3" t="str">
        <x:v>HTTP 403; không tạo/sửa/xóa dữ liệu; quyền khác không thay thế quyền đang thiếu.</x:v>
      </x:c>
      <x:c r="Q95" s="11" t="str"/>
      <x:c r="R95" s="8" t="str">
        <x:v>NOT RUN</x:v>
      </x:c>
      <x:c r="S95" s="11" t="str">
        <x:v>QA/UAT — cần điền URL/build</x:v>
      </x:c>
      <x:c r="T95" s="11" t="str">
        <x:v>Cần điền phiên bản thực</x:v>
      </x:c>
      <x:c r="U95" s="11" t="str"/>
      <x:c r="V95" s="12" t="str"/>
      <x:c r="W95" s="11" t="str"/>
      <x:c r="X95" s="11" t="str"/>
      <x:c r="Y95" s="3" t="str">
        <x:v>Nguồn: admin/src/app/api/admin/users/[id]/status/route.ts. </x:v>
      </x:c>
    </x:row>
    <x:row r="96" ht="36" customHeight="1">
      <x:c r="A96" s="3" t="n">
        <x:v>95</x:v>
      </x:c>
      <x:c r="B96" s="3" t="str">
        <x:v>TC_PERMISSION_095</x:v>
      </x:c>
      <x:c r="C96" s="3" t="str">
        <x:v>PERMISSION</x:v>
      </x:c>
      <x:c r="D96" s="3" t="str">
        <x:v>Xác thực server</x:v>
      </x:c>
      <x:c r="E96" s="3" t="str">
        <x:v>Xác thực server</x:v>
      </x:c>
      <x:c r="F96" s="3" t="str">
        <x:v>Security — POST ADMIN /api/cms/import-word không có phiên</x:v>
      </x:c>
      <x:c r="G96" s="3" t="str">
        <x:v>POST ADMIN /api/cms/import-word không có phiên</x:v>
      </x:c>
      <x:c r="H96" s="3" t="str">
        <x:v>NFR-001</x:v>
      </x:c>
      <x:c r="I96" s="3" t="str">
        <x:v>Khách truy cập</x:v>
      </x:c>
      <x:c r="J96" s="3" t="str">
        <x:v>Security</x:v>
      </x:c>
      <x:c r="K96" s="3" t="str">
        <x:v>Critical</x:v>
      </x:c>
      <x:c r="L96" s="3" t="str">
        <x:v>Critical</x:v>
      </x:c>
      <x:c r="M96" s="3" t="str">
        <x:v>Môi trường QA cô lập, DB/MinIO sẵn sàng; dữ liệu fixture đã tạo. Không đăng nhập.</x:v>
      </x:c>
      <x:c r="N96" s="3" t="str">
        <x:v>multipart field=file, fixture hợp lệ theo định dạng endpoint</x:v>
      </x:c>
      <x:c r="O96" s="3" t="str">
        <x:v>1. Xóa cookie hoàn toàn
2. Gửi POST ADMIN /api/cms/import-word với dữ liệu hợp lệ</x:v>
      </x:c>
      <x:c r="P96" s="3" t="str">
        <x:v>HTTP 401; không trả dữ liệu quản trị và không thay đổi DB/MinIO.</x:v>
      </x:c>
      <x:c r="Q96" s="11" t="str"/>
      <x:c r="R96" s="8" t="str">
        <x:v>NOT RUN</x:v>
      </x:c>
      <x:c r="S96" s="11" t="str">
        <x:v>QA/UAT — cần điền URL/build</x:v>
      </x:c>
      <x:c r="T96" s="11" t="str">
        <x:v>Cần điền phiên bản thực</x:v>
      </x:c>
      <x:c r="U96" s="11" t="str"/>
      <x:c r="V96" s="12" t="str"/>
      <x:c r="W96" s="11" t="str"/>
      <x:c r="X96" s="11" t="str"/>
      <x:c r="Y96" s="3" t="str">
        <x:v>Nguồn: admin/src/app/api/cms/import-word/route.ts. </x:v>
      </x:c>
    </x:row>
    <x:row r="97" ht="49" customHeight="1">
      <x:c r="A97" s="3" t="n">
        <x:v>96</x:v>
      </x:c>
      <x:c r="B97" s="3" t="str">
        <x:v>TC_PERMISSION_096</x:v>
      </x:c>
      <x:c r="C97" s="3" t="str">
        <x:v>PERMISSION</x:v>
      </x:c>
      <x:c r="D97" s="3" t="str">
        <x:v>Phiên hết hạn</x:v>
      </x:c>
      <x:c r="E97" s="3" t="str">
        <x:v>Phiên hết hạn</x:v>
      </x:c>
      <x:c r="F97" s="3" t="str">
        <x:v>Security — POST ADMIN /api/cms/import-word hết hạn</x:v>
      </x:c>
      <x:c r="G97" s="3" t="str">
        <x:v>POST ADMIN /api/cms/import-word hết hạn</x:v>
      </x:c>
      <x:c r="H97" s="3" t="str">
        <x:v>NFR-001</x:v>
      </x:c>
      <x:c r="I97" s="3" t="str">
        <x:v>QTV có quyền tương ứng</x:v>
      </x:c>
      <x:c r="J97" s="3" t="str">
        <x:v>Security</x:v>
      </x:c>
      <x:c r="K97" s="3" t="str">
        <x:v>High</x:v>
      </x:c>
      <x:c r="L97" s="3" t="str">
        <x:v>High</x:v>
      </x:c>
      <x:c r="M97" s="3" t="str">
        <x:v>Môi trường QA cô lập, DB/MinIO sẵn sàng; dữ liệu fixture đã tạo. Đăng nhập tài khoản ACTIVE, mustChangePassword=false.</x:v>
      </x:c>
      <x:c r="N97" s="3" t="str">
        <x:v>multipart field=file, fixture hợp lệ theo định dạng endpoint</x:v>
      </x:c>
      <x:c r="O97" s="3" t="str">
        <x:v>1. Tạo cookie có Session.expiresAt đã qua
2. Gửi POST ADMIN /api/cms/import-word</x:v>
      </x:c>
      <x:c r="P97" s="3" t="str">
        <x:v>HTTP 401; không có mutation; không trả dữ liệu quản trị.</x:v>
      </x:c>
      <x:c r="Q97" s="11" t="str"/>
      <x:c r="R97" s="8" t="str">
        <x:v>NOT RUN</x:v>
      </x:c>
      <x:c r="S97" s="11" t="str">
        <x:v>QA/UAT — cần điền URL/build</x:v>
      </x:c>
      <x:c r="T97" s="11" t="str">
        <x:v>Cần điền phiên bản thực</x:v>
      </x:c>
      <x:c r="U97" s="11" t="str"/>
      <x:c r="V97" s="12" t="str"/>
      <x:c r="W97" s="11" t="str"/>
      <x:c r="X97" s="11" t="str"/>
      <x:c r="Y97" s="3" t="str">
        <x:v>Nguồn: admin/src/app/api/cms/import-word/route.ts. </x:v>
      </x:c>
    </x:row>
    <x:row r="98" ht="49" customHeight="1">
      <x:c r="A98" s="3" t="n">
        <x:v>97</x:v>
      </x:c>
      <x:c r="B98" s="3" t="str">
        <x:v>TC_PERMISSION_097</x:v>
      </x:c>
      <x:c r="C98" s="3" t="str">
        <x:v>PERMISSION</x:v>
      </x:c>
      <x:c r="D98" s="3" t="str">
        <x:v>RBAC từng hành động</x:v>
      </x:c>
      <x:c r="E98" s="3" t="str">
        <x:v>RBAC từng hành động</x:v>
      </x:c>
      <x:c r="F98" s="3" t="str">
        <x:v>Security — POST ADMIN /api/cms/import-word thiếu news.create OR news.update</x:v>
      </x:c>
      <x:c r="G98" s="3" t="str">
        <x:v>POST ADMIN /api/cms/import-word thiếu news.create OR news.update</x:v>
      </x:c>
      <x:c r="H98" s="3" t="str">
        <x:v>NFR-001</x:v>
      </x:c>
      <x:c r="I98" s="3" t="str">
        <x:v>Role QA thiếu permission cụ thể</x:v>
      </x:c>
      <x:c r="J98" s="3" t="str">
        <x:v>Security</x:v>
      </x:c>
      <x:c r="K98" s="3" t="str">
        <x:v>Critical</x:v>
      </x:c>
      <x:c r="L98" s="3" t="str">
        <x:v>Critical</x:v>
      </x:c>
      <x:c r="M98" s="3" t="str">
        <x:v>Môi trường QA cô lập, DB/MinIO sẵn sàng; dữ liệu fixture đã tạo. Đăng nhập tài khoản ACTIVE, mustChangePassword=false.</x:v>
      </x:c>
      <x:c r="N98" s="3" t="str">
        <x:v>multipart field=file, fixture hợp lệ theo định dạng endpoint</x:v>
      </x:c>
      <x:c r="O98" s="3" t="str">
        <x:v>1. Đăng nhập tài khoản test có phiên hợp lệ nhưng thiếu riêng news.create OR news.update
2. Gửi POST ADMIN /api/cms/import-word trực tiếp, bỏ qua UI</x:v>
      </x:c>
      <x:c r="P98" s="3" t="str">
        <x:v>HTTP 403; không tạo/sửa/xóa dữ liệu; quyền khác không thay thế quyền đang thiếu.</x:v>
      </x:c>
      <x:c r="Q98" s="11" t="str"/>
      <x:c r="R98" s="8" t="str">
        <x:v>NOT RUN</x:v>
      </x:c>
      <x:c r="S98" s="11" t="str">
        <x:v>QA/UAT — cần điền URL/build</x:v>
      </x:c>
      <x:c r="T98" s="11" t="str">
        <x:v>Cần điền phiên bản thực</x:v>
      </x:c>
      <x:c r="U98" s="11" t="str"/>
      <x:c r="V98" s="12" t="str"/>
      <x:c r="W98" s="11" t="str"/>
      <x:c r="X98" s="11" t="str"/>
      <x:c r="Y98" s="3" t="str">
        <x:v>Nguồn: admin/src/app/api/cms/import-word/route.ts. </x:v>
      </x:c>
    </x:row>
    <x:row r="99" ht="36" customHeight="1">
      <x:c r="A99" s="3" t="n">
        <x:v>98</x:v>
      </x:c>
      <x:c r="B99" s="3" t="str">
        <x:v>TC_PERMISSION_098</x:v>
      </x:c>
      <x:c r="C99" s="3" t="str">
        <x:v>PERMISSION</x:v>
      </x:c>
      <x:c r="D99" s="3" t="str">
        <x:v>Xác thực server</x:v>
      </x:c>
      <x:c r="E99" s="3" t="str">
        <x:v>Xác thực server</x:v>
      </x:c>
      <x:c r="F99" s="3" t="str">
        <x:v>Security — POST ADMIN /api/cms/upload-image không có phiên</x:v>
      </x:c>
      <x:c r="G99" s="3" t="str">
        <x:v>POST ADMIN /api/cms/upload-image không có phiên</x:v>
      </x:c>
      <x:c r="H99" s="3" t="str">
        <x:v>NFR-001</x:v>
      </x:c>
      <x:c r="I99" s="3" t="str">
        <x:v>Khách truy cập</x:v>
      </x:c>
      <x:c r="J99" s="3" t="str">
        <x:v>Security</x:v>
      </x:c>
      <x:c r="K99" s="3" t="str">
        <x:v>Critical</x:v>
      </x:c>
      <x:c r="L99" s="3" t="str">
        <x:v>Critical</x:v>
      </x:c>
      <x:c r="M99" s="3" t="str">
        <x:v>Môi trường QA cô lập, DB/MinIO sẵn sàng; dữ liệu fixture đã tạo. Không đăng nhập.</x:v>
      </x:c>
      <x:c r="N99" s="3" t="str">
        <x:v>multipart field=file, fixture hợp lệ theo định dạng endpoint</x:v>
      </x:c>
      <x:c r="O99" s="3" t="str">
        <x:v>1. Xóa cookie hoàn toàn
2. Gửi POST ADMIN /api/cms/upload-image với dữ liệu hợp lệ</x:v>
      </x:c>
      <x:c r="P99" s="3" t="str">
        <x:v>HTTP 401; không trả dữ liệu quản trị và không thay đổi DB/MinIO.</x:v>
      </x:c>
      <x:c r="Q99" s="11" t="str"/>
      <x:c r="R99" s="8" t="str">
        <x:v>NOT RUN</x:v>
      </x:c>
      <x:c r="S99" s="11" t="str">
        <x:v>QA/UAT — cần điền URL/build</x:v>
      </x:c>
      <x:c r="T99" s="11" t="str">
        <x:v>Cần điền phiên bản thực</x:v>
      </x:c>
      <x:c r="U99" s="11" t="str"/>
      <x:c r="V99" s="12" t="str"/>
      <x:c r="W99" s="11" t="str"/>
      <x:c r="X99" s="11" t="str"/>
      <x:c r="Y99" s="3" t="str">
        <x:v>Nguồn: admin/src/app/api/cms/upload-image/route.ts. </x:v>
      </x:c>
    </x:row>
    <x:row r="100" ht="49" customHeight="1">
      <x:c r="A100" s="3" t="n">
        <x:v>99</x:v>
      </x:c>
      <x:c r="B100" s="3" t="str">
        <x:v>TC_PERMISSION_099</x:v>
      </x:c>
      <x:c r="C100" s="3" t="str">
        <x:v>PERMISSION</x:v>
      </x:c>
      <x:c r="D100" s="3" t="str">
        <x:v>Phiên hết hạn</x:v>
      </x:c>
      <x:c r="E100" s="3" t="str">
        <x:v>Phiên hết hạn</x:v>
      </x:c>
      <x:c r="F100" s="3" t="str">
        <x:v>Security — POST ADMIN /api/cms/upload-image hết hạn</x:v>
      </x:c>
      <x:c r="G100" s="3" t="str">
        <x:v>POST ADMIN /api/cms/upload-image hết hạn</x:v>
      </x:c>
      <x:c r="H100" s="3" t="str">
        <x:v>NFR-001</x:v>
      </x:c>
      <x:c r="I100" s="3" t="str">
        <x:v>QTV có quyền tương ứng</x:v>
      </x:c>
      <x:c r="J100" s="3" t="str">
        <x:v>Security</x:v>
      </x:c>
      <x:c r="K100" s="3" t="str">
        <x:v>High</x:v>
      </x:c>
      <x:c r="L100" s="3" t="str">
        <x:v>High</x:v>
      </x:c>
      <x:c r="M100" s="3" t="str">
        <x:v>Môi trường QA cô lập, DB/MinIO sẵn sàng; dữ liệu fixture đã tạo. Đăng nhập tài khoản ACTIVE, mustChangePassword=false.</x:v>
      </x:c>
      <x:c r="N100" s="3" t="str">
        <x:v>multipart field=file, fixture hợp lệ theo định dạng endpoint</x:v>
      </x:c>
      <x:c r="O100" s="3" t="str">
        <x:v>1. Tạo cookie có Session.expiresAt đã qua
2. Gửi POST ADMIN /api/cms/upload-image</x:v>
      </x:c>
      <x:c r="P100" s="3" t="str">
        <x:v>HTTP 401; không có mutation; không trả dữ liệu quản trị.</x:v>
      </x:c>
      <x:c r="Q100" s="11" t="str"/>
      <x:c r="R100" s="8" t="str">
        <x:v>NOT RUN</x:v>
      </x:c>
      <x:c r="S100" s="11" t="str">
        <x:v>QA/UAT — cần điền URL/build</x:v>
      </x:c>
      <x:c r="T100" s="11" t="str">
        <x:v>Cần điền phiên bản thực</x:v>
      </x:c>
      <x:c r="U100" s="11" t="str"/>
      <x:c r="V100" s="12" t="str"/>
      <x:c r="W100" s="11" t="str"/>
      <x:c r="X100" s="11" t="str"/>
      <x:c r="Y100" s="3" t="str">
        <x:v>Nguồn: admin/src/app/api/cms/upload-image/route.ts. </x:v>
      </x:c>
    </x:row>
    <x:row r="101" ht="49" customHeight="1">
      <x:c r="A101" s="3" t="n">
        <x:v>100</x:v>
      </x:c>
      <x:c r="B101" s="3" t="str">
        <x:v>TC_PERMISSION_100</x:v>
      </x:c>
      <x:c r="C101" s="3" t="str">
        <x:v>PERMISSION</x:v>
      </x:c>
      <x:c r="D101" s="3" t="str">
        <x:v>RBAC từng hành động</x:v>
      </x:c>
      <x:c r="E101" s="3" t="str">
        <x:v>RBAC từng hành động</x:v>
      </x:c>
      <x:c r="F101" s="3" t="str">
        <x:v>Security — POST ADMIN /api/cms/upload-image thiếu news.create OR news.update</x:v>
      </x:c>
      <x:c r="G101" s="3" t="str">
        <x:v>POST ADMIN /api/cms/upload-image thiếu news.create OR news.update</x:v>
      </x:c>
      <x:c r="H101" s="3" t="str">
        <x:v>NFR-001</x:v>
      </x:c>
      <x:c r="I101" s="3" t="str">
        <x:v>Role QA thiếu permission cụ thể</x:v>
      </x:c>
      <x:c r="J101" s="3" t="str">
        <x:v>Security</x:v>
      </x:c>
      <x:c r="K101" s="3" t="str">
        <x:v>Critical</x:v>
      </x:c>
      <x:c r="L101" s="3" t="str">
        <x:v>Critical</x:v>
      </x:c>
      <x:c r="M101" s="3" t="str">
        <x:v>Môi trường QA cô lập, DB/MinIO sẵn sàng; dữ liệu fixture đã tạo. Đăng nhập tài khoản ACTIVE, mustChangePassword=false.</x:v>
      </x:c>
      <x:c r="N101" s="3" t="str">
        <x:v>multipart field=file, fixture hợp lệ theo định dạng endpoint</x:v>
      </x:c>
      <x:c r="O101" s="3" t="str">
        <x:v>1. Đăng nhập tài khoản test có phiên hợp lệ nhưng thiếu riêng news.create OR news.update
2. Gửi POST ADMIN /api/cms/upload-image trực tiếp, bỏ qua UI</x:v>
      </x:c>
      <x:c r="P101" s="3" t="str">
        <x:v>HTTP 403; không tạo/sửa/xóa dữ liệu; quyền khác không thay thế quyền đang thiếu.</x:v>
      </x:c>
      <x:c r="Q101" s="11" t="str"/>
      <x:c r="R101" s="8" t="str">
        <x:v>NOT RUN</x:v>
      </x:c>
      <x:c r="S101" s="11" t="str">
        <x:v>QA/UAT — cần điền URL/build</x:v>
      </x:c>
      <x:c r="T101" s="11" t="str">
        <x:v>Cần điền phiên bản thực</x:v>
      </x:c>
      <x:c r="U101" s="11" t="str"/>
      <x:c r="V101" s="12" t="str"/>
      <x:c r="W101" s="11" t="str"/>
      <x:c r="X101" s="11" t="str"/>
      <x:c r="Y101" s="3" t="str">
        <x:v>Nguồn: admin/src/app/api/cms/upload-image/route.ts. </x:v>
      </x:c>
    </x:row>
    <x:row r="102" ht="36" customHeight="1">
      <x:c r="A102" s="3" t="n">
        <x:v>101</x:v>
      </x:c>
      <x:c r="B102" s="3" t="str">
        <x:v>TC_PERMISSION_101</x:v>
      </x:c>
      <x:c r="C102" s="3" t="str">
        <x:v>PERMISSION</x:v>
      </x:c>
      <x:c r="D102" s="3" t="str">
        <x:v>Xác thực server</x:v>
      </x:c>
      <x:c r="E102" s="3" t="str">
        <x:v>Xác thực server</x:v>
      </x:c>
      <x:c r="F102" s="3" t="str">
        <x:v>Security — POST ADMIN /api/cms/upload-resource không có phiên</x:v>
      </x:c>
      <x:c r="G102" s="3" t="str">
        <x:v>POST ADMIN /api/cms/upload-resource không có phiên</x:v>
      </x:c>
      <x:c r="H102" s="3" t="str">
        <x:v>NFR-001</x:v>
      </x:c>
      <x:c r="I102" s="3" t="str">
        <x:v>Khách truy cập</x:v>
      </x:c>
      <x:c r="J102" s="3" t="str">
        <x:v>Security</x:v>
      </x:c>
      <x:c r="K102" s="3" t="str">
        <x:v>Critical</x:v>
      </x:c>
      <x:c r="L102" s="3" t="str">
        <x:v>Critical</x:v>
      </x:c>
      <x:c r="M102" s="3" t="str">
        <x:v>Môi trường QA cô lập, DB/MinIO sẵn sàng; dữ liệu fixture đã tạo. Không đăng nhập.</x:v>
      </x:c>
      <x:c r="N102" s="3" t="str">
        <x:v>multipart field=file, fixture hợp lệ theo định dạng endpoint</x:v>
      </x:c>
      <x:c r="O102" s="3" t="str">
        <x:v>1. Xóa cookie hoàn toàn
2. Gửi POST ADMIN /api/cms/upload-resource với dữ liệu hợp lệ</x:v>
      </x:c>
      <x:c r="P102" s="3" t="str">
        <x:v>HTTP 401; không trả dữ liệu quản trị và không thay đổi DB/MinIO.</x:v>
      </x:c>
      <x:c r="Q102" s="11" t="str"/>
      <x:c r="R102" s="8" t="str">
        <x:v>NOT RUN</x:v>
      </x:c>
      <x:c r="S102" s="11" t="str">
        <x:v>QA/UAT — cần điền URL/build</x:v>
      </x:c>
      <x:c r="T102" s="11" t="str">
        <x:v>Cần điền phiên bản thực</x:v>
      </x:c>
      <x:c r="U102" s="11" t="str"/>
      <x:c r="V102" s="12" t="str"/>
      <x:c r="W102" s="11" t="str"/>
      <x:c r="X102" s="11" t="str"/>
      <x:c r="Y102" s="3" t="str">
        <x:v>Nguồn: admin/src/app/api/cms/upload-resource/route.ts. </x:v>
      </x:c>
    </x:row>
    <x:row r="103" ht="49" customHeight="1">
      <x:c r="A103" s="3" t="n">
        <x:v>102</x:v>
      </x:c>
      <x:c r="B103" s="3" t="str">
        <x:v>TC_PERMISSION_102</x:v>
      </x:c>
      <x:c r="C103" s="3" t="str">
        <x:v>PERMISSION</x:v>
      </x:c>
      <x:c r="D103" s="3" t="str">
        <x:v>Phiên hết hạn</x:v>
      </x:c>
      <x:c r="E103" s="3" t="str">
        <x:v>Phiên hết hạn</x:v>
      </x:c>
      <x:c r="F103" s="3" t="str">
        <x:v>Security — POST ADMIN /api/cms/upload-resource hết hạn</x:v>
      </x:c>
      <x:c r="G103" s="3" t="str">
        <x:v>POST ADMIN /api/cms/upload-resource hết hạn</x:v>
      </x:c>
      <x:c r="H103" s="3" t="str">
        <x:v>NFR-001</x:v>
      </x:c>
      <x:c r="I103" s="3" t="str">
        <x:v>QTV có quyền tương ứng</x:v>
      </x:c>
      <x:c r="J103" s="3" t="str">
        <x:v>Security</x:v>
      </x:c>
      <x:c r="K103" s="3" t="str">
        <x:v>High</x:v>
      </x:c>
      <x:c r="L103" s="3" t="str">
        <x:v>High</x:v>
      </x:c>
      <x:c r="M103" s="3" t="str">
        <x:v>Môi trường QA cô lập, DB/MinIO sẵn sàng; dữ liệu fixture đã tạo. Đăng nhập tài khoản ACTIVE, mustChangePassword=false.</x:v>
      </x:c>
      <x:c r="N103" s="3" t="str">
        <x:v>multipart field=file, fixture hợp lệ theo định dạng endpoint</x:v>
      </x:c>
      <x:c r="O103" s="3" t="str">
        <x:v>1. Tạo cookie có Session.expiresAt đã qua
2. Gửi POST ADMIN /api/cms/upload-resource</x:v>
      </x:c>
      <x:c r="P103" s="3" t="str">
        <x:v>HTTP 401; không có mutation; không trả dữ liệu quản trị.</x:v>
      </x:c>
      <x:c r="Q103" s="11" t="str"/>
      <x:c r="R103" s="8" t="str">
        <x:v>NOT RUN</x:v>
      </x:c>
      <x:c r="S103" s="11" t="str">
        <x:v>QA/UAT — cần điền URL/build</x:v>
      </x:c>
      <x:c r="T103" s="11" t="str">
        <x:v>Cần điền phiên bản thực</x:v>
      </x:c>
      <x:c r="U103" s="11" t="str"/>
      <x:c r="V103" s="12" t="str"/>
      <x:c r="W103" s="11" t="str"/>
      <x:c r="X103" s="11" t="str"/>
      <x:c r="Y103" s="3" t="str">
        <x:v>Nguồn: admin/src/app/api/cms/upload-resource/route.ts. </x:v>
      </x:c>
    </x:row>
    <x:row r="104" ht="49" customHeight="1">
      <x:c r="A104" s="3" t="n">
        <x:v>103</x:v>
      </x:c>
      <x:c r="B104" s="3" t="str">
        <x:v>TC_PERMISSION_103</x:v>
      </x:c>
      <x:c r="C104" s="3" t="str">
        <x:v>PERMISSION</x:v>
      </x:c>
      <x:c r="D104" s="3" t="str">
        <x:v>RBAC từng hành động</x:v>
      </x:c>
      <x:c r="E104" s="3" t="str">
        <x:v>RBAC từng hành động</x:v>
      </x:c>
      <x:c r="F104" s="3" t="str">
        <x:v>Security — POST ADMIN /api/cms/upload-resource thiếu resources.create OR resources.update</x:v>
      </x:c>
      <x:c r="G104" s="3" t="str">
        <x:v>POST ADMIN /api/cms/upload-resource thiếu resources.create OR resources.update</x:v>
      </x:c>
      <x:c r="H104" s="3" t="str">
        <x:v>NFR-001</x:v>
      </x:c>
      <x:c r="I104" s="3" t="str">
        <x:v>Role QA thiếu permission cụ thể</x:v>
      </x:c>
      <x:c r="J104" s="3" t="str">
        <x:v>Security</x:v>
      </x:c>
      <x:c r="K104" s="3" t="str">
        <x:v>Critical</x:v>
      </x:c>
      <x:c r="L104" s="3" t="str">
        <x:v>Critical</x:v>
      </x:c>
      <x:c r="M104" s="3" t="str">
        <x:v>Môi trường QA cô lập, DB/MinIO sẵn sàng; dữ liệu fixture đã tạo. Đăng nhập tài khoản ACTIVE, mustChangePassword=false.</x:v>
      </x:c>
      <x:c r="N104" s="3" t="str">
        <x:v>multipart field=file, fixture hợp lệ theo định dạng endpoint</x:v>
      </x:c>
      <x:c r="O104" s="3" t="str">
        <x:v>1. Đăng nhập tài khoản test có phiên hợp lệ nhưng thiếu riêng resources.create OR resources.update
2. Gửi POST ADMIN /api/cms/upload-resource trực tiếp, bỏ qua UI</x:v>
      </x:c>
      <x:c r="P104" s="3" t="str">
        <x:v>HTTP 403; không tạo/sửa/xóa dữ liệu; quyền khác không thay thế quyền đang thiếu.</x:v>
      </x:c>
      <x:c r="Q104" s="11" t="str"/>
      <x:c r="R104" s="8" t="str">
        <x:v>NOT RUN</x:v>
      </x:c>
      <x:c r="S104" s="11" t="str">
        <x:v>QA/UAT — cần điền URL/build</x:v>
      </x:c>
      <x:c r="T104" s="11" t="str">
        <x:v>Cần điền phiên bản thực</x:v>
      </x:c>
      <x:c r="U104" s="11" t="str"/>
      <x:c r="V104" s="12" t="str"/>
      <x:c r="W104" s="11" t="str"/>
      <x:c r="X104" s="11" t="str"/>
      <x:c r="Y104" s="3" t="str">
        <x:v>Nguồn: admin/src/app/api/cms/upload-resource/route.ts. </x:v>
      </x:c>
    </x:row>
    <x:row r="105" ht="49" customHeight="1">
      <x:c r="A105" s="3" t="n">
        <x:v>104</x:v>
      </x:c>
      <x:c r="B105" s="3" t="str">
        <x:v>TC_PERMISSION_104</x:v>
      </x:c>
      <x:c r="C105" s="3" t="str">
        <x:v>PERMISSION</x:v>
      </x:c>
      <x:c r="D105" s="3" t="str">
        <x:v>Đối chiếu code và đặc tả</x:v>
      </x:c>
      <x:c r="E105" s="3" t="str">
        <x:v>Đối chiếu code và đặc tả</x:v>
      </x:c>
      <x:c r="F105" s="3" t="str">
        <x:v>Negative — Permission publish không được guard riêng</x:v>
      </x:c>
      <x:c r="G105" s="3" t="str">
        <x:v>Permission publish không được guard riêng</x:v>
      </x:c>
      <x:c r="H105" s="3" t="str">
        <x:v>NFR-001</x:v>
      </x:c>
      <x:c r="I105" s="3" t="str">
        <x:v>QTV có quyền tương ứng</x:v>
      </x:c>
      <x:c r="J105" s="3" t="str">
        <x:v>Negative</x:v>
      </x:c>
      <x:c r="K105" s="3" t="str">
        <x:v>High</x:v>
      </x:c>
      <x:c r="L105" s="3" t="str">
        <x:v>High</x:v>
      </x:c>
      <x:c r="M105" s="3" t="str">
        <x:v>Môi trường QA cô lập, DB/MinIO sẵn sàng; dữ liệu fixture đã tạo. Đăng nhập tài khoản ACTIVE, mustChangePassword=false.</x:v>
      </x:c>
      <x:c r="N105" s="3" t="str">
        <x:v>Dữ liệu QA tổng hợp; xem fixture trong README.</x:v>
      </x:c>
      <x:c r="O105" s="3" t="str">
        <x:v>1. Role chỉ có news.create/update, không news.publish
2. Gửi status=PUBLISHED</x:v>
      </x:c>
      <x:c r="P105" s="3" t="str">
        <x:v>Nếu duyệt phân quyền publish độc lập: HTTP403; code hiện kiểm tra create/update.</x:v>
      </x:c>
      <x:c r="Q105" s="11" t="str"/>
      <x:c r="R105" s="9" t="str">
        <x:v>NEED CONFIRMATION</x:v>
      </x:c>
      <x:c r="S105" s="11" t="str">
        <x:v>QA/UAT — cần điền URL/build</x:v>
      </x:c>
      <x:c r="T105" s="11" t="str">
        <x:v>Cần điền phiên bản thực</x:v>
      </x:c>
      <x:c r="U105" s="11" t="str"/>
      <x:c r="V105" s="12" t="str"/>
      <x:c r="W105" s="11" t="str"/>
      <x:c r="X105" s="11" t="str"/>
      <x:c r="Y105" s="3" t="str">
        <x:v>Nguồn: backend/src/modules/cms/cms.routes.ts. Need Confirmation: Có yêu cầu tách quyền tạo/sửa/duyệt/xuất bản?</x:v>
      </x:c>
    </x:row>
    <x:row r="106" ht="49" customHeight="1">
      <x:c r="A106" s="3" t="n">
        <x:v>105</x:v>
      </x:c>
      <x:c r="B106" s="3" t="str">
        <x:v>TC_PERMISSION_105</x:v>
      </x:c>
      <x:c r="C106" s="3" t="str">
        <x:v>PERMISSION</x:v>
      </x:c>
      <x:c r="D106" s="3" t="str">
        <x:v>Đối chiếu code và đặc tả</x:v>
      </x:c>
      <x:c r="E106" s="3" t="str">
        <x:v>Đối chiếu code và đặc tả</x:v>
      </x:c>
      <x:c r="F106" s="3" t="str">
        <x:v>Negative — Bypass mustChangePassword qua CMS</x:v>
      </x:c>
      <x:c r="G106" s="3" t="str">
        <x:v>Bypass mustChangePassword qua CMS</x:v>
      </x:c>
      <x:c r="H106" s="3" t="str">
        <x:v>AUTH-002</x:v>
      </x:c>
      <x:c r="I106" s="3" t="str">
        <x:v>QTV có quyền tương ứng</x:v>
      </x:c>
      <x:c r="J106" s="3" t="str">
        <x:v>Negative</x:v>
      </x:c>
      <x:c r="K106" s="3" t="str">
        <x:v>High</x:v>
      </x:c>
      <x:c r="L106" s="3" t="str">
        <x:v>High</x:v>
      </x:c>
      <x:c r="M106" s="3" t="str">
        <x:v>Môi trường QA cô lập, DB/MinIO sẵn sàng; dữ liệu fixture đã tạo. Đăng nhập tài khoản ACTIVE, mustChangePassword=false.</x:v>
      </x:c>
      <x:c r="N106" s="3" t="str">
        <x:v>Dữ liệu QA tổng hợp; xem fixture trong README.</x:v>
      </x:c>
      <x:c r="O106" s="3" t="str">
        <x:v>1. Đăng nhập mustChangePassword=true
2. Gọi POST news trực tiếp backend</x:v>
      </x:c>
      <x:c r="P106" s="3" t="str">
        <x:v>Yêu cầu AUTH-002 đòi 403 trước đổi mật khẩu; backend authenticateRequest chưa xét cờ.</x:v>
      </x:c>
      <x:c r="Q106" s="11" t="str"/>
      <x:c r="R106" s="9" t="str">
        <x:v>NEED CONFIRMATION</x:v>
      </x:c>
      <x:c r="S106" s="11" t="str">
        <x:v>QA/UAT — cần điền URL/build</x:v>
      </x:c>
      <x:c r="T106" s="11" t="str">
        <x:v>Cần điền phiên bản thực</x:v>
      </x:c>
      <x:c r="U106" s="11" t="str"/>
      <x:c r="V106" s="12" t="str"/>
      <x:c r="W106" s="11" t="str"/>
      <x:c r="X106" s="11" t="str"/>
      <x:c r="Y106" s="3" t="str">
        <x:v>Nguồn: backend/src/modules/cms/cms.routes.ts; backend/src/modules/auth/auth.service.ts. Need Confirmation: Xác nhận guard bắt buộc áp dụng cho mọi mutation CMS/upload.</x:v>
      </x:c>
    </x:row>
    <x:row r="107" ht="49" customHeight="1">
      <x:c r="A107" s="3" t="n">
        <x:v>106</x:v>
      </x:c>
      <x:c r="B107" s="3" t="str">
        <x:v>TC_PERMISSION_106</x:v>
      </x:c>
      <x:c r="C107" s="3" t="str">
        <x:v>PERMISSION</x:v>
      </x:c>
      <x:c r="D107" s="3" t="str">
        <x:v>Đối chiếu code và đặc tả</x:v>
      </x:c>
      <x:c r="E107" s="3" t="str">
        <x:v>Đối chiếu code và đặc tả</x:v>
      </x:c>
      <x:c r="F107" s="3" t="str">
        <x:v>Negative — Bootstrap admin và backend khác quyền</x:v>
      </x:c>
      <x:c r="G107" s="3" t="str">
        <x:v>Bootstrap admin và backend khác quyền</x:v>
      </x:c>
      <x:c r="H107" s="3" t="str">
        <x:v>USR-001</x:v>
      </x:c>
      <x:c r="I107" s="3" t="str">
        <x:v>QTV có quyền tương ứng</x:v>
      </x:c>
      <x:c r="J107" s="3" t="str">
        <x:v>Negative</x:v>
      </x:c>
      <x:c r="K107" s="3" t="str">
        <x:v>High</x:v>
      </x:c>
      <x:c r="L107" s="3" t="str">
        <x:v>High</x:v>
      </x:c>
      <x:c r="M107" s="3" t="str">
        <x:v>Môi trường QA cô lập, DB/MinIO sẵn sàng; dữ liệu fixture đã tạo. Đăng nhập tài khoản ACTIVE, mustChangePassword=false.</x:v>
      </x:c>
      <x:c r="N107" s="3" t="str">
        <x:v>Dữ liệu QA tổng hợp; xem fixture trong README.</x:v>
      </x:c>
      <x:c r="O107" s="3" t="str">
        <x:v>1. Trên 2 DB QA mới chạy từng bootstrap riêng
2. So RolePermission</x:v>
      </x:c>
      <x:c r="P107" s="3" t="str">
        <x:v>Mapping thực tế khác nhau, nhất là admins.delete và quyền CMS cấp2.</x:v>
      </x:c>
      <x:c r="Q107" s="11" t="str"/>
      <x:c r="R107" s="9" t="str">
        <x:v>NEED CONFIRMATION</x:v>
      </x:c>
      <x:c r="S107" s="11" t="str">
        <x:v>QA/UAT — cần điền URL/build</x:v>
      </x:c>
      <x:c r="T107" s="11" t="str">
        <x:v>Cần điền phiên bản thực</x:v>
      </x:c>
      <x:c r="U107" s="11" t="str"/>
      <x:c r="V107" s="12" t="str"/>
      <x:c r="W107" s="11" t="str"/>
      <x:c r="X107" s="11" t="str"/>
      <x:c r="Y107" s="3" t="str">
        <x:v>Nguồn: admin/src/lib/auth/roles.ts; backend/prisma/bootstrap-admin.ts. Need Confirmation: Bootstrap nào là baseline release?</x:v>
      </x:c>
    </x:row>
    <x:row r="108" ht="49" customHeight="1">
      <x:c r="A108" s="3" t="n">
        <x:v>107</x:v>
      </x:c>
      <x:c r="B108" s="3" t="str">
        <x:v>TC_AUDIT_001</x:v>
      </x:c>
      <x:c r="C108" s="3" t="str">
        <x:v>AUDIT</x:v>
      </x:c>
      <x:c r="D108" s="3" t="str">
        <x:v>Đối chiếu code và đặc tả</x:v>
      </x:c>
      <x:c r="E108" s="3" t="str">
        <x:v>Đối chiếu code và đặc tả</x:v>
      </x:c>
      <x:c r="F108" s="3" t="str">
        <x:v>Negative — Thông báo lộ audit giữa vai trò</x:v>
      </x:c>
      <x:c r="G108" s="3" t="str">
        <x:v>Thông báo lộ audit giữa vai trò</x:v>
      </x:c>
      <x:c r="H108" s="3" t="str">
        <x:v>AUD-001</x:v>
      </x:c>
      <x:c r="I108" s="3" t="str">
        <x:v>QTV có quyền tương ứng</x:v>
      </x:c>
      <x:c r="J108" s="3" t="str">
        <x:v>Negative</x:v>
      </x:c>
      <x:c r="K108" s="3" t="str">
        <x:v>High</x:v>
      </x:c>
      <x:c r="L108" s="3" t="str">
        <x:v>High</x:v>
      </x:c>
      <x:c r="M108" s="3" t="str">
        <x:v>Môi trường QA cô lập, DB/MinIO sẵn sàng; dữ liệu fixture đã tạo. Đăng nhập tài khoản ACTIVE, mustChangePassword=false.</x:v>
      </x:c>
      <x:c r="N108" s="3" t="str">
        <x:v>Dữ liệu QA tổng hợp; xem fixture trong README.</x:v>
      </x:c>
      <x:c r="O108" s="3" t="str">
        <x:v>1. Đăng nhập cấp2 không audit.view
2. GET /api/admin/notifications</x:v>
      </x:c>
      <x:c r="P108" s="3" t="str">
        <x:v>Nếu audit giới hạn Super Admin: 403 hoặc chỉ sự kiện được phép; code lấy toàn bộ logs chỉ cần phiên.</x:v>
      </x:c>
      <x:c r="Q108" s="11" t="str"/>
      <x:c r="R108" s="9" t="str">
        <x:v>NEED CONFIRMATION</x:v>
      </x:c>
      <x:c r="S108" s="11" t="str">
        <x:v>QA/UAT — cần điền URL/build</x:v>
      </x:c>
      <x:c r="T108" s="11" t="str">
        <x:v>Cần điền phiên bản thực</x:v>
      </x:c>
      <x:c r="U108" s="11" t="str"/>
      <x:c r="V108" s="12" t="str"/>
      <x:c r="W108" s="11" t="str"/>
      <x:c r="X108" s="11" t="str"/>
      <x:c r="Y108" s="3" t="str">
        <x:v>Nguồn: admin/src/app/api/admin/notifications/route.ts. Need Confirmation: Thông báo được phép chứa audit/metadata của ai?</x:v>
      </x:c>
    </x:row>
    <x:row r="109" ht="49" customHeight="1">
      <x:c r="A109" s="3" t="n">
        <x:v>108</x:v>
      </x:c>
      <x:c r="B109" s="3" t="str">
        <x:v>TC_SECURITY_001</x:v>
      </x:c>
      <x:c r="C109" s="3" t="str">
        <x:v>SECURITY</x:v>
      </x:c>
      <x:c r="D109" s="3" t="str">
        <x:v>Kiểm thử an toàn</x:v>
      </x:c>
      <x:c r="E109" s="3" t="str">
        <x:v>Kiểm thử an toàn</x:v>
      </x:c>
      <x:c r="F109" s="3" t="str">
        <x:v>Security — Stored XSS HTML</x:v>
      </x:c>
      <x:c r="G109" s="3" t="str">
        <x:v>Stored XSS HTML</x:v>
      </x:c>
      <x:c r="H109" s="3" t="str">
        <x:v>NFR-001</x:v>
      </x:c>
      <x:c r="I109" s="3" t="str">
        <x:v>QTV có quyền tương ứng</x:v>
      </x:c>
      <x:c r="J109" s="3" t="str">
        <x:v>Security</x:v>
      </x:c>
      <x:c r="K109" s="3" t="str">
        <x:v>Critical</x:v>
      </x:c>
      <x:c r="L109" s="3" t="str">
        <x:v>Critical</x:v>
      </x:c>
      <x:c r="M109" s="3" t="str">
        <x:v>QA cô lập; fixture giả; chỉ payload canary không phá hủy/không exfiltrate; có quyền xem DB QA.</x:v>
      </x:c>
      <x:c r="N109" s="3" t="str">
        <x:v>Dữ liệu QA tổng hợp; xem fixture trong README.</x:v>
      </x:c>
      <x:c r="O109" s="3" t="str">
        <x:v>1. Gửi NEWS content chứa &lt;script&gt;window.__qa=1&lt;/script&gt; và &lt;img onerror="window.__qa=1"&gt;
2. Mở bài</x:v>
      </x:c>
      <x:c r="P109" s="3" t="str">
        <x:v>Script/event handler bị loại; window.__qa không được thiết lập.</x:v>
      </x:c>
      <x:c r="Q109" s="11" t="str"/>
      <x:c r="R109" s="8" t="str">
        <x:v>NOT RUN</x:v>
      </x:c>
      <x:c r="S109" s="11" t="str">
        <x:v>QA/UAT — cần điền URL/build</x:v>
      </x:c>
      <x:c r="T109" s="11" t="str">
        <x:v>Cần điền phiên bản thực</x:v>
      </x:c>
      <x:c r="U109" s="11" t="str"/>
      <x:c r="V109" s="12" t="str"/>
      <x:c r="W109" s="11" t="str"/>
      <x:c r="X109" s="11" t="str"/>
      <x:c r="Y109" s="3" t="str">
        <x:v>Nguồn: backend/src/modules/cms/cms.routes.ts. </x:v>
      </x:c>
    </x:row>
    <x:row r="110" ht="36" customHeight="1">
      <x:c r="A110" s="3" t="n">
        <x:v>109</x:v>
      </x:c>
      <x:c r="B110" s="3" t="str">
        <x:v>TC_SECURITY_002</x:v>
      </x:c>
      <x:c r="C110" s="3" t="str">
        <x:v>SECURITY</x:v>
      </x:c>
      <x:c r="D110" s="3" t="str">
        <x:v>Kiểm thử an toàn</x:v>
      </x:c>
      <x:c r="E110" s="3" t="str">
        <x:v>Kiểm thử an toàn</x:v>
      </x:c>
      <x:c r="F110" s="3" t="str">
        <x:v>Security — URL javascript</x:v>
      </x:c>
      <x:c r="G110" s="3" t="str">
        <x:v>URL javascript</x:v>
      </x:c>
      <x:c r="H110" s="3" t="str">
        <x:v>NFR-001</x:v>
      </x:c>
      <x:c r="I110" s="3" t="str">
        <x:v>QTV có quyền tương ứng</x:v>
      </x:c>
      <x:c r="J110" s="3" t="str">
        <x:v>Security</x:v>
      </x:c>
      <x:c r="K110" s="3" t="str">
        <x:v>High</x:v>
      </x:c>
      <x:c r="L110" s="3" t="str">
        <x:v>High</x:v>
      </x:c>
      <x:c r="M110" s="3" t="str">
        <x:v>QA cô lập; fixture giả; chỉ payload canary không phá hủy/không exfiltrate; có quyền xem DB QA.</x:v>
      </x:c>
      <x:c r="N110" s="3" t="str">
        <x:v>Dữ liệu QA tổng hợp; xem fixture trong README.</x:v>
      </x:c>
      <x:c r="O110" s="3" t="str">
        <x:v>1. Gửi link javascript: trong rich text
2. Đọc HTML trả và mở bài</x:v>
      </x:c>
      <x:c r="P110" s="3" t="str">
        <x:v>href nguy hiểm bị sanitize; không thực thi JavaScript.</x:v>
      </x:c>
      <x:c r="Q110" s="11" t="str"/>
      <x:c r="R110" s="8" t="str">
        <x:v>NOT RUN</x:v>
      </x:c>
      <x:c r="S110" s="11" t="str">
        <x:v>QA/UAT — cần điền URL/build</x:v>
      </x:c>
      <x:c r="T110" s="11" t="str">
        <x:v>Cần điền phiên bản thực</x:v>
      </x:c>
      <x:c r="U110" s="11" t="str"/>
      <x:c r="V110" s="12" t="str"/>
      <x:c r="W110" s="11" t="str"/>
      <x:c r="X110" s="11" t="str"/>
      <x:c r="Y110" s="3" t="str">
        <x:v>Nguồn: backend/src/modules/cms/cms.routes.ts. </x:v>
      </x:c>
    </x:row>
    <x:row r="111" ht="36" customHeight="1">
      <x:c r="A111" s="3" t="n">
        <x:v>110</x:v>
      </x:c>
      <x:c r="B111" s="3" t="str">
        <x:v>TC_SECURITY_003</x:v>
      </x:c>
      <x:c r="C111" s="3" t="str">
        <x:v>SECURITY</x:v>
      </x:c>
      <x:c r="D111" s="3" t="str">
        <x:v>Kiểm thử an toàn</x:v>
      </x:c>
      <x:c r="E111" s="3" t="str">
        <x:v>Kiểm thử an toàn</x:v>
      </x:c>
      <x:c r="F111" s="3" t="str">
        <x:v>Security — CSS URL nguy hiểm</x:v>
      </x:c>
      <x:c r="G111" s="3" t="str">
        <x:v>CSS URL nguy hiểm</x:v>
      </x:c>
      <x:c r="H111" s="3" t="str">
        <x:v>NFR-001</x:v>
      </x:c>
      <x:c r="I111" s="3" t="str">
        <x:v>QTV có quyền tương ứng</x:v>
      </x:c>
      <x:c r="J111" s="3" t="str">
        <x:v>Security</x:v>
      </x:c>
      <x:c r="K111" s="3" t="str">
        <x:v>High</x:v>
      </x:c>
      <x:c r="L111" s="3" t="str">
        <x:v>High</x:v>
      </x:c>
      <x:c r="M111" s="3" t="str">
        <x:v>QA cô lập; fixture giả; chỉ payload canary không phá hủy/không exfiltrate; có quyền xem DB QA.</x:v>
      </x:c>
      <x:c r="N111" s="3" t="str">
        <x:v>Dữ liệu QA tổng hợp; xem fixture trong README.</x:v>
      </x:c>
      <x:c r="O111" s="3" t="str">
        <x:v>1. Gửi style background-image:url(...) trong NEWS content</x:v>
      </x:c>
      <x:c r="P111" s="3" t="str">
        <x:v>CSS không nằm trong allowlist bị loại; không có request ngoài dự kiến.</x:v>
      </x:c>
      <x:c r="Q111" s="11" t="str"/>
      <x:c r="R111" s="8" t="str">
        <x:v>NOT RUN</x:v>
      </x:c>
      <x:c r="S111" s="11" t="str">
        <x:v>QA/UAT — cần điền URL/build</x:v>
      </x:c>
      <x:c r="T111" s="11" t="str">
        <x:v>Cần điền phiên bản thực</x:v>
      </x:c>
      <x:c r="U111" s="11" t="str"/>
      <x:c r="V111" s="12" t="str"/>
      <x:c r="W111" s="11" t="str"/>
      <x:c r="X111" s="11" t="str"/>
      <x:c r="Y111" s="3" t="str">
        <x:v>Nguồn: backend/src/modules/cms/cms.routes.ts. </x:v>
      </x:c>
    </x:row>
    <x:row r="112" ht="36" customHeight="1">
      <x:c r="A112" s="3" t="n">
        <x:v>111</x:v>
      </x:c>
      <x:c r="B112" s="3" t="str">
        <x:v>TC_SECURITY_004</x:v>
      </x:c>
      <x:c r="C112" s="3" t="str">
        <x:v>SECURITY</x:v>
      </x:c>
      <x:c r="D112" s="3" t="str">
        <x:v>Kiểm thử an toàn</x:v>
      </x:c>
      <x:c r="E112" s="3" t="str">
        <x:v>Kiểm thử an toàn</x:v>
      </x:c>
      <x:c r="F112" s="3" t="str">
        <x:v>Security — SQL injection query</x:v>
      </x:c>
      <x:c r="G112" s="3" t="str">
        <x:v>SQL injection query</x:v>
      </x:c>
      <x:c r="H112" s="3" t="str">
        <x:v>NFR-001</x:v>
      </x:c>
      <x:c r="I112" s="3" t="str">
        <x:v>QTV có quyền tương ứng</x:v>
      </x:c>
      <x:c r="J112" s="3" t="str">
        <x:v>Security</x:v>
      </x:c>
      <x:c r="K112" s="3" t="str">
        <x:v>High</x:v>
      </x:c>
      <x:c r="L112" s="3" t="str">
        <x:v>High</x:v>
      </x:c>
      <x:c r="M112" s="3" t="str">
        <x:v>QA cô lập; fixture giả; chỉ payload canary không phá hủy/không exfiltrate; có quyền xem DB QA.</x:v>
      </x:c>
      <x:c r="N112" s="3" t="str">
        <x:v>Dữ liệu QA tổng hợp; xem fixture trong README.</x:v>
      </x:c>
      <x:c r="O112" s="3" t="str">
        <x:v>1. GET news?q=%27%20OR%201%3D1--</x:v>
      </x:c>
      <x:c r="P112" s="3" t="str">
        <x:v>Chuỗi được coi là dữ liệu tìm; không trả toàn bộ trái bộ lọc; không lộ SQL.</x:v>
      </x:c>
      <x:c r="Q112" s="11" t="str"/>
      <x:c r="R112" s="8" t="str">
        <x:v>NOT RUN</x:v>
      </x:c>
      <x:c r="S112" s="11" t="str">
        <x:v>QA/UAT — cần điền URL/build</x:v>
      </x:c>
      <x:c r="T112" s="11" t="str">
        <x:v>Cần điền phiên bản thực</x:v>
      </x:c>
      <x:c r="U112" s="11" t="str"/>
      <x:c r="V112" s="12" t="str"/>
      <x:c r="W112" s="11" t="str"/>
      <x:c r="X112" s="11" t="str"/>
      <x:c r="Y112" s="3" t="str">
        <x:v>Nguồn: backend/src/modules/cms/cms.routes.ts. </x:v>
      </x:c>
    </x:row>
    <x:row r="113" ht="36" customHeight="1">
      <x:c r="A113" s="3" t="n">
        <x:v>112</x:v>
      </x:c>
      <x:c r="B113" s="3" t="str">
        <x:v>TC_SECURITY_005</x:v>
      </x:c>
      <x:c r="C113" s="3" t="str">
        <x:v>SECURITY</x:v>
      </x:c>
      <x:c r="D113" s="3" t="str">
        <x:v>Kiểm thử an toàn</x:v>
      </x:c>
      <x:c r="E113" s="3" t="str">
        <x:v>Kiểm thử an toàn</x:v>
      </x:c>
      <x:c r="F113" s="3" t="str">
        <x:v>Security — Traversal media</x:v>
      </x:c>
      <x:c r="G113" s="3" t="str">
        <x:v>Traversal media</x:v>
      </x:c>
      <x:c r="H113" s="3" t="str">
        <x:v>NFR-001</x:v>
      </x:c>
      <x:c r="I113" s="3" t="str">
        <x:v>QTV có quyền tương ứng</x:v>
      </x:c>
      <x:c r="J113" s="3" t="str">
        <x:v>Security</x:v>
      </x:c>
      <x:c r="K113" s="3" t="str">
        <x:v>High</x:v>
      </x:c>
      <x:c r="L113" s="3" t="str">
        <x:v>High</x:v>
      </x:c>
      <x:c r="M113" s="3" t="str">
        <x:v>QA cô lập; fixture giả; chỉ payload canary không phá hủy/không exfiltrate; có quyền xem DB QA.</x:v>
      </x:c>
      <x:c r="N113" s="3" t="str">
        <x:v>Dữ liệu QA tổng hợp; xem fixture trong README.</x:v>
      </x:c>
      <x:c r="O113" s="3" t="str">
        <x:v>1. GET media với key ../qa và %2e%2e/qa</x:v>
      </x:c>
      <x:c r="P113" s="3" t="str">
        <x:v>Từ chối đường dẫn ngoài prefix hoặc 404; không đọc object trái phạm vi.</x:v>
      </x:c>
      <x:c r="Q113" s="11" t="str"/>
      <x:c r="R113" s="8" t="str">
        <x:v>NOT RUN</x:v>
      </x:c>
      <x:c r="S113" s="11" t="str">
        <x:v>QA/UAT — cần điền URL/build</x:v>
      </x:c>
      <x:c r="T113" s="11" t="str">
        <x:v>Cần điền phiên bản thực</x:v>
      </x:c>
      <x:c r="U113" s="11" t="str"/>
      <x:c r="V113" s="12" t="str"/>
      <x:c r="W113" s="11" t="str"/>
      <x:c r="X113" s="11" t="str"/>
      <x:c r="Y113" s="3" t="str">
        <x:v>Nguồn: backend/src/modules/cms/cms.routes.ts. </x:v>
      </x:c>
    </x:row>
    <x:row r="114" ht="36" customHeight="1">
      <x:c r="A114" s="3" t="n">
        <x:v>113</x:v>
      </x:c>
      <x:c r="B114" s="3" t="str">
        <x:v>TC_SECURITY_006</x:v>
      </x:c>
      <x:c r="C114" s="3" t="str">
        <x:v>SECURITY</x:v>
      </x:c>
      <x:c r="D114" s="3" t="str">
        <x:v>Kiểm thử an toàn</x:v>
      </x:c>
      <x:c r="E114" s="3" t="str">
        <x:v>Kiểm thử an toàn</x:v>
      </x:c>
      <x:c r="F114" s="3" t="str">
        <x:v>Security — SSRF file proxy</x:v>
      </x:c>
      <x:c r="G114" s="3" t="str">
        <x:v>SSRF file proxy</x:v>
      </x:c>
      <x:c r="H114" s="3" t="str">
        <x:v>NFR-001</x:v>
      </x:c>
      <x:c r="I114" s="3" t="str">
        <x:v>QTV có quyền tương ứng</x:v>
      </x:c>
      <x:c r="J114" s="3" t="str">
        <x:v>Security</x:v>
      </x:c>
      <x:c r="K114" s="3" t="str">
        <x:v>High</x:v>
      </x:c>
      <x:c r="L114" s="3" t="str">
        <x:v>High</x:v>
      </x:c>
      <x:c r="M114" s="3" t="str">
        <x:v>QA cô lập; fixture giả; chỉ payload canary không phá hủy/không exfiltrate; có quyền xem DB QA.</x:v>
      </x:c>
      <x:c r="N114" s="3" t="str">
        <x:v>Dữ liệu QA tổng hợp; xem fixture trong README.</x:v>
      </x:c>
      <x:c r="O114" s="3" t="str">
        <x:v>1. GET /api/resources/file?url=http://127.0.0.1/qa</x:v>
      </x:c>
      <x:c r="P114" s="3" t="str">
        <x:v>HTTP403; không fetch địa chỉ tùy ý.</x:v>
      </x:c>
      <x:c r="Q114" s="11" t="str"/>
      <x:c r="R114" s="8" t="str">
        <x:v>NOT RUN</x:v>
      </x:c>
      <x:c r="S114" s="11" t="str">
        <x:v>QA/UAT — cần điền URL/build</x:v>
      </x:c>
      <x:c r="T114" s="11" t="str">
        <x:v>Cần điền phiên bản thực</x:v>
      </x:c>
      <x:c r="U114" s="11" t="str"/>
      <x:c r="V114" s="12" t="str"/>
      <x:c r="W114" s="11" t="str"/>
      <x:c r="X114" s="11" t="str"/>
      <x:c r="Y114" s="3" t="str">
        <x:v>Nguồn: frontend/src/app/api/resources/file/route.ts. </x:v>
      </x:c>
    </x:row>
    <x:row r="115" ht="36" customHeight="1">
      <x:c r="A115" s="3" t="n">
        <x:v>114</x:v>
      </x:c>
      <x:c r="B115" s="3" t="str">
        <x:v>TC_SECURITY_007</x:v>
      </x:c>
      <x:c r="C115" s="3" t="str">
        <x:v>SECURITY</x:v>
      </x:c>
      <x:c r="D115" s="3" t="str">
        <x:v>Kiểm thử an toàn</x:v>
      </x:c>
      <x:c r="E115" s="3" t="str">
        <x:v>Kiểm thử an toàn</x:v>
      </x:c>
      <x:c r="F115" s="3" t="str">
        <x:v>Security — Header injection tên tải</x:v>
      </x:c>
      <x:c r="G115" s="3" t="str">
        <x:v>Header injection tên tải</x:v>
      </x:c>
      <x:c r="H115" s="3" t="str">
        <x:v>NFR-001</x:v>
      </x:c>
      <x:c r="I115" s="3" t="str">
        <x:v>QTV có quyền tương ứng</x:v>
      </x:c>
      <x:c r="J115" s="3" t="str">
        <x:v>Security</x:v>
      </x:c>
      <x:c r="K115" s="3" t="str">
        <x:v>High</x:v>
      </x:c>
      <x:c r="L115" s="3" t="str">
        <x:v>High</x:v>
      </x:c>
      <x:c r="M115" s="3" t="str">
        <x:v>QA cô lập; fixture giả; chỉ payload canary không phá hủy/không exfiltrate; có quyền xem DB QA.</x:v>
      </x:c>
      <x:c r="N115" s="3" t="str">
        <x:v>Dữ liệu QA tổng hợp; xem fixture trong README.</x:v>
      </x:c>
      <x:c r="O115" s="3" t="str">
        <x:v>1. Gửi name chứa CR LF và dấu nháy vào file proxy</x:v>
      </x:c>
      <x:c r="P115" s="3" t="str">
        <x:v>Tên được thay ký tự nguy hiểm, không chèn response header.</x:v>
      </x:c>
      <x:c r="Q115" s="11" t="str"/>
      <x:c r="R115" s="8" t="str">
        <x:v>NOT RUN</x:v>
      </x:c>
      <x:c r="S115" s="11" t="str">
        <x:v>QA/UAT — cần điền URL/build</x:v>
      </x:c>
      <x:c r="T115" s="11" t="str">
        <x:v>Cần điền phiên bản thực</x:v>
      </x:c>
      <x:c r="U115" s="11" t="str"/>
      <x:c r="V115" s="12" t="str"/>
      <x:c r="W115" s="11" t="str"/>
      <x:c r="X115" s="11" t="str"/>
      <x:c r="Y115" s="3" t="str">
        <x:v>Nguồn: frontend/src/app/api/resources/file/route.ts. </x:v>
      </x:c>
    </x:row>
    <x:row r="116" ht="36" customHeight="1">
      <x:c r="A116" s="3" t="n">
        <x:v>115</x:v>
      </x:c>
      <x:c r="B116" s="3" t="str">
        <x:v>TC_SECURITY_008</x:v>
      </x:c>
      <x:c r="C116" s="3" t="str">
        <x:v>SECURITY</x:v>
      </x:c>
      <x:c r="D116" s="3" t="str">
        <x:v>Kiểm thử an toàn</x:v>
      </x:c>
      <x:c r="E116" s="3" t="str">
        <x:v>Kiểm thử an toàn</x:v>
      </x:c>
      <x:c r="F116" s="3" t="str">
        <x:v>Security — Cookie production</x:v>
      </x:c>
      <x:c r="G116" s="3" t="str">
        <x:v>Cookie production</x:v>
      </x:c>
      <x:c r="H116" s="3" t="str">
        <x:v>NFR-001</x:v>
      </x:c>
      <x:c r="I116" s="3" t="str">
        <x:v>QTV có quyền tương ứng</x:v>
      </x:c>
      <x:c r="J116" s="3" t="str">
        <x:v>Security</x:v>
      </x:c>
      <x:c r="K116" s="3" t="str">
        <x:v>High</x:v>
      </x:c>
      <x:c r="L116" s="3" t="str">
        <x:v>High</x:v>
      </x:c>
      <x:c r="M116" s="3" t="str">
        <x:v>QA cô lập; fixture giả; chỉ payload canary không phá hủy/không exfiltrate; có quyền xem DB QA.</x:v>
      </x:c>
      <x:c r="N116" s="3" t="str">
        <x:v>Dữ liệu QA tổng hợp; xem fixture trong README.</x:v>
      </x:c>
      <x:c r="O116" s="3" t="str">
        <x:v>1. Đăng nhập QA production HTTPS
2. Đọc thuộc tính Set-Cookie</x:v>
      </x:c>
      <x:c r="P116" s="3" t="str">
        <x:v>HttpOnly, Secure, SameSite=Strict, Path=/; không truy cập token qua document.cookie.</x:v>
      </x:c>
      <x:c r="Q116" s="11" t="str"/>
      <x:c r="R116" s="8" t="str">
        <x:v>NOT RUN</x:v>
      </x:c>
      <x:c r="S116" s="11" t="str">
        <x:v>QA/UAT — cần điền URL/build</x:v>
      </x:c>
      <x:c r="T116" s="11" t="str">
        <x:v>Cần điền phiên bản thực</x:v>
      </x:c>
      <x:c r="U116" s="11" t="str"/>
      <x:c r="V116" s="12" t="str"/>
      <x:c r="W116" s="11" t="str"/>
      <x:c r="X116" s="11" t="str"/>
      <x:c r="Y116" s="3" t="str">
        <x:v>Nguồn: admin/src/lib/auth/session.ts. </x:v>
      </x:c>
    </x:row>
    <x:row r="117" ht="36" customHeight="1">
      <x:c r="A117" s="3" t="n">
        <x:v>116</x:v>
      </x:c>
      <x:c r="B117" s="3" t="str">
        <x:v>TC_SECURITY_009</x:v>
      </x:c>
      <x:c r="C117" s="3" t="str">
        <x:v>SECURITY</x:v>
      </x:c>
      <x:c r="D117" s="3" t="str">
        <x:v>Kiểm thử an toàn</x:v>
      </x:c>
      <x:c r="E117" s="3" t="str">
        <x:v>Kiểm thử an toàn</x:v>
      </x:c>
      <x:c r="F117" s="3" t="str">
        <x:v>Security — Hash trong DB</x:v>
      </x:c>
      <x:c r="G117" s="3" t="str">
        <x:v>Hash trong DB</x:v>
      </x:c>
      <x:c r="H117" s="3" t="str">
        <x:v>NFR-001</x:v>
      </x:c>
      <x:c r="I117" s="3" t="str">
        <x:v>QTV có quyền tương ứng</x:v>
      </x:c>
      <x:c r="J117" s="3" t="str">
        <x:v>Security</x:v>
      </x:c>
      <x:c r="K117" s="3" t="str">
        <x:v>High</x:v>
      </x:c>
      <x:c r="L117" s="3" t="str">
        <x:v>High</x:v>
      </x:c>
      <x:c r="M117" s="3" t="str">
        <x:v>QA cô lập; fixture giả; chỉ payload canary không phá hủy/không exfiltrate; có quyền xem DB QA.</x:v>
      </x:c>
      <x:c r="N117" s="3" t="str">
        <x:v>Dữ liệu QA tổng hợp; xem fixture trong README.</x:v>
      </x:c>
      <x:c r="O117" s="3" t="str">
        <x:v>1. Đăng nhập và đọc DB QA với quyền kiểm thử</x:v>
      </x:c>
      <x:c r="P117" s="3" t="str">
        <x:v>Admin chứa Argon2id hash; Session tokenHash SHA256 64 ký tự; không lưu raw session token.</x:v>
      </x:c>
      <x:c r="Q117" s="11" t="str"/>
      <x:c r="R117" s="8" t="str">
        <x:v>NOT RUN</x:v>
      </x:c>
      <x:c r="S117" s="11" t="str">
        <x:v>QA/UAT — cần điền URL/build</x:v>
      </x:c>
      <x:c r="T117" s="11" t="str">
        <x:v>Cần điền phiên bản thực</x:v>
      </x:c>
      <x:c r="U117" s="11" t="str"/>
      <x:c r="V117" s="12" t="str"/>
      <x:c r="W117" s="11" t="str"/>
      <x:c r="X117" s="11" t="str"/>
      <x:c r="Y117" s="3" t="str">
        <x:v>Nguồn: backend/prisma/schema.prisma. </x:v>
      </x:c>
    </x:row>
    <x:row r="118" ht="36" customHeight="1">
      <x:c r="A118" s="3" t="n">
        <x:v>117</x:v>
      </x:c>
      <x:c r="B118" s="3" t="str">
        <x:v>TC_SECURITY_010</x:v>
      </x:c>
      <x:c r="C118" s="3" t="str">
        <x:v>SECURITY</x:v>
      </x:c>
      <x:c r="D118" s="3" t="str">
        <x:v>Kiểm thử an toàn</x:v>
      </x:c>
      <x:c r="E118" s="3" t="str">
        <x:v>Kiểm thử an toàn</x:v>
      </x:c>
      <x:c r="F118" s="3" t="str">
        <x:v>Security — CORS lạ</x:v>
      </x:c>
      <x:c r="G118" s="3" t="str">
        <x:v>CORS lạ</x:v>
      </x:c>
      <x:c r="H118" s="3" t="str">
        <x:v>NFR-001</x:v>
      </x:c>
      <x:c r="I118" s="3" t="str">
        <x:v>QTV có quyền tương ứng</x:v>
      </x:c>
      <x:c r="J118" s="3" t="str">
        <x:v>Security</x:v>
      </x:c>
      <x:c r="K118" s="3" t="str">
        <x:v>High</x:v>
      </x:c>
      <x:c r="L118" s="3" t="str">
        <x:v>High</x:v>
      </x:c>
      <x:c r="M118" s="3" t="str">
        <x:v>QA cô lập; fixture giả; chỉ payload canary không phá hủy/không exfiltrate; có quyền xem DB QA.</x:v>
      </x:c>
      <x:c r="N118" s="3" t="str">
        <x:v>Dữ liệu QA tổng hợp; xem fixture trong README.</x:v>
      </x:c>
      <x:c r="O118" s="3" t="str">
        <x:v>1. OPTIONS/GET từ Origin https://qa-untrusted.example</x:v>
      </x:c>
      <x:c r="P118" s="3" t="str">
        <x:v>Không có Access-Control-Allow-Origin cho origin lạ; không cho credential đọc chéo origin.</x:v>
      </x:c>
      <x:c r="Q118" s="11" t="str"/>
      <x:c r="R118" s="8" t="str">
        <x:v>NOT RUN</x:v>
      </x:c>
      <x:c r="S118" s="11" t="str">
        <x:v>QA/UAT — cần điền URL/build</x:v>
      </x:c>
      <x:c r="T118" s="11" t="str">
        <x:v>Cần điền phiên bản thực</x:v>
      </x:c>
      <x:c r="U118" s="11" t="str"/>
      <x:c r="V118" s="12" t="str"/>
      <x:c r="W118" s="11" t="str"/>
      <x:c r="X118" s="11" t="str"/>
      <x:c r="Y118" s="3" t="str">
        <x:v>Nguồn: backend/src/app.ts. </x:v>
      </x:c>
    </x:row>
    <x:row r="119" ht="36" customHeight="1">
      <x:c r="A119" s="3" t="n">
        <x:v>118</x:v>
      </x:c>
      <x:c r="B119" s="3" t="str">
        <x:v>TC_SECURITY_011</x:v>
      </x:c>
      <x:c r="C119" s="3" t="str">
        <x:v>SECURITY</x:v>
      </x:c>
      <x:c r="D119" s="3" t="str">
        <x:v>Kiểm thử an toàn</x:v>
      </x:c>
      <x:c r="E119" s="3" t="str">
        <x:v>Kiểm thử an toàn</x:v>
      </x:c>
      <x:c r="F119" s="3" t="str">
        <x:v>Security — CSRF admin</x:v>
      </x:c>
      <x:c r="G119" s="3" t="str">
        <x:v>CSRF admin</x:v>
      </x:c>
      <x:c r="H119" s="3" t="str">
        <x:v>NFR-001</x:v>
      </x:c>
      <x:c r="I119" s="3" t="str">
        <x:v>QTV có quyền tương ứng</x:v>
      </x:c>
      <x:c r="J119" s="3" t="str">
        <x:v>Security</x:v>
      </x:c>
      <x:c r="K119" s="3" t="str">
        <x:v>Critical</x:v>
      </x:c>
      <x:c r="L119" s="3" t="str">
        <x:v>Critical</x:v>
      </x:c>
      <x:c r="M119" s="3" t="str">
        <x:v>QA cô lập; fixture giả; chỉ payload canary không phá hủy/không exfiltrate; có quyền xem DB QA.</x:v>
      </x:c>
      <x:c r="N119" s="3" t="str">
        <x:v>Dữ liệu QA tổng hợp; xem fixture trong README.</x:v>
      </x:c>
      <x:c r="O119" s="3" t="str">
        <x:v>1. Gửi mutation /api/admin/users từ Origin lạ trong production</x:v>
      </x:c>
      <x:c r="P119" s="3" t="str">
        <x:v>HTTP403 trước mutation; DB không đổi.</x:v>
      </x:c>
      <x:c r="Q119" s="11" t="str"/>
      <x:c r="R119" s="8" t="str">
        <x:v>NOT RUN</x:v>
      </x:c>
      <x:c r="S119" s="11" t="str">
        <x:v>QA/UAT — cần điền URL/build</x:v>
      </x:c>
      <x:c r="T119" s="11" t="str">
        <x:v>Cần điền phiên bản thực</x:v>
      </x:c>
      <x:c r="U119" s="11" t="str"/>
      <x:c r="V119" s="12" t="str"/>
      <x:c r="W119" s="11" t="str"/>
      <x:c r="X119" s="11" t="str"/>
      <x:c r="Y119" s="3" t="str">
        <x:v>Nguồn: admin/src/lib/auth/request.ts. </x:v>
      </x:c>
    </x:row>
    <x:row r="120" ht="36" customHeight="1">
      <x:c r="A120" s="3" t="n">
        <x:v>119</x:v>
      </x:c>
      <x:c r="B120" s="3" t="str">
        <x:v>TC_SECURITY_012</x:v>
      </x:c>
      <x:c r="C120" s="3" t="str">
        <x:v>SECURITY</x:v>
      </x:c>
      <x:c r="D120" s="3" t="str">
        <x:v>Kiểm thử an toàn</x:v>
      </x:c>
      <x:c r="E120" s="3" t="str">
        <x:v>Kiểm thử an toàn</x:v>
      </x:c>
      <x:c r="F120" s="3" t="str">
        <x:v>Security — CSRF không Origin</x:v>
      </x:c>
      <x:c r="G120" s="3" t="str">
        <x:v>CSRF không Origin</x:v>
      </x:c>
      <x:c r="H120" s="3" t="str">
        <x:v>NFR-001</x:v>
      </x:c>
      <x:c r="I120" s="3" t="str">
        <x:v>QTV có quyền tương ứng</x:v>
      </x:c>
      <x:c r="J120" s="3" t="str">
        <x:v>Security</x:v>
      </x:c>
      <x:c r="K120" s="3" t="str">
        <x:v>Critical</x:v>
      </x:c>
      <x:c r="L120" s="3" t="str">
        <x:v>Critical</x:v>
      </x:c>
      <x:c r="M120" s="3" t="str">
        <x:v>QA cô lập; fixture giả; chỉ payload canary không phá hủy/không exfiltrate; có quyền xem DB QA.</x:v>
      </x:c>
      <x:c r="N120" s="3" t="str">
        <x:v>Dữ liệu QA tổng hợp; xem fixture trong README.</x:v>
      </x:c>
      <x:c r="O120" s="3" t="str">
        <x:v>1. POST /api/admin/auth/change-password không Origin trên production</x:v>
      </x:c>
      <x:c r="P120" s="3" t="str">
        <x:v>HTTP403; không thay password.</x:v>
      </x:c>
      <x:c r="Q120" s="11" t="str"/>
      <x:c r="R120" s="8" t="str">
        <x:v>NOT RUN</x:v>
      </x:c>
      <x:c r="S120" s="11" t="str">
        <x:v>QA/UAT — cần điền URL/build</x:v>
      </x:c>
      <x:c r="T120" s="11" t="str">
        <x:v>Cần điền phiên bản thực</x:v>
      </x:c>
      <x:c r="U120" s="11" t="str"/>
      <x:c r="V120" s="12" t="str"/>
      <x:c r="W120" s="11" t="str"/>
      <x:c r="X120" s="11" t="str"/>
      <x:c r="Y120" s="3" t="str">
        <x:v>Nguồn: admin/src/lib/auth/request.ts. </x:v>
      </x:c>
    </x:row>
    <x:row r="121" ht="36" customHeight="1">
      <x:c r="A121" s="3" t="n">
        <x:v>120</x:v>
      </x:c>
      <x:c r="B121" s="3" t="str">
        <x:v>TC_SECURITY_013</x:v>
      </x:c>
      <x:c r="C121" s="3" t="str">
        <x:v>SECURITY</x:v>
      </x:c>
      <x:c r="D121" s="3" t="str">
        <x:v>Kiểm thử an toàn</x:v>
      </x:c>
      <x:c r="E121" s="3" t="str">
        <x:v>Kiểm thử an toàn</x:v>
      </x:c>
      <x:c r="F121" s="3" t="str">
        <x:v>Security — Mass assignment</x:v>
      </x:c>
      <x:c r="G121" s="3" t="str">
        <x:v>Mass assignment</x:v>
      </x:c>
      <x:c r="H121" s="3" t="str">
        <x:v>NFR-001</x:v>
      </x:c>
      <x:c r="I121" s="3" t="str">
        <x:v>QTV có quyền tương ứng</x:v>
      </x:c>
      <x:c r="J121" s="3" t="str">
        <x:v>Security</x:v>
      </x:c>
      <x:c r="K121" s="3" t="str">
        <x:v>Critical</x:v>
      </x:c>
      <x:c r="L121" s="3" t="str">
        <x:v>Critical</x:v>
      </x:c>
      <x:c r="M121" s="3" t="str">
        <x:v>QA cô lập; fixture giả; chỉ payload canary không phá hủy/không exfiltrate; có quyền xem DB QA.</x:v>
      </x:c>
      <x:c r="N121" s="3" t="str">
        <x:v>Dữ liệu QA tổng hợp; xem fixture trong README.</x:v>
      </x:c>
      <x:c r="O121" s="3" t="str">
        <x:v>1. PATCH profile thêm roleId, status, mustChangePassword
2. Đọc DB</x:v>
      </x:c>
      <x:c r="P121" s="3" t="str">
        <x:v>Không nâng role, không đổi status/cờ; chỉ trường schema profile được cập nhật.</x:v>
      </x:c>
      <x:c r="Q121" s="11" t="str"/>
      <x:c r="R121" s="8" t="str">
        <x:v>NOT RUN</x:v>
      </x:c>
      <x:c r="S121" s="11" t="str">
        <x:v>QA/UAT — cần điền URL/build</x:v>
      </x:c>
      <x:c r="T121" s="11" t="str">
        <x:v>Cần điền phiên bản thực</x:v>
      </x:c>
      <x:c r="U121" s="11" t="str"/>
      <x:c r="V121" s="12" t="str"/>
      <x:c r="W121" s="11" t="str"/>
      <x:c r="X121" s="11" t="str"/>
      <x:c r="Y121" s="3" t="str">
        <x:v>Nguồn: admin/src/lib/auth/schemas.ts. </x:v>
      </x:c>
    </x:row>
    <x:row r="122" ht="36" customHeight="1">
      <x:c r="A122" s="3" t="n">
        <x:v>121</x:v>
      </x:c>
      <x:c r="B122" s="3" t="str">
        <x:v>TC_SECURITY_014</x:v>
      </x:c>
      <x:c r="C122" s="3" t="str">
        <x:v>SECURITY</x:v>
      </x:c>
      <x:c r="D122" s="3" t="str">
        <x:v>Kiểm thử an toàn</x:v>
      </x:c>
      <x:c r="E122" s="3" t="str">
        <x:v>Kiểm thử an toàn</x:v>
      </x:c>
      <x:c r="F122" s="3" t="str">
        <x:v>Security — Password hash response</x:v>
      </x:c>
      <x:c r="G122" s="3" t="str">
        <x:v>Password hash response</x:v>
      </x:c>
      <x:c r="H122" s="3" t="str">
        <x:v>NFR-001</x:v>
      </x:c>
      <x:c r="I122" s="3" t="str">
        <x:v>QTV có quyền tương ứng</x:v>
      </x:c>
      <x:c r="J122" s="3" t="str">
        <x:v>Security</x:v>
      </x:c>
      <x:c r="K122" s="3" t="str">
        <x:v>High</x:v>
      </x:c>
      <x:c r="L122" s="3" t="str">
        <x:v>High</x:v>
      </x:c>
      <x:c r="M122" s="3" t="str">
        <x:v>QA cô lập; fixture giả; chỉ payload canary không phá hủy/không exfiltrate; có quyền xem DB QA.</x:v>
      </x:c>
      <x:c r="N122" s="3" t="str">
        <x:v>Dữ liệu QA tổng hợp; xem fixture trong README.</x:v>
      </x:c>
      <x:c r="O122" s="3" t="str">
        <x:v>1. GET users, users/{id}, auth/me bằng role hợp lệ</x:v>
      </x:c>
      <x:c r="P122" s="3" t="str">
        <x:v>Không có passwordHash, tokenHash hoặc reset token trong JSON.</x:v>
      </x:c>
      <x:c r="Q122" s="11" t="str"/>
      <x:c r="R122" s="8" t="str">
        <x:v>NOT RUN</x:v>
      </x:c>
      <x:c r="S122" s="11" t="str">
        <x:v>QA/UAT — cần điền URL/build</x:v>
      </x:c>
      <x:c r="T122" s="11" t="str">
        <x:v>Cần điền phiên bản thực</x:v>
      </x:c>
      <x:c r="U122" s="11" t="str"/>
      <x:c r="V122" s="12" t="str"/>
      <x:c r="W122" s="11" t="str"/>
      <x:c r="X122" s="11" t="str"/>
      <x:c r="Y122" s="3" t="str">
        <x:v>Nguồn: admin/src/app/api/admin/users/route.ts. </x:v>
      </x:c>
    </x:row>
    <x:row r="123" ht="36" customHeight="1">
      <x:c r="A123" s="3" t="n">
        <x:v>122</x:v>
      </x:c>
      <x:c r="B123" s="3" t="str">
        <x:v>TC_SECURITY_015</x:v>
      </x:c>
      <x:c r="C123" s="3" t="str">
        <x:v>SECURITY</x:v>
      </x:c>
      <x:c r="D123" s="3" t="str">
        <x:v>Kiểm thử an toàn</x:v>
      </x:c>
      <x:c r="E123" s="3" t="str">
        <x:v>Kiểm thử an toàn</x:v>
      </x:c>
      <x:c r="F123" s="3" t="str">
        <x:v>Security — Storage error leak</x:v>
      </x:c>
      <x:c r="G123" s="3" t="str">
        <x:v>Storage error leak</x:v>
      </x:c>
      <x:c r="H123" s="3" t="str">
        <x:v>NFR-001</x:v>
      </x:c>
      <x:c r="I123" s="3" t="str">
        <x:v>QTV có quyền tương ứng</x:v>
      </x:c>
      <x:c r="J123" s="3" t="str">
        <x:v>Security</x:v>
      </x:c>
      <x:c r="K123" s="3" t="str">
        <x:v>High</x:v>
      </x:c>
      <x:c r="L123" s="3" t="str">
        <x:v>High</x:v>
      </x:c>
      <x:c r="M123" s="3" t="str">
        <x:v>QA cô lập; fixture giả; chỉ payload canary không phá hủy/không exfiltrate; có quyền xem DB QA.</x:v>
      </x:c>
      <x:c r="N123" s="3" t="str">
        <x:v>Dữ liệu QA tổng hợp; xem fixture trong README.</x:v>
      </x:c>
      <x:c r="O123" s="3" t="str">
        <x:v>1. Mock lỗi MinIO chứa host nội bộ trong message
2. Upload resource</x:v>
      </x:c>
      <x:c r="P123" s="3" t="str">
        <x:v>Response không tiết lộ host/credential/stack; ghi bug nếu interpolation detail lộ thông tin.</x:v>
      </x:c>
      <x:c r="Q123" s="11" t="str"/>
      <x:c r="R123" s="8" t="str">
        <x:v>NOT RUN</x:v>
      </x:c>
      <x:c r="S123" s="11" t="str">
        <x:v>QA/UAT — cần điền URL/build</x:v>
      </x:c>
      <x:c r="T123" s="11" t="str">
        <x:v>Cần điền phiên bản thực</x:v>
      </x:c>
      <x:c r="U123" s="11" t="str"/>
      <x:c r="V123" s="12" t="str"/>
      <x:c r="W123" s="11" t="str"/>
      <x:c r="X123" s="11" t="str"/>
      <x:c r="Y123" s="3" t="str">
        <x:v>Nguồn: admin/src/app/api/cms/upload-resource/route.ts. </x:v>
      </x:c>
    </x:row>
    <x:row r="124" ht="49" customHeight="1">
      <x:c r="A124" s="3" t="n">
        <x:v>123</x:v>
      </x:c>
      <x:c r="B124" s="3" t="str">
        <x:v>TC_SECURITY_016</x:v>
      </x:c>
      <x:c r="C124" s="3" t="str">
        <x:v>SECURITY</x:v>
      </x:c>
      <x:c r="D124" s="3" t="str">
        <x:v>Kiểm thử an toàn</x:v>
      </x:c>
      <x:c r="E124" s="3" t="str">
        <x:v>Kiểm thử an toàn</x:v>
      </x:c>
      <x:c r="F124" s="3" t="str">
        <x:v>Security — Role thay đổi tức thì</x:v>
      </x:c>
      <x:c r="G124" s="3" t="str">
        <x:v>Role thay đổi tức thì</x:v>
      </x:c>
      <x:c r="H124" s="3" t="str">
        <x:v>NFR-001</x:v>
      </x:c>
      <x:c r="I124" s="3" t="str">
        <x:v>QTV có quyền tương ứng</x:v>
      </x:c>
      <x:c r="J124" s="3" t="str">
        <x:v>Security</x:v>
      </x:c>
      <x:c r="K124" s="3" t="str">
        <x:v>Critical</x:v>
      </x:c>
      <x:c r="L124" s="3" t="str">
        <x:v>Critical</x:v>
      </x:c>
      <x:c r="M124" s="3" t="str">
        <x:v>QA cô lập; fixture giả; chỉ payload canary không phá hủy/không exfiltrate; có quyền xem DB QA.</x:v>
      </x:c>
      <x:c r="N124" s="3" t="str">
        <x:v>Dữ liệu QA tổng hợp; xem fixture trong README.</x:v>
      </x:c>
      <x:c r="O124" s="3" t="str">
        <x:v>1. Giữ cookie cấp quyền news.delete
2. Thu hồi quyền DB QA
3. Gọi DELETE news</x:v>
      </x:c>
      <x:c r="P124" s="3" t="str">
        <x:v>403 ở request sau khi quyền thu hồi; không chỉ dựa permission cache trên UI.</x:v>
      </x:c>
      <x:c r="Q124" s="11" t="str"/>
      <x:c r="R124" s="8" t="str">
        <x:v>NOT RUN</x:v>
      </x:c>
      <x:c r="S124" s="11" t="str">
        <x:v>QA/UAT — cần điền URL/build</x:v>
      </x:c>
      <x:c r="T124" s="11" t="str">
        <x:v>Cần điền phiên bản thực</x:v>
      </x:c>
      <x:c r="U124" s="11" t="str"/>
      <x:c r="V124" s="12" t="str"/>
      <x:c r="W124" s="11" t="str"/>
      <x:c r="X124" s="11" t="str"/>
      <x:c r="Y124" s="3" t="str">
        <x:v>Nguồn: backend/src/modules/cms/cms.routes.ts. </x:v>
      </x:c>
    </x:row>
    <x:row r="125" ht="36" customHeight="1">
      <x:c r="A125" s="3" t="n">
        <x:v>124</x:v>
      </x:c>
      <x:c r="B125" s="3" t="str">
        <x:v>TC_SECURITY_017</x:v>
      </x:c>
      <x:c r="C125" s="3" t="str">
        <x:v>SECURITY</x:v>
      </x:c>
      <x:c r="D125" s="3" t="str">
        <x:v>Kiểm thử an toàn</x:v>
      </x:c>
      <x:c r="E125" s="3" t="str">
        <x:v>Kiểm thử an toàn</x:v>
      </x:c>
      <x:c r="F125" s="3" t="str">
        <x:v>Security — Đổi role qua PATCH tổng quát</x:v>
      </x:c>
      <x:c r="G125" s="3" t="str">
        <x:v>Đổi role qua PATCH tổng quát</x:v>
      </x:c>
      <x:c r="H125" s="3" t="str">
        <x:v>NFR-001</x:v>
      </x:c>
      <x:c r="I125" s="3" t="str">
        <x:v>QTV có quyền tương ứng</x:v>
      </x:c>
      <x:c r="J125" s="3" t="str">
        <x:v>Security</x:v>
      </x:c>
      <x:c r="K125" s="3" t="str">
        <x:v>Critical</x:v>
      </x:c>
      <x:c r="L125" s="3" t="str">
        <x:v>Critical</x:v>
      </x:c>
      <x:c r="M125" s="3" t="str">
        <x:v>QA cô lập; fixture giả; chỉ payload canary không phá hủy/không exfiltrate; có quyền xem DB QA.</x:v>
      </x:c>
      <x:c r="N125" s="3" t="str">
        <x:v>Dữ liệu QA tổng hợp; xem fixture trong README.</x:v>
      </x:c>
      <x:c r="O125" s="3" t="str">
        <x:v>1. Đặt một Super Admin cuối
2. PATCH /api/admin/users/{id} với roleCode cấp2</x:v>
      </x:c>
      <x:c r="P125" s="3" t="str">
        <x:v>Phải bảo toàn ít nhất1 Super Admin như route role riêng; ghi defect nếu PATCH tổng quát bỏ qua.</x:v>
      </x:c>
      <x:c r="Q125" s="11" t="str"/>
      <x:c r="R125" s="8" t="str">
        <x:v>NOT RUN</x:v>
      </x:c>
      <x:c r="S125" s="11" t="str">
        <x:v>QA/UAT — cần điền URL/build</x:v>
      </x:c>
      <x:c r="T125" s="11" t="str">
        <x:v>Cần điền phiên bản thực</x:v>
      </x:c>
      <x:c r="U125" s="11" t="str"/>
      <x:c r="V125" s="12" t="str"/>
      <x:c r="W125" s="11" t="str"/>
      <x:c r="X125" s="11" t="str"/>
      <x:c r="Y125" s="3" t="str">
        <x:v>Nguồn: admin/src/app/api/admin/users/[id]/route.ts. </x:v>
      </x:c>
    </x:row>
    <x:row r="126" ht="36" customHeight="1">
      <x:c r="A126" s="3" t="n">
        <x:v>125</x:v>
      </x:c>
      <x:c r="B126" s="3" t="str">
        <x:v>TC_SECURITY_018</x:v>
      </x:c>
      <x:c r="C126" s="3" t="str">
        <x:v>SECURITY</x:v>
      </x:c>
      <x:c r="D126" s="3" t="str">
        <x:v>Kiểm thử an toàn</x:v>
      </x:c>
      <x:c r="E126" s="3" t="str">
        <x:v>Kiểm thử an toàn</x:v>
      </x:c>
      <x:c r="F126" s="3" t="str">
        <x:v>Security — Reset token đồng thời</x:v>
      </x:c>
      <x:c r="G126" s="3" t="str">
        <x:v>Reset token đồng thời</x:v>
      </x:c>
      <x:c r="H126" s="3" t="str">
        <x:v>NFR-001</x:v>
      </x:c>
      <x:c r="I126" s="3" t="str">
        <x:v>QTV có quyền tương ứng</x:v>
      </x:c>
      <x:c r="J126" s="3" t="str">
        <x:v>Security</x:v>
      </x:c>
      <x:c r="K126" s="3" t="str">
        <x:v>Critical</x:v>
      </x:c>
      <x:c r="L126" s="3" t="str">
        <x:v>Critical</x:v>
      </x:c>
      <x:c r="M126" s="3" t="str">
        <x:v>QA cô lập; fixture giả; chỉ payload canary không phá hủy/không exfiltrate; có quyền xem DB QA.</x:v>
      </x:c>
      <x:c r="N126" s="3" t="str">
        <x:v>Dữ liệu QA tổng hợp; xem fixture trong README.</x:v>
      </x:c>
      <x:c r="O126" s="3" t="str">
        <x:v>1. Gửi đồng thời2 request reset cùng token nhưng password khác trên QA</x:v>
      </x:c>
      <x:c r="P126" s="3" t="str">
        <x:v>Tối đa1 request tiêu thụ token thành công; lần còn lại từ chối; ghi defect race nếu cả2 đổi mật khẩu.</x:v>
      </x:c>
      <x:c r="Q126" s="11" t="str"/>
      <x:c r="R126" s="8" t="str">
        <x:v>NOT RUN</x:v>
      </x:c>
      <x:c r="S126" s="11" t="str">
        <x:v>QA/UAT — cần điền URL/build</x:v>
      </x:c>
      <x:c r="T126" s="11" t="str">
        <x:v>Cần điền phiên bản thực</x:v>
      </x:c>
      <x:c r="U126" s="11" t="str"/>
      <x:c r="V126" s="12" t="str"/>
      <x:c r="W126" s="11" t="str"/>
      <x:c r="X126" s="11" t="str"/>
      <x:c r="Y126" s="3" t="str">
        <x:v>Nguồn: admin/src/app/api/admin/auth/reset-password/route.ts. </x:v>
      </x:c>
    </x:row>
    <x:row r="127" ht="49" customHeight="1">
      <x:c r="A127" s="3" t="n">
        <x:v>126</x:v>
      </x:c>
      <x:c r="B127" s="3" t="str">
        <x:v>TC_AUTH_050</x:v>
      </x:c>
      <x:c r="C127" s="3" t="str">
        <x:v>AUTH</x:v>
      </x:c>
      <x:c r="D127" s="3" t="str">
        <x:v>Rate limit</x:v>
      </x:c>
      <x:c r="E127" s="3" t="str">
        <x:v>Rate limit</x:v>
      </x:c>
      <x:c r="F127" s="3" t="str">
        <x:v>Boundary — ADMIN /api/admin/auth/login: request thứ 19</x:v>
      </x:c>
      <x:c r="G127" s="3" t="str">
        <x:v>ADMIN /api/admin/auth/login: request thứ 19</x:v>
      </x:c>
      <x:c r="H127" s="3" t="str">
        <x:v>NFR-001</x:v>
      </x:c>
      <x:c r="I127" s="3" t="str">
        <x:v>QTV có quyền tương ứng</x:v>
      </x:c>
      <x:c r="J127" s="3" t="str">
        <x:v>Boundary</x:v>
      </x:c>
      <x:c r="K127" s="3" t="str">
        <x:v>High</x:v>
      </x:c>
      <x:c r="L127" s="3" t="str">
        <x:v>High</x:v>
      </x:c>
      <x:c r="M127" s="3" t="str">
        <x:v>Môi trường QA cô lập, DB/MinIO sẵn sàng; dữ liệu fixture đã tạo. Đăng nhập tài khoản ACTIVE, mustChangePassword=false.</x:v>
      </x:c>
      <x:c r="N127" s="3" t="str">
        <x:v>20 request/15 phút. Forgot cùng IP+email; login không đăng nhập thành công để không clear limiter.</x:v>
      </x:c>
      <x:c r="O127" s="3" t="str">
        <x:v>1. Reset cửa sổ rate-limit QA
2. Gửi 19 request cùng IP/key theo endpoint
3. Đọc response lần cuối</x:v>
      </x:c>
      <x:c r="P127" s="3" t="str">
        <x:v>Không bị 429 do ngưỡng; login dùng username khác để tránh account lock.</x:v>
      </x:c>
      <x:c r="Q127" s="11" t="str"/>
      <x:c r="R127" s="8" t="str">
        <x:v>NOT RUN</x:v>
      </x:c>
      <x:c r="S127" s="11" t="str">
        <x:v>QA/UAT — cần điền URL/build</x:v>
      </x:c>
      <x:c r="T127" s="11" t="str">
        <x:v>Cần điền phiên bản thực</x:v>
      </x:c>
      <x:c r="U127" s="11" t="str"/>
      <x:c r="V127" s="12" t="str"/>
      <x:c r="W127" s="11" t="str"/>
      <x:c r="X127" s="11" t="str"/>
      <x:c r="Y127" s="3" t="str">
        <x:v>Nguồn: admin/src/lib/auth/login-rate-limit.ts; backend/src/modules/consultations/consultations.routes.ts. </x:v>
      </x:c>
    </x:row>
    <x:row r="128" ht="49" customHeight="1">
      <x:c r="A128" s="3" t="n">
        <x:v>127</x:v>
      </x:c>
      <x:c r="B128" s="3" t="str">
        <x:v>TC_AUTH_051</x:v>
      </x:c>
      <x:c r="C128" s="3" t="str">
        <x:v>AUTH</x:v>
      </x:c>
      <x:c r="D128" s="3" t="str">
        <x:v>Rate limit</x:v>
      </x:c>
      <x:c r="E128" s="3" t="str">
        <x:v>Rate limit</x:v>
      </x:c>
      <x:c r="F128" s="3" t="str">
        <x:v>Boundary — ADMIN /api/admin/auth/login: request thứ 20</x:v>
      </x:c>
      <x:c r="G128" s="3" t="str">
        <x:v>ADMIN /api/admin/auth/login: request thứ 20</x:v>
      </x:c>
      <x:c r="H128" s="3" t="str">
        <x:v>NFR-001</x:v>
      </x:c>
      <x:c r="I128" s="3" t="str">
        <x:v>QTV có quyền tương ứng</x:v>
      </x:c>
      <x:c r="J128" s="3" t="str">
        <x:v>Boundary</x:v>
      </x:c>
      <x:c r="K128" s="3" t="str">
        <x:v>High</x:v>
      </x:c>
      <x:c r="L128" s="3" t="str">
        <x:v>High</x:v>
      </x:c>
      <x:c r="M128" s="3" t="str">
        <x:v>Môi trường QA cô lập, DB/MinIO sẵn sàng; dữ liệu fixture đã tạo. Đăng nhập tài khoản ACTIVE, mustChangePassword=false.</x:v>
      </x:c>
      <x:c r="N128" s="3" t="str">
        <x:v>20 request/15 phút. Forgot cùng IP+email; login không đăng nhập thành công để không clear limiter.</x:v>
      </x:c>
      <x:c r="O128" s="3" t="str">
        <x:v>1. Reset cửa sổ rate-limit QA
2. Gửi 20 request cùng IP/key theo endpoint
3. Đọc response lần cuối</x:v>
      </x:c>
      <x:c r="P128" s="3" t="str">
        <x:v>Không bị 429 do ngưỡng; login dùng username khác để tránh account lock.</x:v>
      </x:c>
      <x:c r="Q128" s="11" t="str"/>
      <x:c r="R128" s="8" t="str">
        <x:v>NOT RUN</x:v>
      </x:c>
      <x:c r="S128" s="11" t="str">
        <x:v>QA/UAT — cần điền URL/build</x:v>
      </x:c>
      <x:c r="T128" s="11" t="str">
        <x:v>Cần điền phiên bản thực</x:v>
      </x:c>
      <x:c r="U128" s="11" t="str"/>
      <x:c r="V128" s="12" t="str"/>
      <x:c r="W128" s="11" t="str"/>
      <x:c r="X128" s="11" t="str"/>
      <x:c r="Y128" s="3" t="str">
        <x:v>Nguồn: admin/src/lib/auth/login-rate-limit.ts; backend/src/modules/consultations/consultations.routes.ts. </x:v>
      </x:c>
    </x:row>
    <x:row r="129" ht="49" customHeight="1">
      <x:c r="A129" s="3" t="n">
        <x:v>128</x:v>
      </x:c>
      <x:c r="B129" s="3" t="str">
        <x:v>TC_AUTH_052</x:v>
      </x:c>
      <x:c r="C129" s="3" t="str">
        <x:v>AUTH</x:v>
      </x:c>
      <x:c r="D129" s="3" t="str">
        <x:v>Rate limit</x:v>
      </x:c>
      <x:c r="E129" s="3" t="str">
        <x:v>Rate limit</x:v>
      </x:c>
      <x:c r="F129" s="3" t="str">
        <x:v>Boundary — ADMIN /api/admin/auth/login: request thứ 21</x:v>
      </x:c>
      <x:c r="G129" s="3" t="str">
        <x:v>ADMIN /api/admin/auth/login: request thứ 21</x:v>
      </x:c>
      <x:c r="H129" s="3" t="str">
        <x:v>NFR-001</x:v>
      </x:c>
      <x:c r="I129" s="3" t="str">
        <x:v>QTV có quyền tương ứng</x:v>
      </x:c>
      <x:c r="J129" s="3" t="str">
        <x:v>Boundary</x:v>
      </x:c>
      <x:c r="K129" s="3" t="str">
        <x:v>High</x:v>
      </x:c>
      <x:c r="L129" s="3" t="str">
        <x:v>High</x:v>
      </x:c>
      <x:c r="M129" s="3" t="str">
        <x:v>Môi trường QA cô lập, DB/MinIO sẵn sàng; dữ liệu fixture đã tạo. Đăng nhập tài khoản ACTIVE, mustChangePassword=false.</x:v>
      </x:c>
      <x:c r="N129" s="3" t="str">
        <x:v>20 request/15 phút. Forgot cùng IP+email; login không đăng nhập thành công để không clear limiter.</x:v>
      </x:c>
      <x:c r="O129" s="3" t="str">
        <x:v>1. Reset cửa sổ rate-limit QA
2. Gửi 21 request cùng IP/key theo endpoint
3. Đọc response lần cuối</x:v>
      </x:c>
      <x:c r="P129" s="3" t="str">
        <x:v>HTTP429; request vượt ngưỡng không tạo bản ghi/phiên/token.</x:v>
      </x:c>
      <x:c r="Q129" s="11" t="str"/>
      <x:c r="R129" s="8" t="str">
        <x:v>NOT RUN</x:v>
      </x:c>
      <x:c r="S129" s="11" t="str">
        <x:v>QA/UAT — cần điền URL/build</x:v>
      </x:c>
      <x:c r="T129" s="11" t="str">
        <x:v>Cần điền phiên bản thực</x:v>
      </x:c>
      <x:c r="U129" s="11" t="str"/>
      <x:c r="V129" s="12" t="str"/>
      <x:c r="W129" s="11" t="str"/>
      <x:c r="X129" s="11" t="str"/>
      <x:c r="Y129" s="3" t="str">
        <x:v>Nguồn: admin/src/lib/auth/login-rate-limit.ts; backend/src/modules/consultations/consultations.routes.ts. </x:v>
      </x:c>
    </x:row>
    <x:row r="130" ht="49" customHeight="1">
      <x:c r="A130" s="3" t="n">
        <x:v>129</x:v>
      </x:c>
      <x:c r="B130" s="3" t="str">
        <x:v>TC_AUTH_053</x:v>
      </x:c>
      <x:c r="C130" s="3" t="str">
        <x:v>AUTH</x:v>
      </x:c>
      <x:c r="D130" s="3" t="str">
        <x:v>Rate limit</x:v>
      </x:c>
      <x:c r="E130" s="3" t="str">
        <x:v>Rate limit</x:v>
      </x:c>
      <x:c r="F130" s="3" t="str">
        <x:v>Boundary — ADMIN /api/admin/auth/forgot-password: request thứ 4</x:v>
      </x:c>
      <x:c r="G130" s="3" t="str">
        <x:v>ADMIN /api/admin/auth/forgot-password: request thứ 4</x:v>
      </x:c>
      <x:c r="H130" s="3" t="str">
        <x:v>NFR-001</x:v>
      </x:c>
      <x:c r="I130" s="3" t="str">
        <x:v>QTV có quyền tương ứng</x:v>
      </x:c>
      <x:c r="J130" s="3" t="str">
        <x:v>Boundary</x:v>
      </x:c>
      <x:c r="K130" s="3" t="str">
        <x:v>High</x:v>
      </x:c>
      <x:c r="L130" s="3" t="str">
        <x:v>High</x:v>
      </x:c>
      <x:c r="M130" s="3" t="str">
        <x:v>Môi trường QA cô lập, DB/MinIO sẵn sàng; dữ liệu fixture đã tạo. Đăng nhập tài khoản ACTIVE, mustChangePassword=false.</x:v>
      </x:c>
      <x:c r="N130" s="3" t="str">
        <x:v>5 request/15 phút. Forgot cùng IP+email; login không đăng nhập thành công để không clear limiter.</x:v>
      </x:c>
      <x:c r="O130" s="3" t="str">
        <x:v>1. Reset cửa sổ rate-limit QA
2. Gửi 4 request cùng IP/key theo endpoint
3. Đọc response lần cuối</x:v>
      </x:c>
      <x:c r="P130" s="3" t="str">
        <x:v>Không bị 429 do ngưỡng; login dùng username khác để tránh account lock.</x:v>
      </x:c>
      <x:c r="Q130" s="11" t="str"/>
      <x:c r="R130" s="8" t="str">
        <x:v>NOT RUN</x:v>
      </x:c>
      <x:c r="S130" s="11" t="str">
        <x:v>QA/UAT — cần điền URL/build</x:v>
      </x:c>
      <x:c r="T130" s="11" t="str">
        <x:v>Cần điền phiên bản thực</x:v>
      </x:c>
      <x:c r="U130" s="11" t="str"/>
      <x:c r="V130" s="12" t="str"/>
      <x:c r="W130" s="11" t="str"/>
      <x:c r="X130" s="11" t="str"/>
      <x:c r="Y130" s="3" t="str">
        <x:v>Nguồn: admin/src/lib/auth/login-rate-limit.ts; backend/src/modules/consultations/consultations.routes.ts. </x:v>
      </x:c>
    </x:row>
    <x:row r="131" ht="49" customHeight="1">
      <x:c r="A131" s="3" t="n">
        <x:v>130</x:v>
      </x:c>
      <x:c r="B131" s="3" t="str">
        <x:v>TC_AUTH_054</x:v>
      </x:c>
      <x:c r="C131" s="3" t="str">
        <x:v>AUTH</x:v>
      </x:c>
      <x:c r="D131" s="3" t="str">
        <x:v>Rate limit</x:v>
      </x:c>
      <x:c r="E131" s="3" t="str">
        <x:v>Rate limit</x:v>
      </x:c>
      <x:c r="F131" s="3" t="str">
        <x:v>Boundary — ADMIN /api/admin/auth/forgot-password: request thứ 5</x:v>
      </x:c>
      <x:c r="G131" s="3" t="str">
        <x:v>ADMIN /api/admin/auth/forgot-password: request thứ 5</x:v>
      </x:c>
      <x:c r="H131" s="3" t="str">
        <x:v>NFR-001</x:v>
      </x:c>
      <x:c r="I131" s="3" t="str">
        <x:v>QTV có quyền tương ứng</x:v>
      </x:c>
      <x:c r="J131" s="3" t="str">
        <x:v>Boundary</x:v>
      </x:c>
      <x:c r="K131" s="3" t="str">
        <x:v>High</x:v>
      </x:c>
      <x:c r="L131" s="3" t="str">
        <x:v>High</x:v>
      </x:c>
      <x:c r="M131" s="3" t="str">
        <x:v>Môi trường QA cô lập, DB/MinIO sẵn sàng; dữ liệu fixture đã tạo. Đăng nhập tài khoản ACTIVE, mustChangePassword=false.</x:v>
      </x:c>
      <x:c r="N131" s="3" t="str">
        <x:v>5 request/15 phút. Forgot cùng IP+email; login không đăng nhập thành công để không clear limiter.</x:v>
      </x:c>
      <x:c r="O131" s="3" t="str">
        <x:v>1. Reset cửa sổ rate-limit QA
2. Gửi 5 request cùng IP/key theo endpoint
3. Đọc response lần cuối</x:v>
      </x:c>
      <x:c r="P131" s="3" t="str">
        <x:v>Không bị 429 do ngưỡng; login dùng username khác để tránh account lock.</x:v>
      </x:c>
      <x:c r="Q131" s="11" t="str"/>
      <x:c r="R131" s="8" t="str">
        <x:v>NOT RUN</x:v>
      </x:c>
      <x:c r="S131" s="11" t="str">
        <x:v>QA/UAT — cần điền URL/build</x:v>
      </x:c>
      <x:c r="T131" s="11" t="str">
        <x:v>Cần điền phiên bản thực</x:v>
      </x:c>
      <x:c r="U131" s="11" t="str"/>
      <x:c r="V131" s="12" t="str"/>
      <x:c r="W131" s="11" t="str"/>
      <x:c r="X131" s="11" t="str"/>
      <x:c r="Y131" s="3" t="str">
        <x:v>Nguồn: admin/src/lib/auth/login-rate-limit.ts; backend/src/modules/consultations/consultations.routes.ts. </x:v>
      </x:c>
    </x:row>
    <x:row r="132" ht="49" customHeight="1">
      <x:c r="A132" s="3" t="n">
        <x:v>131</x:v>
      </x:c>
      <x:c r="B132" s="3" t="str">
        <x:v>TC_AUTH_055</x:v>
      </x:c>
      <x:c r="C132" s="3" t="str">
        <x:v>AUTH</x:v>
      </x:c>
      <x:c r="D132" s="3" t="str">
        <x:v>Rate limit</x:v>
      </x:c>
      <x:c r="E132" s="3" t="str">
        <x:v>Rate limit</x:v>
      </x:c>
      <x:c r="F132" s="3" t="str">
        <x:v>Boundary — ADMIN /api/admin/auth/forgot-password: request thứ 6</x:v>
      </x:c>
      <x:c r="G132" s="3" t="str">
        <x:v>ADMIN /api/admin/auth/forgot-password: request thứ 6</x:v>
      </x:c>
      <x:c r="H132" s="3" t="str">
        <x:v>NFR-001</x:v>
      </x:c>
      <x:c r="I132" s="3" t="str">
        <x:v>QTV có quyền tương ứng</x:v>
      </x:c>
      <x:c r="J132" s="3" t="str">
        <x:v>Boundary</x:v>
      </x:c>
      <x:c r="K132" s="3" t="str">
        <x:v>High</x:v>
      </x:c>
      <x:c r="L132" s="3" t="str">
        <x:v>High</x:v>
      </x:c>
      <x:c r="M132" s="3" t="str">
        <x:v>Môi trường QA cô lập, DB/MinIO sẵn sàng; dữ liệu fixture đã tạo. Đăng nhập tài khoản ACTIVE, mustChangePassword=false.</x:v>
      </x:c>
      <x:c r="N132" s="3" t="str">
        <x:v>5 request/15 phút. Forgot cùng IP+email; login không đăng nhập thành công để không clear limiter.</x:v>
      </x:c>
      <x:c r="O132" s="3" t="str">
        <x:v>1. Reset cửa sổ rate-limit QA
2. Gửi 6 request cùng IP/key theo endpoint
3. Đọc response lần cuối</x:v>
      </x:c>
      <x:c r="P132" s="3" t="str">
        <x:v>HTTP429; request vượt ngưỡng không tạo bản ghi/phiên/token.</x:v>
      </x:c>
      <x:c r="Q132" s="11" t="str"/>
      <x:c r="R132" s="8" t="str">
        <x:v>NOT RUN</x:v>
      </x:c>
      <x:c r="S132" s="11" t="str">
        <x:v>QA/UAT — cần điền URL/build</x:v>
      </x:c>
      <x:c r="T132" s="11" t="str">
        <x:v>Cần điền phiên bản thực</x:v>
      </x:c>
      <x:c r="U132" s="11" t="str"/>
      <x:c r="V132" s="12" t="str"/>
      <x:c r="W132" s="11" t="str"/>
      <x:c r="X132" s="11" t="str"/>
      <x:c r="Y132" s="3" t="str">
        <x:v>Nguồn: admin/src/lib/auth/login-rate-limit.ts; backend/src/modules/consultations/consultations.routes.ts. </x:v>
      </x:c>
    </x:row>
    <x:row r="133" ht="49" customHeight="1">
      <x:c r="A133" s="3" t="n">
        <x:v>132</x:v>
      </x:c>
      <x:c r="B133" s="3" t="str">
        <x:v>TC_CONSULT_089</x:v>
      </x:c>
      <x:c r="C133" s="3" t="str">
        <x:v>CONSULT</x:v>
      </x:c>
      <x:c r="D133" s="3" t="str">
        <x:v>Rate limit</x:v>
      </x:c>
      <x:c r="E133" s="3" t="str">
        <x:v>Rate limit</x:v>
      </x:c>
      <x:c r="F133" s="3" t="str">
        <x:v>Boundary — BACKEND /api/public/consultations: request thứ 4</x:v>
      </x:c>
      <x:c r="G133" s="3" t="str">
        <x:v>BACKEND /api/public/consultations: request thứ 4</x:v>
      </x:c>
      <x:c r="H133" s="3" t="str">
        <x:v>NFR-001</x:v>
      </x:c>
      <x:c r="I133" s="3" t="str">
        <x:v>Khách truy cập</x:v>
      </x:c>
      <x:c r="J133" s="3" t="str">
        <x:v>Boundary</x:v>
      </x:c>
      <x:c r="K133" s="3" t="str">
        <x:v>High</x:v>
      </x:c>
      <x:c r="L133" s="3" t="str">
        <x:v>High</x:v>
      </x:c>
      <x:c r="M133" s="3" t="str">
        <x:v>Môi trường QA cô lập, DB/MinIO sẵn sàng; dữ liệu fixture đã tạo. Không đăng nhập.</x:v>
      </x:c>
      <x:c r="N133" s="3" t="str">
        <x:v>5 request/10 phút. Forgot cùng IP+email; login không đăng nhập thành công để không clear limiter.</x:v>
      </x:c>
      <x:c r="O133" s="3" t="str">
        <x:v>1. Reset cửa sổ rate-limit QA
2. Gửi 4 request cùng IP/key theo endpoint
3. Đọc response lần cuối</x:v>
      </x:c>
      <x:c r="P133" s="3" t="str">
        <x:v>Không bị 429 do ngưỡng; login dùng username khác để tránh account lock.</x:v>
      </x:c>
      <x:c r="Q133" s="11" t="str"/>
      <x:c r="R133" s="8" t="str">
        <x:v>NOT RUN</x:v>
      </x:c>
      <x:c r="S133" s="11" t="str">
        <x:v>QA/UAT — cần điền URL/build</x:v>
      </x:c>
      <x:c r="T133" s="11" t="str">
        <x:v>Cần điền phiên bản thực</x:v>
      </x:c>
      <x:c r="U133" s="11" t="str"/>
      <x:c r="V133" s="12" t="str"/>
      <x:c r="W133" s="11" t="str"/>
      <x:c r="X133" s="11" t="str"/>
      <x:c r="Y133" s="3" t="str">
        <x:v>Nguồn: admin/src/lib/auth/login-rate-limit.ts; backend/src/modules/consultations/consultations.routes.ts. </x:v>
      </x:c>
    </x:row>
    <x:row r="134" ht="49" customHeight="1">
      <x:c r="A134" s="3" t="n">
        <x:v>133</x:v>
      </x:c>
      <x:c r="B134" s="3" t="str">
        <x:v>TC_CONSULT_090</x:v>
      </x:c>
      <x:c r="C134" s="3" t="str">
        <x:v>CONSULT</x:v>
      </x:c>
      <x:c r="D134" s="3" t="str">
        <x:v>Rate limit</x:v>
      </x:c>
      <x:c r="E134" s="3" t="str">
        <x:v>Rate limit</x:v>
      </x:c>
      <x:c r="F134" s="3" t="str">
        <x:v>Boundary — BACKEND /api/public/consultations: request thứ 5</x:v>
      </x:c>
      <x:c r="G134" s="3" t="str">
        <x:v>BACKEND /api/public/consultations: request thứ 5</x:v>
      </x:c>
      <x:c r="H134" s="3" t="str">
        <x:v>NFR-001</x:v>
      </x:c>
      <x:c r="I134" s="3" t="str">
        <x:v>Khách truy cập</x:v>
      </x:c>
      <x:c r="J134" s="3" t="str">
        <x:v>Boundary</x:v>
      </x:c>
      <x:c r="K134" s="3" t="str">
        <x:v>High</x:v>
      </x:c>
      <x:c r="L134" s="3" t="str">
        <x:v>High</x:v>
      </x:c>
      <x:c r="M134" s="3" t="str">
        <x:v>Môi trường QA cô lập, DB/MinIO sẵn sàng; dữ liệu fixture đã tạo. Không đăng nhập.</x:v>
      </x:c>
      <x:c r="N134" s="3" t="str">
        <x:v>5 request/10 phút. Forgot cùng IP+email; login không đăng nhập thành công để không clear limiter.</x:v>
      </x:c>
      <x:c r="O134" s="3" t="str">
        <x:v>1. Reset cửa sổ rate-limit QA
2. Gửi 5 request cùng IP/key theo endpoint
3. Đọc response lần cuối</x:v>
      </x:c>
      <x:c r="P134" s="3" t="str">
        <x:v>Không bị 429 do ngưỡng; login dùng username khác để tránh account lock.</x:v>
      </x:c>
      <x:c r="Q134" s="11" t="str"/>
      <x:c r="R134" s="8" t="str">
        <x:v>NOT RUN</x:v>
      </x:c>
      <x:c r="S134" s="11" t="str">
        <x:v>QA/UAT — cần điền URL/build</x:v>
      </x:c>
      <x:c r="T134" s="11" t="str">
        <x:v>Cần điền phiên bản thực</x:v>
      </x:c>
      <x:c r="U134" s="11" t="str"/>
      <x:c r="V134" s="12" t="str"/>
      <x:c r="W134" s="11" t="str"/>
      <x:c r="X134" s="11" t="str"/>
      <x:c r="Y134" s="3" t="str">
        <x:v>Nguồn: admin/src/lib/auth/login-rate-limit.ts; backend/src/modules/consultations/consultations.routes.ts. </x:v>
      </x:c>
    </x:row>
    <x:row r="135" ht="49" customHeight="1">
      <x:c r="A135" s="3" t="n">
        <x:v>134</x:v>
      </x:c>
      <x:c r="B135" s="3" t="str">
        <x:v>TC_CONSULT_091</x:v>
      </x:c>
      <x:c r="C135" s="3" t="str">
        <x:v>CONSULT</x:v>
      </x:c>
      <x:c r="D135" s="3" t="str">
        <x:v>Rate limit</x:v>
      </x:c>
      <x:c r="E135" s="3" t="str">
        <x:v>Rate limit</x:v>
      </x:c>
      <x:c r="F135" s="3" t="str">
        <x:v>Boundary — BACKEND /api/public/consultations: request thứ 6</x:v>
      </x:c>
      <x:c r="G135" s="3" t="str">
        <x:v>BACKEND /api/public/consultations: request thứ 6</x:v>
      </x:c>
      <x:c r="H135" s="3" t="str">
        <x:v>NFR-001</x:v>
      </x:c>
      <x:c r="I135" s="3" t="str">
        <x:v>Khách truy cập</x:v>
      </x:c>
      <x:c r="J135" s="3" t="str">
        <x:v>Boundary</x:v>
      </x:c>
      <x:c r="K135" s="3" t="str">
        <x:v>High</x:v>
      </x:c>
      <x:c r="L135" s="3" t="str">
        <x:v>High</x:v>
      </x:c>
      <x:c r="M135" s="3" t="str">
        <x:v>Môi trường QA cô lập, DB/MinIO sẵn sàng; dữ liệu fixture đã tạo. Không đăng nhập.</x:v>
      </x:c>
      <x:c r="N135" s="3" t="str">
        <x:v>5 request/10 phút. Forgot cùng IP+email; login không đăng nhập thành công để không clear limiter.</x:v>
      </x:c>
      <x:c r="O135" s="3" t="str">
        <x:v>1. Reset cửa sổ rate-limit QA
2. Gửi 6 request cùng IP/key theo endpoint
3. Đọc response lần cuối</x:v>
      </x:c>
      <x:c r="P135" s="3" t="str">
        <x:v>HTTP429; request vượt ngưỡng không tạo bản ghi/phiên/token.</x:v>
      </x:c>
      <x:c r="Q135" s="11" t="str"/>
      <x:c r="R135" s="8" t="str">
        <x:v>NOT RUN</x:v>
      </x:c>
      <x:c r="S135" s="11" t="str">
        <x:v>QA/UAT — cần điền URL/build</x:v>
      </x:c>
      <x:c r="T135" s="11" t="str">
        <x:v>Cần điền phiên bản thực</x:v>
      </x:c>
      <x:c r="U135" s="11" t="str"/>
      <x:c r="V135" s="12" t="str"/>
      <x:c r="W135" s="11" t="str"/>
      <x:c r="X135" s="11" t="str"/>
      <x:c r="Y135" s="3" t="str">
        <x:v>Nguồn: admin/src/lib/auth/login-rate-limit.ts; backend/src/modules/consultations/consultations.routes.ts. </x:v>
      </x:c>
    </x:row>
    <x:row r="136" ht="62" customHeight="1">
      <x:c r="A136" s="3" t="n">
        <x:v>135</x:v>
      </x:c>
      <x:c r="B136" s="3" t="str">
        <x:v>TC_AUTH_056</x:v>
      </x:c>
      <x:c r="C136" s="3" t="str">
        <x:v>AUTH</x:v>
      </x:c>
      <x:c r="D136" s="3" t="str">
        <x:v>Biên thời hạn</x:v>
      </x:c>
      <x:c r="E136" s="3" t="str">
        <x:v>Biên thời hạn</x:v>
      </x:c>
      <x:c r="F136" s="3" t="str">
        <x:v>Boundary — Session thường tại hạn -1 giây</x:v>
      </x:c>
      <x:c r="G136" s="3" t="str">
        <x:v>Session thường tại hạn -1 giây</x:v>
      </x:c>
      <x:c r="H136" s="3" t="str">
        <x:v>AUTH-001</x:v>
      </x:c>
      <x:c r="I136" s="3" t="str">
        <x:v>QTV có quyền tương ứng</x:v>
      </x:c>
      <x:c r="J136" s="3" t="str">
        <x:v>Boundary</x:v>
      </x:c>
      <x:c r="K136" s="3" t="str">
        <x:v>High</x:v>
      </x:c>
      <x:c r="L136" s="3" t="str">
        <x:v>High</x:v>
      </x:c>
      <x:c r="M136" s="3" t="str">
        <x:v>QA cô lập; tài khoản fixture với trạng thái nêu trong case; không đăng nhập trước bước login/reset. Chỉ tạo phiên trước nếu Steps kiểm tra refresh/logout/hết hạn. SMTP sandbox cho reset qua email.</x:v>
      </x:c>
      <x:c r="N136" s="3" t="str">
        <x:v>Session thường; TTL 1440 phút; không chờ thời gian thực.</x:v>
      </x:c>
      <x:c r="O136" s="3" t="str">
        <x:v>1. Tạo fixture có thời điểm hết hạn cố định T
2. Điều khiển đồng hồ QA tại T-1 giây
3. Gọi endpoint phù hợp</x:v>
      </x:c>
      <x:c r="P136" s="3" t="str">
        <x:v>Session/token còn hiệu lực; khóa đăng nhập vẫn từ chối423.</x:v>
      </x:c>
      <x:c r="Q136" s="11" t="str"/>
      <x:c r="R136" s="8" t="str">
        <x:v>NOT RUN</x:v>
      </x:c>
      <x:c r="S136" s="11" t="str">
        <x:v>QA/UAT — cần điền URL/build</x:v>
      </x:c>
      <x:c r="T136" s="11" t="str">
        <x:v>Cần điền phiên bản thực</x:v>
      </x:c>
      <x:c r="U136" s="11" t="str"/>
      <x:c r="V136" s="12" t="str"/>
      <x:c r="W136" s="11" t="str"/>
      <x:c r="X136" s="11" t="str"/>
      <x:c r="Y136" s="3" t="str">
        <x:v>Nguồn: admin/src/lib/auth/session.ts; admin/src/app/api/admin/auth/reset-password/route.ts. </x:v>
      </x:c>
    </x:row>
    <x:row r="137" ht="62" customHeight="1">
      <x:c r="A137" s="3" t="n">
        <x:v>136</x:v>
      </x:c>
      <x:c r="B137" s="3" t="str">
        <x:v>TC_AUTH_057</x:v>
      </x:c>
      <x:c r="C137" s="3" t="str">
        <x:v>AUTH</x:v>
      </x:c>
      <x:c r="D137" s="3" t="str">
        <x:v>Biên thời hạn</x:v>
      </x:c>
      <x:c r="E137" s="3" t="str">
        <x:v>Biên thời hạn</x:v>
      </x:c>
      <x:c r="F137" s="3" t="str">
        <x:v>Boundary — Session thường tại hạn +0 giây</x:v>
      </x:c>
      <x:c r="G137" s="3" t="str">
        <x:v>Session thường tại hạn +0 giây</x:v>
      </x:c>
      <x:c r="H137" s="3" t="str">
        <x:v>AUTH-001</x:v>
      </x:c>
      <x:c r="I137" s="3" t="str">
        <x:v>QTV có quyền tương ứng</x:v>
      </x:c>
      <x:c r="J137" s="3" t="str">
        <x:v>Boundary</x:v>
      </x:c>
      <x:c r="K137" s="3" t="str">
        <x:v>High</x:v>
      </x:c>
      <x:c r="L137" s="3" t="str">
        <x:v>High</x:v>
      </x:c>
      <x:c r="M137" s="3" t="str">
        <x:v>QA cô lập; tài khoản fixture với trạng thái nêu trong case; không đăng nhập trước bước login/reset. Chỉ tạo phiên trước nếu Steps kiểm tra refresh/logout/hết hạn. SMTP sandbox cho reset qua email.</x:v>
      </x:c>
      <x:c r="N137" s="3" t="str">
        <x:v>Session thường; TTL 1440 phút; không chờ thời gian thực.</x:v>
      </x:c>
      <x:c r="O137" s="3" t="str">
        <x:v>1. Tạo fixture có thời điểm hết hạn cố định T
2. Điều khiển đồng hồ QA tại T+0 giây
3. Gọi endpoint phù hợp</x:v>
      </x:c>
      <x:c r="P137" s="3" t="str">
        <x:v>Session hết hạn trả401; reset token hết hạn trả400; khóa tạm hết hạn cho kiểm tra mật khẩu lại.</x:v>
      </x:c>
      <x:c r="Q137" s="11" t="str"/>
      <x:c r="R137" s="8" t="str">
        <x:v>NOT RUN</x:v>
      </x:c>
      <x:c r="S137" s="11" t="str">
        <x:v>QA/UAT — cần điền URL/build</x:v>
      </x:c>
      <x:c r="T137" s="11" t="str">
        <x:v>Cần điền phiên bản thực</x:v>
      </x:c>
      <x:c r="U137" s="11" t="str"/>
      <x:c r="V137" s="12" t="str"/>
      <x:c r="W137" s="11" t="str"/>
      <x:c r="X137" s="11" t="str"/>
      <x:c r="Y137" s="3" t="str">
        <x:v>Nguồn: admin/src/lib/auth/session.ts; admin/src/app/api/admin/auth/reset-password/route.ts. </x:v>
      </x:c>
    </x:row>
    <x:row r="138" ht="62" customHeight="1">
      <x:c r="A138" s="3" t="n">
        <x:v>137</x:v>
      </x:c>
      <x:c r="B138" s="3" t="str">
        <x:v>TC_AUTH_058</x:v>
      </x:c>
      <x:c r="C138" s="3" t="str">
        <x:v>AUTH</x:v>
      </x:c>
      <x:c r="D138" s="3" t="str">
        <x:v>Biên thời hạn</x:v>
      </x:c>
      <x:c r="E138" s="3" t="str">
        <x:v>Biên thời hạn</x:v>
      </x:c>
      <x:c r="F138" s="3" t="str">
        <x:v>Boundary — Session thường tại hạn +1 giây</x:v>
      </x:c>
      <x:c r="G138" s="3" t="str">
        <x:v>Session thường tại hạn +1 giây</x:v>
      </x:c>
      <x:c r="H138" s="3" t="str">
        <x:v>AUTH-001</x:v>
      </x:c>
      <x:c r="I138" s="3" t="str">
        <x:v>QTV có quyền tương ứng</x:v>
      </x:c>
      <x:c r="J138" s="3" t="str">
        <x:v>Boundary</x:v>
      </x:c>
      <x:c r="K138" s="3" t="str">
        <x:v>High</x:v>
      </x:c>
      <x:c r="L138" s="3" t="str">
        <x:v>High</x:v>
      </x:c>
      <x:c r="M138" s="3" t="str">
        <x:v>QA cô lập; tài khoản fixture với trạng thái nêu trong case; không đăng nhập trước bước login/reset. Chỉ tạo phiên trước nếu Steps kiểm tra refresh/logout/hết hạn. SMTP sandbox cho reset qua email.</x:v>
      </x:c>
      <x:c r="N138" s="3" t="str">
        <x:v>Session thường; TTL 1440 phút; không chờ thời gian thực.</x:v>
      </x:c>
      <x:c r="O138" s="3" t="str">
        <x:v>1. Tạo fixture có thời điểm hết hạn cố định T
2. Điều khiển đồng hồ QA tại T+1 giây
3. Gọi endpoint phù hợp</x:v>
      </x:c>
      <x:c r="P138" s="3" t="str">
        <x:v>Session hết hạn trả401; reset token hết hạn trả400; khóa tạm hết hạn cho kiểm tra mật khẩu lại.</x:v>
      </x:c>
      <x:c r="Q138" s="11" t="str"/>
      <x:c r="R138" s="8" t="str">
        <x:v>NOT RUN</x:v>
      </x:c>
      <x:c r="S138" s="11" t="str">
        <x:v>QA/UAT — cần điền URL/build</x:v>
      </x:c>
      <x:c r="T138" s="11" t="str">
        <x:v>Cần điền phiên bản thực</x:v>
      </x:c>
      <x:c r="U138" s="11" t="str"/>
      <x:c r="V138" s="12" t="str"/>
      <x:c r="W138" s="11" t="str"/>
      <x:c r="X138" s="11" t="str"/>
      <x:c r="Y138" s="3" t="str">
        <x:v>Nguồn: admin/src/lib/auth/session.ts; admin/src/app/api/admin/auth/reset-password/route.ts. </x:v>
      </x:c>
    </x:row>
    <x:row r="139" ht="62" customHeight="1">
      <x:c r="A139" s="3" t="n">
        <x:v>138</x:v>
      </x:c>
      <x:c r="B139" s="3" t="str">
        <x:v>TC_AUTH_059</x:v>
      </x:c>
      <x:c r="C139" s="3" t="str">
        <x:v>AUTH</x:v>
      </x:c>
      <x:c r="D139" s="3" t="str">
        <x:v>Biên thời hạn</x:v>
      </x:c>
      <x:c r="E139" s="3" t="str">
        <x:v>Biên thời hạn</x:v>
      </x:c>
      <x:c r="F139" s="3" t="str">
        <x:v>Boundary — Session remember tại hạn -1 giây</x:v>
      </x:c>
      <x:c r="G139" s="3" t="str">
        <x:v>Session remember tại hạn -1 giây</x:v>
      </x:c>
      <x:c r="H139" s="3" t="str">
        <x:v>AUTH-001</x:v>
      </x:c>
      <x:c r="I139" s="3" t="str">
        <x:v>QTV có quyền tương ứng</x:v>
      </x:c>
      <x:c r="J139" s="3" t="str">
        <x:v>Boundary</x:v>
      </x:c>
      <x:c r="K139" s="3" t="str">
        <x:v>High</x:v>
      </x:c>
      <x:c r="L139" s="3" t="str">
        <x:v>High</x:v>
      </x:c>
      <x:c r="M139" s="3" t="str">
        <x:v>QA cô lập; tài khoản fixture với trạng thái nêu trong case; không đăng nhập trước bước login/reset. Chỉ tạo phiên trước nếu Steps kiểm tra refresh/logout/hết hạn. SMTP sandbox cho reset qua email.</x:v>
      </x:c>
      <x:c r="N139" s="3" t="str">
        <x:v>Session remember; TTL 43200 phút; không chờ thời gian thực.</x:v>
      </x:c>
      <x:c r="O139" s="3" t="str">
        <x:v>1. Tạo fixture có thời điểm hết hạn cố định T
2. Điều khiển đồng hồ QA tại T-1 giây
3. Gọi endpoint phù hợp</x:v>
      </x:c>
      <x:c r="P139" s="3" t="str">
        <x:v>Session/token còn hiệu lực; khóa đăng nhập vẫn từ chối423.</x:v>
      </x:c>
      <x:c r="Q139" s="11" t="str"/>
      <x:c r="R139" s="8" t="str">
        <x:v>NOT RUN</x:v>
      </x:c>
      <x:c r="S139" s="11" t="str">
        <x:v>QA/UAT — cần điền URL/build</x:v>
      </x:c>
      <x:c r="T139" s="11" t="str">
        <x:v>Cần điền phiên bản thực</x:v>
      </x:c>
      <x:c r="U139" s="11" t="str"/>
      <x:c r="V139" s="12" t="str"/>
      <x:c r="W139" s="11" t="str"/>
      <x:c r="X139" s="11" t="str"/>
      <x:c r="Y139" s="3" t="str">
        <x:v>Nguồn: admin/src/lib/auth/session.ts; admin/src/app/api/admin/auth/reset-password/route.ts. </x:v>
      </x:c>
    </x:row>
    <x:row r="140" ht="62" customHeight="1">
      <x:c r="A140" s="3" t="n">
        <x:v>139</x:v>
      </x:c>
      <x:c r="B140" s="3" t="str">
        <x:v>TC_AUTH_060</x:v>
      </x:c>
      <x:c r="C140" s="3" t="str">
        <x:v>AUTH</x:v>
      </x:c>
      <x:c r="D140" s="3" t="str">
        <x:v>Biên thời hạn</x:v>
      </x:c>
      <x:c r="E140" s="3" t="str">
        <x:v>Biên thời hạn</x:v>
      </x:c>
      <x:c r="F140" s="3" t="str">
        <x:v>Boundary — Session remember tại hạn +0 giây</x:v>
      </x:c>
      <x:c r="G140" s="3" t="str">
        <x:v>Session remember tại hạn +0 giây</x:v>
      </x:c>
      <x:c r="H140" s="3" t="str">
        <x:v>AUTH-001</x:v>
      </x:c>
      <x:c r="I140" s="3" t="str">
        <x:v>QTV có quyền tương ứng</x:v>
      </x:c>
      <x:c r="J140" s="3" t="str">
        <x:v>Boundary</x:v>
      </x:c>
      <x:c r="K140" s="3" t="str">
        <x:v>High</x:v>
      </x:c>
      <x:c r="L140" s="3" t="str">
        <x:v>High</x:v>
      </x:c>
      <x:c r="M140" s="3" t="str">
        <x:v>QA cô lập; tài khoản fixture với trạng thái nêu trong case; không đăng nhập trước bước login/reset. Chỉ tạo phiên trước nếu Steps kiểm tra refresh/logout/hết hạn. SMTP sandbox cho reset qua email.</x:v>
      </x:c>
      <x:c r="N140" s="3" t="str">
        <x:v>Session remember; TTL 43200 phút; không chờ thời gian thực.</x:v>
      </x:c>
      <x:c r="O140" s="3" t="str">
        <x:v>1. Tạo fixture có thời điểm hết hạn cố định T
2. Điều khiển đồng hồ QA tại T+0 giây
3. Gọi endpoint phù hợp</x:v>
      </x:c>
      <x:c r="P140" s="3" t="str">
        <x:v>Session hết hạn trả401; reset token hết hạn trả400; khóa tạm hết hạn cho kiểm tra mật khẩu lại.</x:v>
      </x:c>
      <x:c r="Q140" s="11" t="str"/>
      <x:c r="R140" s="8" t="str">
        <x:v>NOT RUN</x:v>
      </x:c>
      <x:c r="S140" s="11" t="str">
        <x:v>QA/UAT — cần điền URL/build</x:v>
      </x:c>
      <x:c r="T140" s="11" t="str">
        <x:v>Cần điền phiên bản thực</x:v>
      </x:c>
      <x:c r="U140" s="11" t="str"/>
      <x:c r="V140" s="12" t="str"/>
      <x:c r="W140" s="11" t="str"/>
      <x:c r="X140" s="11" t="str"/>
      <x:c r="Y140" s="3" t="str">
        <x:v>Nguồn: admin/src/lib/auth/session.ts; admin/src/app/api/admin/auth/reset-password/route.ts. </x:v>
      </x:c>
    </x:row>
    <x:row r="141" ht="62" customHeight="1">
      <x:c r="A141" s="3" t="n">
        <x:v>140</x:v>
      </x:c>
      <x:c r="B141" s="3" t="str">
        <x:v>TC_AUTH_061</x:v>
      </x:c>
      <x:c r="C141" s="3" t="str">
        <x:v>AUTH</x:v>
      </x:c>
      <x:c r="D141" s="3" t="str">
        <x:v>Biên thời hạn</x:v>
      </x:c>
      <x:c r="E141" s="3" t="str">
        <x:v>Biên thời hạn</x:v>
      </x:c>
      <x:c r="F141" s="3" t="str">
        <x:v>Boundary — Session remember tại hạn +1 giây</x:v>
      </x:c>
      <x:c r="G141" s="3" t="str">
        <x:v>Session remember tại hạn +1 giây</x:v>
      </x:c>
      <x:c r="H141" s="3" t="str">
        <x:v>AUTH-001</x:v>
      </x:c>
      <x:c r="I141" s="3" t="str">
        <x:v>QTV có quyền tương ứng</x:v>
      </x:c>
      <x:c r="J141" s="3" t="str">
        <x:v>Boundary</x:v>
      </x:c>
      <x:c r="K141" s="3" t="str">
        <x:v>High</x:v>
      </x:c>
      <x:c r="L141" s="3" t="str">
        <x:v>High</x:v>
      </x:c>
      <x:c r="M141" s="3" t="str">
        <x:v>QA cô lập; tài khoản fixture với trạng thái nêu trong case; không đăng nhập trước bước login/reset. Chỉ tạo phiên trước nếu Steps kiểm tra refresh/logout/hết hạn. SMTP sandbox cho reset qua email.</x:v>
      </x:c>
      <x:c r="N141" s="3" t="str">
        <x:v>Session remember; TTL 43200 phút; không chờ thời gian thực.</x:v>
      </x:c>
      <x:c r="O141" s="3" t="str">
        <x:v>1. Tạo fixture có thời điểm hết hạn cố định T
2. Điều khiển đồng hồ QA tại T+1 giây
3. Gọi endpoint phù hợp</x:v>
      </x:c>
      <x:c r="P141" s="3" t="str">
        <x:v>Session hết hạn trả401; reset token hết hạn trả400; khóa tạm hết hạn cho kiểm tra mật khẩu lại.</x:v>
      </x:c>
      <x:c r="Q141" s="11" t="str"/>
      <x:c r="R141" s="8" t="str">
        <x:v>NOT RUN</x:v>
      </x:c>
      <x:c r="S141" s="11" t="str">
        <x:v>QA/UAT — cần điền URL/build</x:v>
      </x:c>
      <x:c r="T141" s="11" t="str">
        <x:v>Cần điền phiên bản thực</x:v>
      </x:c>
      <x:c r="U141" s="11" t="str"/>
      <x:c r="V141" s="12" t="str"/>
      <x:c r="W141" s="11" t="str"/>
      <x:c r="X141" s="11" t="str"/>
      <x:c r="Y141" s="3" t="str">
        <x:v>Nguồn: admin/src/lib/auth/session.ts; admin/src/app/api/admin/auth/reset-password/route.ts. </x:v>
      </x:c>
    </x:row>
    <x:row r="142" ht="62" customHeight="1">
      <x:c r="A142" s="3" t="n">
        <x:v>141</x:v>
      </x:c>
      <x:c r="B142" s="3" t="str">
        <x:v>TC_AUTH_062</x:v>
      </x:c>
      <x:c r="C142" s="3" t="str">
        <x:v>AUTH</x:v>
      </x:c>
      <x:c r="D142" s="3" t="str">
        <x:v>Biên thời hạn</x:v>
      </x:c>
      <x:c r="E142" s="3" t="str">
        <x:v>Biên thời hạn</x:v>
      </x:c>
      <x:c r="F142" s="3" t="str">
        <x:v>Boundary — Reset token tại hạn -1 giây</x:v>
      </x:c>
      <x:c r="G142" s="3" t="str">
        <x:v>Reset token tại hạn -1 giây</x:v>
      </x:c>
      <x:c r="H142" s="3" t="str">
        <x:v>OBS-RESET</x:v>
      </x:c>
      <x:c r="I142" s="3" t="str">
        <x:v>QTV có quyền tương ứng</x:v>
      </x:c>
      <x:c r="J142" s="3" t="str">
        <x:v>Boundary</x:v>
      </x:c>
      <x:c r="K142" s="3" t="str">
        <x:v>High</x:v>
      </x:c>
      <x:c r="L142" s="3" t="str">
        <x:v>High</x:v>
      </x:c>
      <x:c r="M142" s="3" t="str">
        <x:v>QA cô lập; tài khoản fixture với trạng thái nêu trong case; không đăng nhập trước bước login/reset. Chỉ tạo phiên trước nếu Steps kiểm tra refresh/logout/hết hạn. SMTP sandbox cho reset qua email.</x:v>
      </x:c>
      <x:c r="N142" s="3" t="str">
        <x:v>Reset token; TTL 15 phút; không chờ thời gian thực.</x:v>
      </x:c>
      <x:c r="O142" s="3" t="str">
        <x:v>1. Tạo fixture có thời điểm hết hạn cố định T
2. Điều khiển đồng hồ QA tại T-1 giây
3. Gọi endpoint phù hợp</x:v>
      </x:c>
      <x:c r="P142" s="3" t="str">
        <x:v>Session/token còn hiệu lực; khóa đăng nhập vẫn từ chối423.</x:v>
      </x:c>
      <x:c r="Q142" s="11" t="str"/>
      <x:c r="R142" s="8" t="str">
        <x:v>NOT RUN</x:v>
      </x:c>
      <x:c r="S142" s="11" t="str">
        <x:v>QA/UAT — cần điền URL/build</x:v>
      </x:c>
      <x:c r="T142" s="11" t="str">
        <x:v>Cần điền phiên bản thực</x:v>
      </x:c>
      <x:c r="U142" s="11" t="str"/>
      <x:c r="V142" s="12" t="str"/>
      <x:c r="W142" s="11" t="str"/>
      <x:c r="X142" s="11" t="str"/>
      <x:c r="Y142" s="3" t="str">
        <x:v>Nguồn: admin/src/lib/auth/session.ts; admin/src/app/api/admin/auth/reset-password/route.ts. </x:v>
      </x:c>
    </x:row>
    <x:row r="143" ht="62" customHeight="1">
      <x:c r="A143" s="3" t="n">
        <x:v>142</x:v>
      </x:c>
      <x:c r="B143" s="3" t="str">
        <x:v>TC_AUTH_063</x:v>
      </x:c>
      <x:c r="C143" s="3" t="str">
        <x:v>AUTH</x:v>
      </x:c>
      <x:c r="D143" s="3" t="str">
        <x:v>Biên thời hạn</x:v>
      </x:c>
      <x:c r="E143" s="3" t="str">
        <x:v>Biên thời hạn</x:v>
      </x:c>
      <x:c r="F143" s="3" t="str">
        <x:v>Boundary — Reset token tại hạn +0 giây</x:v>
      </x:c>
      <x:c r="G143" s="3" t="str">
        <x:v>Reset token tại hạn +0 giây</x:v>
      </x:c>
      <x:c r="H143" s="3" t="str">
        <x:v>OBS-RESET</x:v>
      </x:c>
      <x:c r="I143" s="3" t="str">
        <x:v>QTV có quyền tương ứng</x:v>
      </x:c>
      <x:c r="J143" s="3" t="str">
        <x:v>Boundary</x:v>
      </x:c>
      <x:c r="K143" s="3" t="str">
        <x:v>High</x:v>
      </x:c>
      <x:c r="L143" s="3" t="str">
        <x:v>High</x:v>
      </x:c>
      <x:c r="M143" s="3" t="str">
        <x:v>QA cô lập; tài khoản fixture với trạng thái nêu trong case; không đăng nhập trước bước login/reset. Chỉ tạo phiên trước nếu Steps kiểm tra refresh/logout/hết hạn. SMTP sandbox cho reset qua email.</x:v>
      </x:c>
      <x:c r="N143" s="3" t="str">
        <x:v>Reset token; TTL 15 phút; không chờ thời gian thực.</x:v>
      </x:c>
      <x:c r="O143" s="3" t="str">
        <x:v>1. Tạo fixture có thời điểm hết hạn cố định T
2. Điều khiển đồng hồ QA tại T+0 giây
3. Gọi endpoint phù hợp</x:v>
      </x:c>
      <x:c r="P143" s="3" t="str">
        <x:v>Session hết hạn trả401; reset token hết hạn trả400; khóa tạm hết hạn cho kiểm tra mật khẩu lại.</x:v>
      </x:c>
      <x:c r="Q143" s="11" t="str"/>
      <x:c r="R143" s="8" t="str">
        <x:v>NOT RUN</x:v>
      </x:c>
      <x:c r="S143" s="11" t="str">
        <x:v>QA/UAT — cần điền URL/build</x:v>
      </x:c>
      <x:c r="T143" s="11" t="str">
        <x:v>Cần điền phiên bản thực</x:v>
      </x:c>
      <x:c r="U143" s="11" t="str"/>
      <x:c r="V143" s="12" t="str"/>
      <x:c r="W143" s="11" t="str"/>
      <x:c r="X143" s="11" t="str"/>
      <x:c r="Y143" s="3" t="str">
        <x:v>Nguồn: admin/src/lib/auth/session.ts; admin/src/app/api/admin/auth/reset-password/route.ts. </x:v>
      </x:c>
    </x:row>
    <x:row r="144" ht="62" customHeight="1">
      <x:c r="A144" s="3" t="n">
        <x:v>143</x:v>
      </x:c>
      <x:c r="B144" s="3" t="str">
        <x:v>TC_AUTH_064</x:v>
      </x:c>
      <x:c r="C144" s="3" t="str">
        <x:v>AUTH</x:v>
      </x:c>
      <x:c r="D144" s="3" t="str">
        <x:v>Biên thời hạn</x:v>
      </x:c>
      <x:c r="E144" s="3" t="str">
        <x:v>Biên thời hạn</x:v>
      </x:c>
      <x:c r="F144" s="3" t="str">
        <x:v>Boundary — Reset token tại hạn +1 giây</x:v>
      </x:c>
      <x:c r="G144" s="3" t="str">
        <x:v>Reset token tại hạn +1 giây</x:v>
      </x:c>
      <x:c r="H144" s="3" t="str">
        <x:v>OBS-RESET</x:v>
      </x:c>
      <x:c r="I144" s="3" t="str">
        <x:v>QTV có quyền tương ứng</x:v>
      </x:c>
      <x:c r="J144" s="3" t="str">
        <x:v>Boundary</x:v>
      </x:c>
      <x:c r="K144" s="3" t="str">
        <x:v>High</x:v>
      </x:c>
      <x:c r="L144" s="3" t="str">
        <x:v>High</x:v>
      </x:c>
      <x:c r="M144" s="3" t="str">
        <x:v>QA cô lập; tài khoản fixture với trạng thái nêu trong case; không đăng nhập trước bước login/reset. Chỉ tạo phiên trước nếu Steps kiểm tra refresh/logout/hết hạn. SMTP sandbox cho reset qua email.</x:v>
      </x:c>
      <x:c r="N144" s="3" t="str">
        <x:v>Reset token; TTL 15 phút; không chờ thời gian thực.</x:v>
      </x:c>
      <x:c r="O144" s="3" t="str">
        <x:v>1. Tạo fixture có thời điểm hết hạn cố định T
2. Điều khiển đồng hồ QA tại T+1 giây
3. Gọi endpoint phù hợp</x:v>
      </x:c>
      <x:c r="P144" s="3" t="str">
        <x:v>Session hết hạn trả401; reset token hết hạn trả400; khóa tạm hết hạn cho kiểm tra mật khẩu lại.</x:v>
      </x:c>
      <x:c r="Q144" s="11" t="str"/>
      <x:c r="R144" s="8" t="str">
        <x:v>NOT RUN</x:v>
      </x:c>
      <x:c r="S144" s="11" t="str">
        <x:v>QA/UAT — cần điền URL/build</x:v>
      </x:c>
      <x:c r="T144" s="11" t="str">
        <x:v>Cần điền phiên bản thực</x:v>
      </x:c>
      <x:c r="U144" s="11" t="str"/>
      <x:c r="V144" s="12" t="str"/>
      <x:c r="W144" s="11" t="str"/>
      <x:c r="X144" s="11" t="str"/>
      <x:c r="Y144" s="3" t="str">
        <x:v>Nguồn: admin/src/lib/auth/session.ts; admin/src/app/api/admin/auth/reset-password/route.ts. </x:v>
      </x:c>
    </x:row>
    <x:row r="145" ht="62" customHeight="1">
      <x:c r="A145" s="3" t="n">
        <x:v>144</x:v>
      </x:c>
      <x:c r="B145" s="3" t="str">
        <x:v>TC_AUTH_065</x:v>
      </x:c>
      <x:c r="C145" s="3" t="str">
        <x:v>AUTH</x:v>
      </x:c>
      <x:c r="D145" s="3" t="str">
        <x:v>Biên thời hạn</x:v>
      </x:c>
      <x:c r="E145" s="3" t="str">
        <x:v>Biên thời hạn</x:v>
      </x:c>
      <x:c r="F145" s="3" t="str">
        <x:v>Boundary — Khóa đăng nhập tại hạn -1 giây</x:v>
      </x:c>
      <x:c r="G145" s="3" t="str">
        <x:v>Khóa đăng nhập tại hạn -1 giây</x:v>
      </x:c>
      <x:c r="H145" s="3" t="str">
        <x:v>AUTH-001</x:v>
      </x:c>
      <x:c r="I145" s="3" t="str">
        <x:v>QTV có quyền tương ứng</x:v>
      </x:c>
      <x:c r="J145" s="3" t="str">
        <x:v>Boundary</x:v>
      </x:c>
      <x:c r="K145" s="3" t="str">
        <x:v>High</x:v>
      </x:c>
      <x:c r="L145" s="3" t="str">
        <x:v>High</x:v>
      </x:c>
      <x:c r="M145" s="3" t="str">
        <x:v>QA cô lập; tài khoản fixture với trạng thái nêu trong case; không đăng nhập trước bước login/reset. Chỉ tạo phiên trước nếu Steps kiểm tra refresh/logout/hết hạn. SMTP sandbox cho reset qua email.</x:v>
      </x:c>
      <x:c r="N145" s="3" t="str">
        <x:v>Khóa đăng nhập; TTL 15 phút; không chờ thời gian thực.</x:v>
      </x:c>
      <x:c r="O145" s="3" t="str">
        <x:v>1. Tạo fixture có thời điểm hết hạn cố định T
2. Điều khiển đồng hồ QA tại T-1 giây
3. Gọi endpoint phù hợp</x:v>
      </x:c>
      <x:c r="P145" s="3" t="str">
        <x:v>Session/token còn hiệu lực; khóa đăng nhập vẫn từ chối423.</x:v>
      </x:c>
      <x:c r="Q145" s="11" t="str"/>
      <x:c r="R145" s="8" t="str">
        <x:v>NOT RUN</x:v>
      </x:c>
      <x:c r="S145" s="11" t="str">
        <x:v>QA/UAT — cần điền URL/build</x:v>
      </x:c>
      <x:c r="T145" s="11" t="str">
        <x:v>Cần điền phiên bản thực</x:v>
      </x:c>
      <x:c r="U145" s="11" t="str"/>
      <x:c r="V145" s="12" t="str"/>
      <x:c r="W145" s="11" t="str"/>
      <x:c r="X145" s="11" t="str"/>
      <x:c r="Y145" s="3" t="str">
        <x:v>Nguồn: admin/src/lib/auth/session.ts; admin/src/app/api/admin/auth/reset-password/route.ts. </x:v>
      </x:c>
    </x:row>
    <x:row r="146" ht="62" customHeight="1">
      <x:c r="A146" s="3" t="n">
        <x:v>145</x:v>
      </x:c>
      <x:c r="B146" s="3" t="str">
        <x:v>TC_AUTH_066</x:v>
      </x:c>
      <x:c r="C146" s="3" t="str">
        <x:v>AUTH</x:v>
      </x:c>
      <x:c r="D146" s="3" t="str">
        <x:v>Biên thời hạn</x:v>
      </x:c>
      <x:c r="E146" s="3" t="str">
        <x:v>Biên thời hạn</x:v>
      </x:c>
      <x:c r="F146" s="3" t="str">
        <x:v>Boundary — Khóa đăng nhập tại hạn +0 giây</x:v>
      </x:c>
      <x:c r="G146" s="3" t="str">
        <x:v>Khóa đăng nhập tại hạn +0 giây</x:v>
      </x:c>
      <x:c r="H146" s="3" t="str">
        <x:v>AUTH-001</x:v>
      </x:c>
      <x:c r="I146" s="3" t="str">
        <x:v>QTV có quyền tương ứng</x:v>
      </x:c>
      <x:c r="J146" s="3" t="str">
        <x:v>Boundary</x:v>
      </x:c>
      <x:c r="K146" s="3" t="str">
        <x:v>High</x:v>
      </x:c>
      <x:c r="L146" s="3" t="str">
        <x:v>High</x:v>
      </x:c>
      <x:c r="M146" s="3" t="str">
        <x:v>QA cô lập; tài khoản fixture với trạng thái nêu trong case; không đăng nhập trước bước login/reset. Chỉ tạo phiên trước nếu Steps kiểm tra refresh/logout/hết hạn. SMTP sandbox cho reset qua email.</x:v>
      </x:c>
      <x:c r="N146" s="3" t="str">
        <x:v>Khóa đăng nhập; TTL 15 phút; không chờ thời gian thực.</x:v>
      </x:c>
      <x:c r="O146" s="3" t="str">
        <x:v>1. Tạo fixture có thời điểm hết hạn cố định T
2. Điều khiển đồng hồ QA tại T+0 giây
3. Gọi endpoint phù hợp</x:v>
      </x:c>
      <x:c r="P146" s="3" t="str">
        <x:v>Session hết hạn trả401; reset token hết hạn trả400; khóa tạm hết hạn cho kiểm tra mật khẩu lại.</x:v>
      </x:c>
      <x:c r="Q146" s="11" t="str"/>
      <x:c r="R146" s="8" t="str">
        <x:v>NOT RUN</x:v>
      </x:c>
      <x:c r="S146" s="11" t="str">
        <x:v>QA/UAT — cần điền URL/build</x:v>
      </x:c>
      <x:c r="T146" s="11" t="str">
        <x:v>Cần điền phiên bản thực</x:v>
      </x:c>
      <x:c r="U146" s="11" t="str"/>
      <x:c r="V146" s="12" t="str"/>
      <x:c r="W146" s="11" t="str"/>
      <x:c r="X146" s="11" t="str"/>
      <x:c r="Y146" s="3" t="str">
        <x:v>Nguồn: admin/src/lib/auth/session.ts; admin/src/app/api/admin/auth/reset-password/route.ts. </x:v>
      </x:c>
    </x:row>
    <x:row r="147" ht="62" customHeight="1">
      <x:c r="A147" s="3" t="n">
        <x:v>146</x:v>
      </x:c>
      <x:c r="B147" s="3" t="str">
        <x:v>TC_AUTH_067</x:v>
      </x:c>
      <x:c r="C147" s="3" t="str">
        <x:v>AUTH</x:v>
      </x:c>
      <x:c r="D147" s="3" t="str">
        <x:v>Biên thời hạn</x:v>
      </x:c>
      <x:c r="E147" s="3" t="str">
        <x:v>Biên thời hạn</x:v>
      </x:c>
      <x:c r="F147" s="3" t="str">
        <x:v>Boundary — Khóa đăng nhập tại hạn +1 giây</x:v>
      </x:c>
      <x:c r="G147" s="3" t="str">
        <x:v>Khóa đăng nhập tại hạn +1 giây</x:v>
      </x:c>
      <x:c r="H147" s="3" t="str">
        <x:v>AUTH-001</x:v>
      </x:c>
      <x:c r="I147" s="3" t="str">
        <x:v>QTV có quyền tương ứng</x:v>
      </x:c>
      <x:c r="J147" s="3" t="str">
        <x:v>Boundary</x:v>
      </x:c>
      <x:c r="K147" s="3" t="str">
        <x:v>High</x:v>
      </x:c>
      <x:c r="L147" s="3" t="str">
        <x:v>High</x:v>
      </x:c>
      <x:c r="M147" s="3" t="str">
        <x:v>QA cô lập; tài khoản fixture với trạng thái nêu trong case; không đăng nhập trước bước login/reset. Chỉ tạo phiên trước nếu Steps kiểm tra refresh/logout/hết hạn. SMTP sandbox cho reset qua email.</x:v>
      </x:c>
      <x:c r="N147" s="3" t="str">
        <x:v>Khóa đăng nhập; TTL 15 phút; không chờ thời gian thực.</x:v>
      </x:c>
      <x:c r="O147" s="3" t="str">
        <x:v>1. Tạo fixture có thời điểm hết hạn cố định T
2. Điều khiển đồng hồ QA tại T+1 giây
3. Gọi endpoint phù hợp</x:v>
      </x:c>
      <x:c r="P147" s="3" t="str">
        <x:v>Session hết hạn trả401; reset token hết hạn trả400; khóa tạm hết hạn cho kiểm tra mật khẩu lại.</x:v>
      </x:c>
      <x:c r="Q147" s="11" t="str"/>
      <x:c r="R147" s="8" t="str">
        <x:v>NOT RUN</x:v>
      </x:c>
      <x:c r="S147" s="11" t="str">
        <x:v>QA/UAT — cần điền URL/build</x:v>
      </x:c>
      <x:c r="T147" s="11" t="str">
        <x:v>Cần điền phiên bản thực</x:v>
      </x:c>
      <x:c r="U147" s="11" t="str"/>
      <x:c r="V147" s="12" t="str"/>
      <x:c r="W147" s="11" t="str"/>
      <x:c r="X147" s="11" t="str"/>
      <x:c r="Y147" s="3" t="str">
        <x:v>Nguồn: admin/src/lib/auth/session.ts; admin/src/app/api/admin/auth/reset-password/route.ts. </x:v>
      </x:c>
    </x:row>
  </x:sheetData>
  <x:conditionalFormatting sqref="R2:R147">
    <x:cfRule type="cellIs" dxfId="15" priority="1" operator="equal">
      <x:formula>"PASS"</x:formula>
    </x:cfRule>
    <x:cfRule type="cellIs" dxfId="16" priority="2" operator="equal">
      <x:formula>"FAIL"</x:formula>
    </x:cfRule>
    <x:cfRule type="cellIs" dxfId="17" priority="3" operator="equal">
      <x:formula>"BLOCKED"</x:formula>
    </x:cfRule>
    <x:cfRule type="cellIs" dxfId="18" priority="4" operator="equal">
      <x:formula>"NOT RUN"</x:formula>
    </x:cfRule>
    <x:cfRule type="cellIs" dxfId="19" priority="5" operator="equal">
      <x:formula>"NEED CONFIRMATION"</x:formula>
    </x:cfRule>
  </x:conditionalFormatting>
  <x:dataValidations count="4">
    <x:dataValidation type="list" sqref="J2:J147">
      <x:formula1>"Accessibility,Alternative,Boundary,Compatibility,Concurrency,Integration,Localization,Negative,Performance,Positive,Responsive,Review,Security,UI"</x:formula1>
    </x:dataValidation>
    <x:dataValidation type="list" sqref="K2:K147">
      <x:formula1>"Critical,High,Medium,Low"</x:formula1>
    </x:dataValidation>
    <x:dataValidation type="list" sqref="L2:L147">
      <x:formula1>"Critical,High,Medium,Low"</x:formula1>
    </x:dataValidation>
    <x:dataValidation type="list" sqref="R2:R147">
      <x:formula1>"PASS,FAIL,BLOCKED,NOT RUN,NEED CONFIRMATION"</x:formula1>
    </x:dataValidation>
  </x:dataValidations>
  <x:pageMargins left="0.7" right="0.7" top="0.75" bottom="0.75" header="0.3" footer="0.3"/>
  <x:tableParts count="1">
    <x:tablePart xmlns:r="http://schemas.openxmlformats.org/officeDocument/2006/relationships" r:id="R2adc2a950a2c4646"/>
  </x:tableParts>
</x:worksheet>
</file>

<file path=xl/worksheets/sheet7.xml><?xml version="1.0" encoding="utf-8"?>
<x:worksheet xmlns:x="http://schemas.openxmlformats.org/spreadsheetml/2006/main">
  <x:sheetPr>
    <x:tabColor rgb="FF547394"/>
  </x:sheetPr>
  <x:sheetViews>
    <x:sheetView showGridLines="0" workbookViewId="0">
      <x:pane xSplit="2" ySplit="1" topLeftCell="C2" activePane="bottomRight" state="frozen"/>
    </x:sheetView>
  </x:sheetViews>
  <x:sheetFormatPr defaultRowHeight="15"/>
  <x:cols>
    <x:col min="1" max="1" width="7" hidden="0" customWidth="1"/>
    <x:col min="2" max="2" width="23" hidden="0" customWidth="1"/>
    <x:col min="3" max="3" width="18" hidden="0" customWidth="1"/>
    <x:col min="4" max="4" width="27" hidden="0" customWidth="1"/>
    <x:col min="5" max="5" width="27" hidden="0" customWidth="1"/>
    <x:col min="6" max="6" width="38" hidden="0" customWidth="1"/>
    <x:col min="7" max="7" width="42" hidden="0" customWidth="1"/>
    <x:col min="8" max="8" width="24" hidden="0" customWidth="1"/>
    <x:col min="9" max="9" width="30" hidden="0" customWidth="1"/>
    <x:col min="10" max="10" width="20" hidden="0" customWidth="1"/>
    <x:col min="11" max="11" width="15" hidden="0" customWidth="1"/>
    <x:col min="12" max="12" width="15" hidden="0" customWidth="1"/>
    <x:col min="13" max="13" width="58" hidden="0" customWidth="1"/>
    <x:col min="14" max="14" width="62" hidden="0" customWidth="1"/>
    <x:col min="15" max="15" width="72" hidden="0" customWidth="1"/>
    <x:col min="16" max="16" width="74" hidden="0" customWidth="1"/>
    <x:col min="17" max="17" width="55" hidden="0" customWidth="1"/>
    <x:col min="18" max="18" width="24" hidden="0" customWidth="1"/>
    <x:col min="19" max="19" width="30" hidden="0" customWidth="1"/>
    <x:col min="20" max="20" width="27" hidden="0" customWidth="1"/>
    <x:col min="21" max="21" width="20" hidden="0" customWidth="1"/>
    <x:col min="22" max="22" width="16" hidden="0" customWidth="1"/>
    <x:col min="23" max="23" width="35" hidden="0" customWidth="1"/>
    <x:col min="24" max="24" width="20" hidden="0" customWidth="1"/>
    <x:col min="25" max="25" width="78" hidden="0" customWidth="1"/>
  </x:cols>
  <x:sheetData>
    <x:row r="1" ht="34" customHeight="1">
      <x:c r="A1" s="7" t="str">
        <x:v>STT</x:v>
      </x:c>
      <x:c r="B1" s="7" t="str">
        <x:v>Test Case ID</x:v>
      </x:c>
      <x:c r="C1" s="7" t="str">
        <x:v>Module</x:v>
      </x:c>
      <x:c r="D1" s="7" t="str">
        <x:v>Sub-module</x:v>
      </x:c>
      <x:c r="E1" s="7" t="str">
        <x:v>Feature</x:v>
      </x:c>
      <x:c r="F1" s="7" t="str">
        <x:v>Test Scenario</x:v>
      </x:c>
      <x:c r="G1" s="7" t="str">
        <x:v>Test Case Title</x:v>
      </x:c>
      <x:c r="H1" s="7" t="str">
        <x:v>Requirement/User Story ID</x:v>
      </x:c>
      <x:c r="I1" s="7" t="str">
        <x:v>User Role</x:v>
      </x:c>
      <x:c r="J1" s="7" t="str">
        <x:v>Test Type</x:v>
      </x:c>
      <x:c r="K1" s="7" t="str">
        <x:v>Priority</x:v>
      </x:c>
      <x:c r="L1" s="7" t="str">
        <x:v>Severity</x:v>
      </x:c>
      <x:c r="M1" s="7" t="str">
        <x:v>Preconditions</x:v>
      </x:c>
      <x:c r="N1" s="7" t="str">
        <x:v>Test Data</x:v>
      </x:c>
      <x:c r="O1" s="7" t="str">
        <x:v>Test Steps</x:v>
      </x:c>
      <x:c r="P1" s="7" t="str">
        <x:v>Expected Result</x:v>
      </x:c>
      <x:c r="Q1" s="7" t="str">
        <x:v>Actual Result</x:v>
      </x:c>
      <x:c r="R1" s="7" t="str">
        <x:v>Status</x:v>
      </x:c>
      <x:c r="S1" s="7" t="str">
        <x:v>Environment</x:v>
      </x:c>
      <x:c r="T1" s="7" t="str">
        <x:v>Browser/Device</x:v>
      </x:c>
      <x:c r="U1" s="7" t="str">
        <x:v>Tester</x:v>
      </x:c>
      <x:c r="V1" s="7" t="str">
        <x:v>Test Date</x:v>
      </x:c>
      <x:c r="W1" s="7" t="str">
        <x:v>Evidence/Attachment</x:v>
      </x:c>
      <x:c r="X1" s="7" t="str">
        <x:v>Bug ID</x:v>
      </x:c>
      <x:c r="Y1" s="7" t="str">
        <x:v>Notes</x:v>
      </x:c>
    </x:row>
    <x:row r="2" ht="49" customHeight="1">
      <x:c r="A2" s="3" t="n">
        <x:v>1</x:v>
      </x:c>
      <x:c r="B2" s="3" t="str">
        <x:v>TC_PERF_001</x:v>
      </x:c>
      <x:c r="C2" s="3" t="str">
        <x:v>PERF</x:v>
      </x:c>
      <x:c r="D2" s="3" t="str">
        <x:v>Đo tải và khả dụng</x:v>
      </x:c>
      <x:c r="E2" s="3" t="str">
        <x:v>Đo tải và khả dụng</x:v>
      </x:c>
      <x:c r="F2" s="3" t="str">
        <x:v>Performance — Trang chủ mạng di động</x:v>
      </x:c>
      <x:c r="G2" s="3" t="str">
        <x:v>Trang chủ mạng di động</x:v>
      </x:c>
      <x:c r="H2" s="3" t="str">
        <x:v>NFR-004</x:v>
      </x:c>
      <x:c r="I2" s="3" t="str">
        <x:v>QTV có quyền tương ứng</x:v>
      </x:c>
      <x:c r="J2" s="3" t="str">
        <x:v>Performance</x:v>
      </x:c>
      <x:c r="K2" s="3" t="str">
        <x:v>High</x:v>
      </x:c>
      <x:c r="L2" s="3" t="str">
        <x:v>High</x:v>
      </x:c>
      <x:c r="M2" s="3" t="str">
        <x:v>Môi trường QA cô lập, DB/MinIO sẵn sàng; dữ liệu fixture đã tạo. Đăng nhập tài khoản ACTIVE, mustChangePassword=false.</x:v>
      </x:c>
      <x:c r="N2" s="3" t="str">
        <x:v>Dữ liệu QA tổng hợp; xem fixture trong README.</x:v>
      </x:c>
      <x:c r="O2" s="3" t="str">
        <x:v>1. Tắt cache
2. Đo5 lần trang /vi ở profile mobile chậm</x:v>
      </x:c>
      <x:c r="P2" s="3" t="str">
        <x:v>Ghi đầy đủ LCP/CLS/INP, transferred bytes, thời điểm video bắt đầu vào Evidence; chỉ PASS khi đạt SLO/RPO/RTO và tải được chủ hệ thống duyệt.</x:v>
      </x:c>
      <x:c r="Q2" s="11" t="str"/>
      <x:c r="R2" s="9" t="str">
        <x:v>NEED CONFIRMATION</x:v>
      </x:c>
      <x:c r="S2" s="11" t="str">
        <x:v>QA/UAT — cần điền URL/build</x:v>
      </x:c>
      <x:c r="T2" s="11" t="str">
        <x:v>Cần điền phiên bản thực</x:v>
      </x:c>
      <x:c r="U2" s="11" t="str"/>
      <x:c r="V2" s="12" t="str"/>
      <x:c r="W2" s="11" t="str"/>
      <x:c r="X2" s="11" t="str"/>
      <x:c r="Y2" s="3" t="str">
        <x:v>Nguồn: docs/ba/02-requirements; docs/handover; backend/src/app.ts. Need Confirmation: Cần ngưỡng nghiệm thu, cấu hình máy, số người đồng thời, thời lượng và ngân sách tải. Các mức tải trên là đề xuất QA, chưa phải SLA.</x:v>
      </x:c>
    </x:row>
    <x:row r="3" ht="49" customHeight="1">
      <x:c r="A3" s="3" t="n">
        <x:v>2</x:v>
      </x:c>
      <x:c r="B3" s="3" t="str">
        <x:v>TC_PERF_002</x:v>
      </x:c>
      <x:c r="C3" s="3" t="str">
        <x:v>PERF</x:v>
      </x:c>
      <x:c r="D3" s="3" t="str">
        <x:v>Đo tải và khả dụng</x:v>
      </x:c>
      <x:c r="E3" s="3" t="str">
        <x:v>Đo tải và khả dụng</x:v>
      </x:c>
      <x:c r="F3" s="3" t="str">
        <x:v>Performance — API tin dữ liệu lớn</x:v>
      </x:c>
      <x:c r="G3" s="3" t="str">
        <x:v>API tin dữ liệu lớn</x:v>
      </x:c>
      <x:c r="H3" s="3" t="str">
        <x:v>NFR-004</x:v>
      </x:c>
      <x:c r="I3" s="3" t="str">
        <x:v>QTV có quyền tương ứng</x:v>
      </x:c>
      <x:c r="J3" s="3" t="str">
        <x:v>Performance</x:v>
      </x:c>
      <x:c r="K3" s="3" t="str">
        <x:v>High</x:v>
      </x:c>
      <x:c r="L3" s="3" t="str">
        <x:v>High</x:v>
      </x:c>
      <x:c r="M3" s="3" t="str">
        <x:v>Môi trường QA cô lập, DB/MinIO sẵn sàng; dữ liệu fixture đã tạo. Đăng nhập tài khoản ACTIVE, mustChangePassword=false.</x:v>
      </x:c>
      <x:c r="N3" s="3" t="str">
        <x:v>Dữ liệu QA tổng hợp; xem fixture trong README.</x:v>
      </x:c>
      <x:c r="O3" s="3" t="str">
        <x:v>1. Seed10.000 bài
2. GET public/news page1 và page cuối với limit100</x:v>
      </x:c>
      <x:c r="P3" s="3" t="str">
        <x:v>Ghi đầy đủ p50/p95/p99, lỗi và truy vấn DB vào Evidence; chỉ PASS khi đạt SLO/RPO/RTO và tải được chủ hệ thống duyệt.</x:v>
      </x:c>
      <x:c r="Q3" s="11" t="str"/>
      <x:c r="R3" s="9" t="str">
        <x:v>NEED CONFIRMATION</x:v>
      </x:c>
      <x:c r="S3" s="11" t="str">
        <x:v>QA/UAT — cần điền URL/build</x:v>
      </x:c>
      <x:c r="T3" s="11" t="str">
        <x:v>Cần điền phiên bản thực</x:v>
      </x:c>
      <x:c r="U3" s="11" t="str"/>
      <x:c r="V3" s="12" t="str"/>
      <x:c r="W3" s="11" t="str"/>
      <x:c r="X3" s="11" t="str"/>
      <x:c r="Y3" s="3" t="str">
        <x:v>Nguồn: docs/ba/02-requirements; docs/handover; backend/src/app.ts. Need Confirmation: Cần ngưỡng nghiệm thu, cấu hình máy, số người đồng thời, thời lượng và ngân sách tải. Các mức tải trên là đề xuất QA, chưa phải SLA.</x:v>
      </x:c>
    </x:row>
    <x:row r="4" ht="49" customHeight="1">
      <x:c r="A4" s="3" t="n">
        <x:v>3</x:v>
      </x:c>
      <x:c r="B4" s="3" t="str">
        <x:v>TC_PERF_003</x:v>
      </x:c>
      <x:c r="C4" s="3" t="str">
        <x:v>PERF</x:v>
      </x:c>
      <x:c r="D4" s="3" t="str">
        <x:v>Đo tải và khả dụng</x:v>
      </x:c>
      <x:c r="E4" s="3" t="str">
        <x:v>Đo tải và khả dụng</x:v>
      </x:c>
      <x:c r="F4" s="3" t="str">
        <x:v>Performance — Resource list không phân trang public</x:v>
      </x:c>
      <x:c r="G4" s="3" t="str">
        <x:v>Resource list không phân trang public</x:v>
      </x:c>
      <x:c r="H4" s="3" t="str">
        <x:v>NFR-004</x:v>
      </x:c>
      <x:c r="I4" s="3" t="str">
        <x:v>QTV có quyền tương ứng</x:v>
      </x:c>
      <x:c r="J4" s="3" t="str">
        <x:v>Performance</x:v>
      </x:c>
      <x:c r="K4" s="3" t="str">
        <x:v>High</x:v>
      </x:c>
      <x:c r="L4" s="3" t="str">
        <x:v>High</x:v>
      </x:c>
      <x:c r="M4" s="3" t="str">
        <x:v>Môi trường QA cô lập, DB/MinIO sẵn sàng; dữ liệu fixture đã tạo. Đăng nhập tài khoản ACTIVE, mustChangePassword=false.</x:v>
      </x:c>
      <x:c r="N4" s="3" t="str">
        <x:v>Dữ liệu QA tổng hợp; xem fixture trong README.</x:v>
      </x:c>
      <x:c r="O4" s="3" t="str">
        <x:v>1. Seed10.000 resource
2. Mở /vi/resources demo=false</x:v>
      </x:c>
      <x:c r="P4" s="3" t="str">
        <x:v>Ghi đầy đủ Payload, memory, thời gian render và tìm kiếm client vào Evidence; chỉ PASS khi đạt SLO/RPO/RTO và tải được chủ hệ thống duyệt.</x:v>
      </x:c>
      <x:c r="Q4" s="11" t="str"/>
      <x:c r="R4" s="9" t="str">
        <x:v>NEED CONFIRMATION</x:v>
      </x:c>
      <x:c r="S4" s="11" t="str">
        <x:v>QA/UAT — cần điền URL/build</x:v>
      </x:c>
      <x:c r="T4" s="11" t="str">
        <x:v>Cần điền phiên bản thực</x:v>
      </x:c>
      <x:c r="U4" s="11" t="str"/>
      <x:c r="V4" s="12" t="str"/>
      <x:c r="W4" s="11" t="str"/>
      <x:c r="X4" s="11" t="str"/>
      <x:c r="Y4" s="3" t="str">
        <x:v>Nguồn: docs/ba/02-requirements; docs/handover; backend/src/app.ts. Need Confirmation: Cần ngưỡng nghiệm thu, cấu hình máy, số người đồng thời, thời lượng và ngân sách tải. Các mức tải trên là đề xuất QA, chưa phải SLA.</x:v>
      </x:c>
    </x:row>
    <x:row r="5" ht="49" customHeight="1">
      <x:c r="A5" s="3" t="n">
        <x:v>4</x:v>
      </x:c>
      <x:c r="B5" s="3" t="str">
        <x:v>TC_PERF_004</x:v>
      </x:c>
      <x:c r="C5" s="3" t="str">
        <x:v>PERF</x:v>
      </x:c>
      <x:c r="D5" s="3" t="str">
        <x:v>Đo tải và khả dụng</x:v>
      </x:c>
      <x:c r="E5" s="3" t="str">
        <x:v>Đo tải và khả dụng</x:v>
      </x:c>
      <x:c r="F5" s="3" t="str">
        <x:v>Performance — Dashboard polling đồng thời</x:v>
      </x:c>
      <x:c r="G5" s="3" t="str">
        <x:v>Dashboard polling đồng thời</x:v>
      </x:c>
      <x:c r="H5" s="3" t="str">
        <x:v>NFR-004</x:v>
      </x:c>
      <x:c r="I5" s="3" t="str">
        <x:v>QTV có quyền tương ứng</x:v>
      </x:c>
      <x:c r="J5" s="3" t="str">
        <x:v>Performance</x:v>
      </x:c>
      <x:c r="K5" s="3" t="str">
        <x:v>High</x:v>
      </x:c>
      <x:c r="L5" s="3" t="str">
        <x:v>High</x:v>
      </x:c>
      <x:c r="M5" s="3" t="str">
        <x:v>Môi trường QA cô lập, DB/MinIO sẵn sàng; dữ liệu fixture đã tạo. Đăng nhập tài khoản ACTIVE, mustChangePassword=false.</x:v>
      </x:c>
      <x:c r="N5" s="3" t="str">
        <x:v>Dữ liệu QA tổng hợp; xem fixture trong README.</x:v>
      </x:c>
      <x:c r="O5" s="3" t="str">
        <x:v>1. Mở10/50/100 phiên QA dashboard trong10 phút</x:v>
      </x:c>
      <x:c r="P5" s="3" t="str">
        <x:v>Ghi đầy đủ RPS chu kỳ5 giây, CPU/DB, p95 và error rate vào Evidence; chỉ PASS khi đạt SLO/RPO/RTO và tải được chủ hệ thống duyệt.</x:v>
      </x:c>
      <x:c r="Q5" s="11" t="str"/>
      <x:c r="R5" s="9" t="str">
        <x:v>NEED CONFIRMATION</x:v>
      </x:c>
      <x:c r="S5" s="11" t="str">
        <x:v>QA/UAT — cần điền URL/build</x:v>
      </x:c>
      <x:c r="T5" s="11" t="str">
        <x:v>Cần điền phiên bản thực</x:v>
      </x:c>
      <x:c r="U5" s="11" t="str"/>
      <x:c r="V5" s="12" t="str"/>
      <x:c r="W5" s="11" t="str"/>
      <x:c r="X5" s="11" t="str"/>
      <x:c r="Y5" s="3" t="str">
        <x:v>Nguồn: docs/ba/02-requirements; docs/handover; backend/src/app.ts. Need Confirmation: Cần ngưỡng nghiệm thu, cấu hình máy, số người đồng thời, thời lượng và ngân sách tải. Các mức tải trên là đề xuất QA, chưa phải SLA.</x:v>
      </x:c>
    </x:row>
    <x:row r="6" ht="49" customHeight="1">
      <x:c r="A6" s="3" t="n">
        <x:v>5</x:v>
      </x:c>
      <x:c r="B6" s="3" t="str">
        <x:v>TC_PERF_005</x:v>
      </x:c>
      <x:c r="C6" s="3" t="str">
        <x:v>PERF</x:v>
      </x:c>
      <x:c r="D6" s="3" t="str">
        <x:v>Đo tải và khả dụng</x:v>
      </x:c>
      <x:c r="E6" s="3" t="str">
        <x:v>Đo tải và khả dụng</x:v>
      </x:c>
      <x:c r="F6" s="3" t="str">
        <x:v>Performance — Notification polling</x:v>
      </x:c>
      <x:c r="G6" s="3" t="str">
        <x:v>Notification polling</x:v>
      </x:c>
      <x:c r="H6" s="3" t="str">
        <x:v>NFR-004</x:v>
      </x:c>
      <x:c r="I6" s="3" t="str">
        <x:v>QTV có quyền tương ứng</x:v>
      </x:c>
      <x:c r="J6" s="3" t="str">
        <x:v>Performance</x:v>
      </x:c>
      <x:c r="K6" s="3" t="str">
        <x:v>High</x:v>
      </x:c>
      <x:c r="L6" s="3" t="str">
        <x:v>High</x:v>
      </x:c>
      <x:c r="M6" s="3" t="str">
        <x:v>Môi trường QA cô lập, DB/MinIO sẵn sàng; dữ liệu fixture đã tạo. Đăng nhập tài khoản ACTIVE, mustChangePassword=false.</x:v>
      </x:c>
      <x:c r="N6" s="3" t="str">
        <x:v>Dữ liệu QA tổng hợp; xem fixture trong README.</x:v>
      </x:c>
      <x:c r="O6" s="3" t="str">
        <x:v>1. Mở50 phiên admin trong10 phút</x:v>
      </x:c>
      <x:c r="P6" s="3" t="str">
        <x:v>Ghi đầy đủ Tải query audit do polling12 giây, memory và số request vào Evidence; chỉ PASS khi đạt SLO/RPO/RTO và tải được chủ hệ thống duyệt.</x:v>
      </x:c>
      <x:c r="Q6" s="11" t="str"/>
      <x:c r="R6" s="9" t="str">
        <x:v>NEED CONFIRMATION</x:v>
      </x:c>
      <x:c r="S6" s="11" t="str">
        <x:v>QA/UAT — cần điền URL/build</x:v>
      </x:c>
      <x:c r="T6" s="11" t="str">
        <x:v>Cần điền phiên bản thực</x:v>
      </x:c>
      <x:c r="U6" s="11" t="str"/>
      <x:c r="V6" s="12" t="str"/>
      <x:c r="W6" s="11" t="str"/>
      <x:c r="X6" s="11" t="str"/>
      <x:c r="Y6" s="3" t="str">
        <x:v>Nguồn: docs/ba/02-requirements; docs/handover; backend/src/app.ts. Need Confirmation: Cần ngưỡng nghiệm thu, cấu hình máy, số người đồng thời, thời lượng và ngân sách tải. Các mức tải trên là đề xuất QA, chưa phải SLA.</x:v>
      </x:c>
    </x:row>
    <x:row r="7" ht="49" customHeight="1">
      <x:c r="A7" s="3" t="n">
        <x:v>6</x:v>
      </x:c>
      <x:c r="B7" s="3" t="str">
        <x:v>TC_PERF_006</x:v>
      </x:c>
      <x:c r="C7" s="3" t="str">
        <x:v>PERF</x:v>
      </x:c>
      <x:c r="D7" s="3" t="str">
        <x:v>Đo tải và khả dụng</x:v>
      </x:c>
      <x:c r="E7" s="3" t="str">
        <x:v>Đo tải và khả dụng</x:v>
      </x:c>
      <x:c r="F7" s="3" t="str">
        <x:v>Performance — Login Argon2 tải</x:v>
      </x:c>
      <x:c r="G7" s="3" t="str">
        <x:v>Login Argon2 tải</x:v>
      </x:c>
      <x:c r="H7" s="3" t="str">
        <x:v>NFR-004</x:v>
      </x:c>
      <x:c r="I7" s="3" t="str">
        <x:v>QTV có quyền tương ứng</x:v>
      </x:c>
      <x:c r="J7" s="3" t="str">
        <x:v>Performance</x:v>
      </x:c>
      <x:c r="K7" s="3" t="str">
        <x:v>High</x:v>
      </x:c>
      <x:c r="L7" s="3" t="str">
        <x:v>High</x:v>
      </x:c>
      <x:c r="M7" s="3" t="str">
        <x:v>Môi trường QA cô lập, DB/MinIO sẵn sàng; dữ liệu fixture đã tạo. Đăng nhập tài khoản ACTIVE, mustChangePassword=false.</x:v>
      </x:c>
      <x:c r="N7" s="3" t="str">
        <x:v>Dữ liệu QA tổng hợp; xem fixture trong README.</x:v>
      </x:c>
      <x:c r="O7" s="3" t="str">
        <x:v>1. Gửi tải tăng dần1/5/10 request/s trong5 phút QA</x:v>
      </x:c>
      <x:c r="P7" s="3" t="str">
        <x:v>Ghi đầy đủ CPU/RAM, p95, rate429 và độ sẵn sàng vào Evidence; chỉ PASS khi đạt SLO/RPO/RTO và tải được chủ hệ thống duyệt.</x:v>
      </x:c>
      <x:c r="Q7" s="11" t="str"/>
      <x:c r="R7" s="9" t="str">
        <x:v>NEED CONFIRMATION</x:v>
      </x:c>
      <x:c r="S7" s="11" t="str">
        <x:v>QA/UAT — cần điền URL/build</x:v>
      </x:c>
      <x:c r="T7" s="11" t="str">
        <x:v>Cần điền phiên bản thực</x:v>
      </x:c>
      <x:c r="U7" s="11" t="str"/>
      <x:c r="V7" s="12" t="str"/>
      <x:c r="W7" s="11" t="str"/>
      <x:c r="X7" s="11" t="str"/>
      <x:c r="Y7" s="3" t="str">
        <x:v>Nguồn: docs/ba/02-requirements; docs/handover; backend/src/app.ts. Need Confirmation: Cần ngưỡng nghiệm thu, cấu hình máy, số người đồng thời, thời lượng và ngân sách tải. Các mức tải trên là đề xuất QA, chưa phải SLA.</x:v>
      </x:c>
    </x:row>
    <x:row r="8" ht="49" customHeight="1">
      <x:c r="A8" s="3" t="n">
        <x:v>7</x:v>
      </x:c>
      <x:c r="B8" s="3" t="str">
        <x:v>TC_PERF_007</x:v>
      </x:c>
      <x:c r="C8" s="3" t="str">
        <x:v>PERF</x:v>
      </x:c>
      <x:c r="D8" s="3" t="str">
        <x:v>Đo tải và khả dụng</x:v>
      </x:c>
      <x:c r="E8" s="3" t="str">
        <x:v>Đo tải và khả dụng</x:v>
      </x:c>
      <x:c r="F8" s="3" t="str">
        <x:v>Performance — Upload đồng thời</x:v>
      </x:c>
      <x:c r="G8" s="3" t="str">
        <x:v>Upload đồng thời</x:v>
      </x:c>
      <x:c r="H8" s="3" t="str">
        <x:v>NFR-004</x:v>
      </x:c>
      <x:c r="I8" s="3" t="str">
        <x:v>QTV có quyền tương ứng</x:v>
      </x:c>
      <x:c r="J8" s="3" t="str">
        <x:v>Performance</x:v>
      </x:c>
      <x:c r="K8" s="3" t="str">
        <x:v>High</x:v>
      </x:c>
      <x:c r="L8" s="3" t="str">
        <x:v>High</x:v>
      </x:c>
      <x:c r="M8" s="3" t="str">
        <x:v>Môi trường QA cô lập, DB/MinIO sẵn sàng; dữ liệu fixture đã tạo. Đăng nhập tài khoản ACTIVE, mustChangePassword=false.</x:v>
      </x:c>
      <x:c r="N8" s="3" t="str">
        <x:v>Dữ liệu QA tổng hợp; xem fixture trong README.</x:v>
      </x:c>
      <x:c r="O8" s="3" t="str">
        <x:v>1. Upload5 rồi10 file gần ngưỡng đồng thời</x:v>
      </x:c>
      <x:c r="P8" s="3" t="str">
        <x:v>Ghi đầy đủ RAM Node, throughput MinIO, lỗi timeout và object hoàn tất vào Evidence; chỉ PASS khi đạt SLO/RPO/RTO và tải được chủ hệ thống duyệt.</x:v>
      </x:c>
      <x:c r="Q8" s="11" t="str"/>
      <x:c r="R8" s="9" t="str">
        <x:v>NEED CONFIRMATION</x:v>
      </x:c>
      <x:c r="S8" s="11" t="str">
        <x:v>QA/UAT — cần điền URL/build</x:v>
      </x:c>
      <x:c r="T8" s="11" t="str">
        <x:v>Cần điền phiên bản thực</x:v>
      </x:c>
      <x:c r="U8" s="11" t="str"/>
      <x:c r="V8" s="12" t="str"/>
      <x:c r="W8" s="11" t="str"/>
      <x:c r="X8" s="11" t="str"/>
      <x:c r="Y8" s="3" t="str">
        <x:v>Nguồn: docs/ba/02-requirements; docs/handover; backend/src/app.ts. Need Confirmation: Cần ngưỡng nghiệm thu, cấu hình máy, số người đồng thời, thời lượng và ngân sách tải. Các mức tải trên là đề xuất QA, chưa phải SLA.</x:v>
      </x:c>
    </x:row>
    <x:row r="9" ht="49" customHeight="1">
      <x:c r="A9" s="3" t="n">
        <x:v>8</x:v>
      </x:c>
      <x:c r="B9" s="3" t="str">
        <x:v>TC_PERF_008</x:v>
      </x:c>
      <x:c r="C9" s="3" t="str">
        <x:v>PERF</x:v>
      </x:c>
      <x:c r="D9" s="3" t="str">
        <x:v>Đo tải và khả dụng</x:v>
      </x:c>
      <x:c r="E9" s="3" t="str">
        <x:v>Đo tải và khả dụng</x:v>
      </x:c>
      <x:c r="F9" s="3" t="str">
        <x:v>Performance — Soak memory</x:v>
      </x:c>
      <x:c r="G9" s="3" t="str">
        <x:v>Soak memory</x:v>
      </x:c>
      <x:c r="H9" s="3" t="str">
        <x:v>NFR-004</x:v>
      </x:c>
      <x:c r="I9" s="3" t="str">
        <x:v>QTV có quyền tương ứng</x:v>
      </x:c>
      <x:c r="J9" s="3" t="str">
        <x:v>Performance</x:v>
      </x:c>
      <x:c r="K9" s="3" t="str">
        <x:v>High</x:v>
      </x:c>
      <x:c r="L9" s="3" t="str">
        <x:v>High</x:v>
      </x:c>
      <x:c r="M9" s="3" t="str">
        <x:v>Môi trường QA cô lập, DB/MinIO sẵn sàng; dữ liệu fixture đã tạo. Đăng nhập tài khoản ACTIVE, mustChangePassword=false.</x:v>
      </x:c>
      <x:c r="N9" s="3" t="str">
        <x:v>Dữ liệu QA tổng hợp; xem fixture trong README.</x:v>
      </x:c>
      <x:c r="O9" s="3" t="str">
        <x:v>1. Điều hướng và mở/đóng modal100 vòng
2. Chạy polling30 phút</x:v>
      </x:c>
      <x:c r="P9" s="3" t="str">
        <x:v>Ghi đầy đủ Heap trước/sau, listener/timer còn lại, lỗi console vào Evidence; chỉ PASS khi đạt SLO/RPO/RTO và tải được chủ hệ thống duyệt.</x:v>
      </x:c>
      <x:c r="Q9" s="11" t="str"/>
      <x:c r="R9" s="9" t="str">
        <x:v>NEED CONFIRMATION</x:v>
      </x:c>
      <x:c r="S9" s="11" t="str">
        <x:v>QA/UAT — cần điền URL/build</x:v>
      </x:c>
      <x:c r="T9" s="11" t="str">
        <x:v>Cần điền phiên bản thực</x:v>
      </x:c>
      <x:c r="U9" s="11" t="str"/>
      <x:c r="V9" s="12" t="str"/>
      <x:c r="W9" s="11" t="str"/>
      <x:c r="X9" s="11" t="str"/>
      <x:c r="Y9" s="3" t="str">
        <x:v>Nguồn: docs/ba/02-requirements; docs/handover; backend/src/app.ts. Need Confirmation: Cần ngưỡng nghiệm thu, cấu hình máy, số người đồng thời, thời lượng và ngân sách tải. Các mức tải trên là đề xuất QA, chưa phải SLA.</x:v>
      </x:c>
    </x:row>
    <x:row r="10" ht="49" customHeight="1">
      <x:c r="A10" s="3" t="n">
        <x:v>9</x:v>
      </x:c>
      <x:c r="B10" s="3" t="str">
        <x:v>TC_PERF_009</x:v>
      </x:c>
      <x:c r="C10" s="3" t="str">
        <x:v>PERF</x:v>
      </x:c>
      <x:c r="D10" s="3" t="str">
        <x:v>Đo tải và khả dụng</x:v>
      </x:c>
      <x:c r="E10" s="3" t="str">
        <x:v>Đo tải và khả dụng</x:v>
      </x:c>
      <x:c r="F10" s="3" t="str">
        <x:v>Performance — Search chương trình</x:v>
      </x:c>
      <x:c r="G10" s="3" t="str">
        <x:v>Search chương trình</x:v>
      </x:c>
      <x:c r="H10" s="3" t="str">
        <x:v>NFR-004</x:v>
      </x:c>
      <x:c r="I10" s="3" t="str">
        <x:v>QTV có quyền tương ứng</x:v>
      </x:c>
      <x:c r="J10" s="3" t="str">
        <x:v>Performance</x:v>
      </x:c>
      <x:c r="K10" s="3" t="str">
        <x:v>High</x:v>
      </x:c>
      <x:c r="L10" s="3" t="str">
        <x:v>High</x:v>
      </x:c>
      <x:c r="M10" s="3" t="str">
        <x:v>Môi trường QA cô lập, DB/MinIO sẵn sàng; dữ liệu fixture đã tạo. Đăng nhập tài khoản ACTIVE, mustChangePassword=false.</x:v>
      </x:c>
      <x:c r="N10" s="3" t="str">
        <x:v>Dữ liệu QA tổng hợp; xem fixture trong README.</x:v>
      </x:c>
      <x:c r="O10" s="3" t="str">
        <x:v>1. Tìm liên tiếp20 từ khóa trên dataset hiện có</x:v>
      </x:c>
      <x:c r="P10" s="3" t="str">
        <x:v>Ghi đầy đủ Độ trễ input đến render kết quả, long task vào Evidence; chỉ PASS khi đạt SLO/RPO/RTO và tải được chủ hệ thống duyệt.</x:v>
      </x:c>
      <x:c r="Q10" s="11" t="str"/>
      <x:c r="R10" s="9" t="str">
        <x:v>NEED CONFIRMATION</x:v>
      </x:c>
      <x:c r="S10" s="11" t="str">
        <x:v>QA/UAT — cần điền URL/build</x:v>
      </x:c>
      <x:c r="T10" s="11" t="str">
        <x:v>Cần điền phiên bản thực</x:v>
      </x:c>
      <x:c r="U10" s="11" t="str"/>
      <x:c r="V10" s="12" t="str"/>
      <x:c r="W10" s="11" t="str"/>
      <x:c r="X10" s="11" t="str"/>
      <x:c r="Y10" s="3" t="str">
        <x:v>Nguồn: docs/ba/02-requirements; docs/handover; backend/src/app.ts. Need Confirmation: Cần ngưỡng nghiệm thu, cấu hình máy, số người đồng thời, thời lượng và ngân sách tải. Các mức tải trên là đề xuất QA, chưa phải SLA.</x:v>
      </x:c>
    </x:row>
    <x:row r="11" ht="49" customHeight="1">
      <x:c r="A11" s="3" t="n">
        <x:v>10</x:v>
      </x:c>
      <x:c r="B11" s="3" t="str">
        <x:v>TC_PERF_010</x:v>
      </x:c>
      <x:c r="C11" s="3" t="str">
        <x:v>PERF</x:v>
      </x:c>
      <x:c r="D11" s="3" t="str">
        <x:v>Đo tải và khả dụng</x:v>
      </x:c>
      <x:c r="E11" s="3" t="str">
        <x:v>Đo tải và khả dụng</x:v>
      </x:c>
      <x:c r="F11" s="3" t="str">
        <x:v>Performance — RPO/RTO khôi phục</x:v>
      </x:c>
      <x:c r="G11" s="3" t="str">
        <x:v>RPO/RTO khôi phục</x:v>
      </x:c>
      <x:c r="H11" s="3" t="str">
        <x:v>NFR-002</x:v>
      </x:c>
      <x:c r="I11" s="3" t="str">
        <x:v>QTV có quyền tương ứng</x:v>
      </x:c>
      <x:c r="J11" s="3" t="str">
        <x:v>Performance</x:v>
      </x:c>
      <x:c r="K11" s="3" t="str">
        <x:v>High</x:v>
      </x:c>
      <x:c r="L11" s="3" t="str">
        <x:v>High</x:v>
      </x:c>
      <x:c r="M11" s="3" t="str">
        <x:v>Môi trường QA cô lập, DB/MinIO sẵn sàng; dữ liệu fixture đã tạo. Đăng nhập tài khoản ACTIVE, mustChangePassword=false.</x:v>
      </x:c>
      <x:c r="N11" s="3" t="str">
        <x:v>Dữ liệu QA tổng hợp; xem fixture trong README.</x:v>
      </x:c>
      <x:c r="O11" s="3" t="str">
        <x:v>1. Diễn tập backup restore trên QA có DB và MinIO</x:v>
      </x:c>
      <x:c r="P11" s="3" t="str">
        <x:v>Ghi đầy đủ Thời gian restore và dữ liệu mất kể từ snapshot vào Evidence; chỉ PASS khi đạt SLO/RPO/RTO và tải được chủ hệ thống duyệt.</x:v>
      </x:c>
      <x:c r="Q11" s="11" t="str"/>
      <x:c r="R11" s="9" t="str">
        <x:v>NEED CONFIRMATION</x:v>
      </x:c>
      <x:c r="S11" s="11" t="str">
        <x:v>QA/UAT — cần điền URL/build</x:v>
      </x:c>
      <x:c r="T11" s="11" t="str">
        <x:v>Cần điền phiên bản thực</x:v>
      </x:c>
      <x:c r="U11" s="11" t="str"/>
      <x:c r="V11" s="12" t="str"/>
      <x:c r="W11" s="11" t="str"/>
      <x:c r="X11" s="11" t="str"/>
      <x:c r="Y11" s="3" t="str">
        <x:v>Nguồn: docs/ba/02-requirements; docs/handover; backend/src/app.ts. Need Confirmation: Cần ngưỡng nghiệm thu, cấu hình máy, số người đồng thời, thời lượng và ngân sách tải. Các mức tải trên là đề xuất QA, chưa phải SLA.</x:v>
      </x:c>
    </x:row>
    <x:row r="12" ht="49" customHeight="1">
      <x:c r="A12" s="3" t="n">
        <x:v>11</x:v>
      </x:c>
      <x:c r="B12" s="3" t="str">
        <x:v>TC_PERF_011</x:v>
      </x:c>
      <x:c r="C12" s="3" t="str">
        <x:v>PERF</x:v>
      </x:c>
      <x:c r="D12" s="3" t="str">
        <x:v>Cache và giới hạn</x:v>
      </x:c>
      <x:c r="E12" s="3" t="str">
        <x:v>Cache và giới hạn</x:v>
      </x:c>
      <x:c r="F12" s="3" t="str">
        <x:v>Performance — Cache tin60 giây</x:v>
      </x:c>
      <x:c r="G12" s="3" t="str">
        <x:v>Cache tin60 giây</x:v>
      </x:c>
      <x:c r="H12" s="3" t="str">
        <x:v>NFR-004</x:v>
      </x:c>
      <x:c r="I12" s="3" t="str">
        <x:v>QTV có quyền tương ứng</x:v>
      </x:c>
      <x:c r="J12" s="3" t="str">
        <x:v>Performance</x:v>
      </x:c>
      <x:c r="K12" s="3" t="str">
        <x:v>Medium</x:v>
      </x:c>
      <x:c r="L12" s="3" t="str">
        <x:v>Medium</x:v>
      </x:c>
      <x:c r="M12" s="3" t="str">
        <x:v>Môi trường QA cô lập, DB/MinIO sẵn sàng; dữ liệu fixture đã tạo. Đăng nhập tài khoản ACTIVE, mustChangePassword=false.</x:v>
      </x:c>
      <x:c r="N12" s="3" t="str">
        <x:v>Dữ liệu QA tổng hợp; xem fixture trong README.</x:v>
      </x:c>
      <x:c r="O12" s="3" t="str">
        <x:v>1. Mở public news demo=false
2. Sửa title bài
3. Đọc trước và sau60 giây</x:v>
      </x:c>
      <x:c r="P12" s="3" t="str">
        <x:v>Sau revalidate và request tái tạo, title mới hiển thị; không giữ cache vô hạn.</x:v>
      </x:c>
      <x:c r="Q12" s="11" t="str"/>
      <x:c r="R12" s="8" t="str">
        <x:v>NOT RUN</x:v>
      </x:c>
      <x:c r="S12" s="11" t="str">
        <x:v>QA/UAT — cần điền URL/build</x:v>
      </x:c>
      <x:c r="T12" s="11" t="str">
        <x:v>Cần điền phiên bản thực</x:v>
      </x:c>
      <x:c r="U12" s="11" t="str"/>
      <x:c r="V12" s="12" t="str"/>
      <x:c r="W12" s="11" t="str"/>
      <x:c r="X12" s="11" t="str"/>
      <x:c r="Y12" s="3" t="str">
        <x:v>Nguồn: frontend/src/features/news/data.ts; frontend/src/app/api/consultations/route.ts; backend/src/app.ts. </x:v>
      </x:c>
    </x:row>
    <x:row r="13" ht="49" customHeight="1">
      <x:c r="A13" s="3" t="n">
        <x:v>12</x:v>
      </x:c>
      <x:c r="B13" s="3" t="str">
        <x:v>TC_PERF_012</x:v>
      </x:c>
      <x:c r="C13" s="3" t="str">
        <x:v>PERF</x:v>
      </x:c>
      <x:c r="D13" s="3" t="str">
        <x:v>Cache và giới hạn</x:v>
      </x:c>
      <x:c r="E13" s="3" t="str">
        <x:v>Cache và giới hạn</x:v>
      </x:c>
      <x:c r="F13" s="3" t="str">
        <x:v>Performance — Resource no-store</x:v>
      </x:c>
      <x:c r="G13" s="3" t="str">
        <x:v>Resource no-store</x:v>
      </x:c>
      <x:c r="H13" s="3" t="str">
        <x:v>NFR-004</x:v>
      </x:c>
      <x:c r="I13" s="3" t="str">
        <x:v>QTV có quyền tương ứng</x:v>
      </x:c>
      <x:c r="J13" s="3" t="str">
        <x:v>Performance</x:v>
      </x:c>
      <x:c r="K13" s="3" t="str">
        <x:v>Medium</x:v>
      </x:c>
      <x:c r="L13" s="3" t="str">
        <x:v>Medium</x:v>
      </x:c>
      <x:c r="M13" s="3" t="str">
        <x:v>Môi trường QA cô lập, DB/MinIO sẵn sàng; dữ liệu fixture đã tạo. Đăng nhập tài khoản ACTIVE, mustChangePassword=false.</x:v>
      </x:c>
      <x:c r="N13" s="3" t="str">
        <x:v>Dữ liệu QA tổng hợp; xem fixture trong README.</x:v>
      </x:c>
      <x:c r="O13" s="3" t="str">
        <x:v>1. Mở resource demo=false
2. Thay metadata
3. Refresh</x:v>
      </x:c>
      <x:c r="P13" s="3" t="str">
        <x:v>GET resources lấy dữ liệu mới, không giữ cache ISR60 giây của tin.</x:v>
      </x:c>
      <x:c r="Q13" s="11" t="str"/>
      <x:c r="R13" s="8" t="str">
        <x:v>NOT RUN</x:v>
      </x:c>
      <x:c r="S13" s="11" t="str">
        <x:v>QA/UAT — cần điền URL/build</x:v>
      </x:c>
      <x:c r="T13" s="11" t="str">
        <x:v>Cần điền phiên bản thực</x:v>
      </x:c>
      <x:c r="U13" s="11" t="str"/>
      <x:c r="V13" s="12" t="str"/>
      <x:c r="W13" s="11" t="str"/>
      <x:c r="X13" s="11" t="str"/>
      <x:c r="Y13" s="3" t="str">
        <x:v>Nguồn: frontend/src/features/news/data.ts; frontend/src/app/api/consultations/route.ts; backend/src/app.ts. </x:v>
      </x:c>
    </x:row>
    <x:row r="14" ht="49" customHeight="1">
      <x:c r="A14" s="3" t="n">
        <x:v>13</x:v>
      </x:c>
      <x:c r="B14" s="3" t="str">
        <x:v>TC_PERF_013</x:v>
      </x:c>
      <x:c r="C14" s="3" t="str">
        <x:v>PERF</x:v>
      </x:c>
      <x:c r="D14" s="3" t="str">
        <x:v>Cache và giới hạn</x:v>
      </x:c>
      <x:c r="E14" s="3" t="str">
        <x:v>Cache và giới hạn</x:v>
      </x:c>
      <x:c r="F14" s="3" t="str">
        <x:v>Performance — Timeout tư vấn8 giây</x:v>
      </x:c>
      <x:c r="G14" s="3" t="str">
        <x:v>Timeout tư vấn8 giây</x:v>
      </x:c>
      <x:c r="H14" s="3" t="str">
        <x:v>NFR-004</x:v>
      </x:c>
      <x:c r="I14" s="3" t="str">
        <x:v>QTV có quyền tương ứng</x:v>
      </x:c>
      <x:c r="J14" s="3" t="str">
        <x:v>Performance</x:v>
      </x:c>
      <x:c r="K14" s="3" t="str">
        <x:v>Medium</x:v>
      </x:c>
      <x:c r="L14" s="3" t="str">
        <x:v>Medium</x:v>
      </x:c>
      <x:c r="M14" s="3" t="str">
        <x:v>Môi trường QA cô lập, DB/MinIO sẵn sàng; dữ liệu fixture đã tạo. Đăng nhập tài khoản ACTIVE, mustChangePassword=false.</x:v>
      </x:c>
      <x:c r="N14" s="3" t="str">
        <x:v>Dữ liệu QA tổng hợp; xem fixture trong README.</x:v>
      </x:c>
      <x:c r="O14" s="3" t="str">
        <x:v>1. Mock backend delay&gt;8 giây
2. POST frontend consultations</x:v>
      </x:c>
      <x:c r="P14" s="3" t="str">
        <x:v>Proxy trả502 sau abort khoảng8 giây cộng overhead; UI không pending vô hạn.</x:v>
      </x:c>
      <x:c r="Q14" s="11" t="str"/>
      <x:c r="R14" s="8" t="str">
        <x:v>NOT RUN</x:v>
      </x:c>
      <x:c r="S14" s="11" t="str">
        <x:v>QA/UAT — cần điền URL/build</x:v>
      </x:c>
      <x:c r="T14" s="11" t="str">
        <x:v>Cần điền phiên bản thực</x:v>
      </x:c>
      <x:c r="U14" s="11" t="str"/>
      <x:c r="V14" s="12" t="str"/>
      <x:c r="W14" s="11" t="str"/>
      <x:c r="X14" s="11" t="str"/>
      <x:c r="Y14" s="3" t="str">
        <x:v>Nguồn: frontend/src/features/news/data.ts; frontend/src/app/api/consultations/route.ts; backend/src/app.ts. </x:v>
      </x:c>
    </x:row>
    <x:row r="15" ht="49" customHeight="1">
      <x:c r="A15" s="3" t="n">
        <x:v>14</x:v>
      </x:c>
      <x:c r="B15" s="3" t="str">
        <x:v>TC_PERF_014</x:v>
      </x:c>
      <x:c r="C15" s="3" t="str">
        <x:v>PERF</x:v>
      </x:c>
      <x:c r="D15" s="3" t="str">
        <x:v>Cache và giới hạn</x:v>
      </x:c>
      <x:c r="E15" s="3" t="str">
        <x:v>Cache và giới hạn</x:v>
      </x:c>
      <x:c r="F15" s="3" t="str">
        <x:v>Performance — Lazy image</x:v>
      </x:c>
      <x:c r="G15" s="3" t="str">
        <x:v>Lazy image</x:v>
      </x:c>
      <x:c r="H15" s="3" t="str">
        <x:v>NFR-004</x:v>
      </x:c>
      <x:c r="I15" s="3" t="str">
        <x:v>QTV có quyền tương ứng</x:v>
      </x:c>
      <x:c r="J15" s="3" t="str">
        <x:v>Performance</x:v>
      </x:c>
      <x:c r="K15" s="3" t="str">
        <x:v>Medium</x:v>
      </x:c>
      <x:c r="L15" s="3" t="str">
        <x:v>Medium</x:v>
      </x:c>
      <x:c r="M15" s="3" t="str">
        <x:v>Môi trường QA cô lập, DB/MinIO sẵn sàng; dữ liệu fixture đã tạo. Đăng nhập tài khoản ACTIVE, mustChangePassword=false.</x:v>
      </x:c>
      <x:c r="N15" s="3" t="str">
        <x:v>Dữ liệu QA tổng hợp; xem fixture trong README.</x:v>
      </x:c>
      <x:c r="O15" s="3" t="str">
        <x:v>1. Mở trang dài
2. Đọc Network trước và sau cuộn</x:v>
      </x:c>
      <x:c r="P15" s="3" t="str">
        <x:v>Ảnh lazy dưới fold được tải khi gần viewport; ảnh chính không bị mất.</x:v>
      </x:c>
      <x:c r="Q15" s="11" t="str"/>
      <x:c r="R15" s="8" t="str">
        <x:v>NOT RUN</x:v>
      </x:c>
      <x:c r="S15" s="11" t="str">
        <x:v>QA/UAT — cần điền URL/build</x:v>
      </x:c>
      <x:c r="T15" s="11" t="str">
        <x:v>Cần điền phiên bản thực</x:v>
      </x:c>
      <x:c r="U15" s="11" t="str"/>
      <x:c r="V15" s="12" t="str"/>
      <x:c r="W15" s="11" t="str"/>
      <x:c r="X15" s="11" t="str"/>
      <x:c r="Y15" s="3" t="str">
        <x:v>Nguồn: frontend/src/features/news/data.ts; frontend/src/app/api/consultations/route.ts; backend/src/app.ts. </x:v>
      </x:c>
    </x:row>
    <x:row r="16" ht="49" customHeight="1">
      <x:c r="A16" s="3" t="n">
        <x:v>15</x:v>
      </x:c>
      <x:c r="B16" s="3" t="str">
        <x:v>TC_PERF_015</x:v>
      </x:c>
      <x:c r="C16" s="3" t="str">
        <x:v>PERF</x:v>
      </x:c>
      <x:c r="D16" s="3" t="str">
        <x:v>Cache và giới hạn</x:v>
      </x:c>
      <x:c r="E16" s="3" t="str">
        <x:v>Cache và giới hạn</x:v>
      </x:c>
      <x:c r="F16" s="3" t="str">
        <x:v>Performance — BodyLimit1MB</x:v>
      </x:c>
      <x:c r="G16" s="3" t="str">
        <x:v>BodyLimit1MB</x:v>
      </x:c>
      <x:c r="H16" s="3" t="str">
        <x:v>NFR-004</x:v>
      </x:c>
      <x:c r="I16" s="3" t="str">
        <x:v>QTV có quyền tương ứng</x:v>
      </x:c>
      <x:c r="J16" s="3" t="str">
        <x:v>Performance</x:v>
      </x:c>
      <x:c r="K16" s="3" t="str">
        <x:v>Medium</x:v>
      </x:c>
      <x:c r="L16" s="3" t="str">
        <x:v>Medium</x:v>
      </x:c>
      <x:c r="M16" s="3" t="str">
        <x:v>Môi trường QA cô lập, DB/MinIO sẵn sàng; dữ liệu fixture đã tạo. Đăng nhập tài khoản ACTIVE, mustChangePassword=false.</x:v>
      </x:c>
      <x:c r="N16" s="3" t="str">
        <x:v>Dữ liệu QA tổng hợp; xem fixture trong README.</x:v>
      </x:c>
      <x:c r="O16" s="3" t="str">
        <x:v>1. Gửi JSON chính xác999999/1000000/1000001 bytes đến backend</x:v>
      </x:c>
      <x:c r="P16" s="3" t="str">
        <x:v>≤1.000.000 đi vào handler; &gt;1.000.000 bị413 trước mutation.</x:v>
      </x:c>
      <x:c r="Q16" s="11" t="str"/>
      <x:c r="R16" s="8" t="str">
        <x:v>NOT RUN</x:v>
      </x:c>
      <x:c r="S16" s="11" t="str">
        <x:v>QA/UAT — cần điền URL/build</x:v>
      </x:c>
      <x:c r="T16" s="11" t="str">
        <x:v>Cần điền phiên bản thực</x:v>
      </x:c>
      <x:c r="U16" s="11" t="str"/>
      <x:c r="V16" s="12" t="str"/>
      <x:c r="W16" s="11" t="str"/>
      <x:c r="X16" s="11" t="str"/>
      <x:c r="Y16" s="3" t="str">
        <x:v>Nguồn: frontend/src/features/news/data.ts; frontend/src/app/api/consultations/route.ts; backend/src/app.ts. </x:v>
      </x:c>
    </x:row>
  </x:sheetData>
  <x:conditionalFormatting sqref="R2:R16">
    <x:cfRule type="cellIs" dxfId="20" priority="1" operator="equal">
      <x:formula>"PASS"</x:formula>
    </x:cfRule>
    <x:cfRule type="cellIs" dxfId="21" priority="2" operator="equal">
      <x:formula>"FAIL"</x:formula>
    </x:cfRule>
    <x:cfRule type="cellIs" dxfId="22" priority="3" operator="equal">
      <x:formula>"BLOCKED"</x:formula>
    </x:cfRule>
    <x:cfRule type="cellIs" dxfId="23" priority="4" operator="equal">
      <x:formula>"NOT RUN"</x:formula>
    </x:cfRule>
    <x:cfRule type="cellIs" dxfId="24" priority="5" operator="equal">
      <x:formula>"NEED CONFIRMATION"</x:formula>
    </x:cfRule>
  </x:conditionalFormatting>
  <x:dataValidations count="4">
    <x:dataValidation type="list" sqref="J2:J16">
      <x:formula1>"Accessibility,Alternative,Boundary,Compatibility,Concurrency,Integration,Localization,Negative,Performance,Positive,Responsive,Review,Security,UI"</x:formula1>
    </x:dataValidation>
    <x:dataValidation type="list" sqref="K2:K16">
      <x:formula1>"Critical,High,Medium,Low"</x:formula1>
    </x:dataValidation>
    <x:dataValidation type="list" sqref="L2:L16">
      <x:formula1>"Critical,High,Medium,Low"</x:formula1>
    </x:dataValidation>
    <x:dataValidation type="list" sqref="R2:R16">
      <x:formula1>"PASS,FAIL,BLOCKED,NOT RUN,NEED CONFIRMATION"</x:formula1>
    </x:dataValidation>
  </x:dataValidations>
  <x:pageMargins left="0.7" right="0.7" top="0.75" bottom="0.75" header="0.3" footer="0.3"/>
  <x:tableParts count="1">
    <x:tablePart xmlns:r="http://schemas.openxmlformats.org/officeDocument/2006/relationships" r:id="R2d27a8abf8244b61"/>
  </x:tableParts>
</x:worksheet>
</file>

<file path=xl/worksheets/sheet8.xml><?xml version="1.0" encoding="utf-8"?>
<x:worksheet xmlns:x="http://schemas.openxmlformats.org/spreadsheetml/2006/main">
  <x:sheetPr>
    <x:tabColor rgb="FF547394"/>
  </x:sheetPr>
  <x:sheetViews>
    <x:sheetView showGridLines="0" workbookViewId="0">
      <x:pane xSplit="2" ySplit="1" topLeftCell="C2" activePane="bottomRight" state="frozen"/>
    </x:sheetView>
  </x:sheetViews>
  <x:sheetFormatPr defaultRowHeight="15"/>
  <x:cols>
    <x:col min="1" max="1" width="7" hidden="0" customWidth="1"/>
    <x:col min="2" max="2" width="23" hidden="0" customWidth="1"/>
    <x:col min="3" max="3" width="18" hidden="0" customWidth="1"/>
    <x:col min="4" max="4" width="27" hidden="0" customWidth="1"/>
    <x:col min="5" max="5" width="27" hidden="0" customWidth="1"/>
    <x:col min="6" max="6" width="38" hidden="0" customWidth="1"/>
    <x:col min="7" max="7" width="42" hidden="0" customWidth="1"/>
    <x:col min="8" max="8" width="24" hidden="0" customWidth="1"/>
    <x:col min="9" max="9" width="30" hidden="0" customWidth="1"/>
    <x:col min="10" max="10" width="20" hidden="0" customWidth="1"/>
    <x:col min="11" max="11" width="15" hidden="0" customWidth="1"/>
    <x:col min="12" max="12" width="15" hidden="0" customWidth="1"/>
    <x:col min="13" max="13" width="58" hidden="0" customWidth="1"/>
    <x:col min="14" max="14" width="62" hidden="0" customWidth="1"/>
    <x:col min="15" max="15" width="72" hidden="0" customWidth="1"/>
    <x:col min="16" max="16" width="74" hidden="0" customWidth="1"/>
    <x:col min="17" max="17" width="55" hidden="0" customWidth="1"/>
    <x:col min="18" max="18" width="24" hidden="0" customWidth="1"/>
    <x:col min="19" max="19" width="30" hidden="0" customWidth="1"/>
    <x:col min="20" max="20" width="27" hidden="0" customWidth="1"/>
    <x:col min="21" max="21" width="20" hidden="0" customWidth="1"/>
    <x:col min="22" max="22" width="16" hidden="0" customWidth="1"/>
    <x:col min="23" max="23" width="35" hidden="0" customWidth="1"/>
    <x:col min="24" max="24" width="20" hidden="0" customWidth="1"/>
    <x:col min="25" max="25" width="78" hidden="0" customWidth="1"/>
  </x:cols>
  <x:sheetData>
    <x:row r="1" ht="34" customHeight="1">
      <x:c r="A1" s="7" t="str">
        <x:v>STT</x:v>
      </x:c>
      <x:c r="B1" s="7" t="str">
        <x:v>Test Case ID</x:v>
      </x:c>
      <x:c r="C1" s="7" t="str">
        <x:v>Module</x:v>
      </x:c>
      <x:c r="D1" s="7" t="str">
        <x:v>Sub-module</x:v>
      </x:c>
      <x:c r="E1" s="7" t="str">
        <x:v>Feature</x:v>
      </x:c>
      <x:c r="F1" s="7" t="str">
        <x:v>Test Scenario</x:v>
      </x:c>
      <x:c r="G1" s="7" t="str">
        <x:v>Test Case Title</x:v>
      </x:c>
      <x:c r="H1" s="7" t="str">
        <x:v>Requirement/User Story ID</x:v>
      </x:c>
      <x:c r="I1" s="7" t="str">
        <x:v>User Role</x:v>
      </x:c>
      <x:c r="J1" s="7" t="str">
        <x:v>Test Type</x:v>
      </x:c>
      <x:c r="K1" s="7" t="str">
        <x:v>Priority</x:v>
      </x:c>
      <x:c r="L1" s="7" t="str">
        <x:v>Severity</x:v>
      </x:c>
      <x:c r="M1" s="7" t="str">
        <x:v>Preconditions</x:v>
      </x:c>
      <x:c r="N1" s="7" t="str">
        <x:v>Test Data</x:v>
      </x:c>
      <x:c r="O1" s="7" t="str">
        <x:v>Test Steps</x:v>
      </x:c>
      <x:c r="P1" s="7" t="str">
        <x:v>Expected Result</x:v>
      </x:c>
      <x:c r="Q1" s="7" t="str">
        <x:v>Actual Result</x:v>
      </x:c>
      <x:c r="R1" s="7" t="str">
        <x:v>Status</x:v>
      </x:c>
      <x:c r="S1" s="7" t="str">
        <x:v>Environment</x:v>
      </x:c>
      <x:c r="T1" s="7" t="str">
        <x:v>Browser/Device</x:v>
      </x:c>
      <x:c r="U1" s="7" t="str">
        <x:v>Tester</x:v>
      </x:c>
      <x:c r="V1" s="7" t="str">
        <x:v>Test Date</x:v>
      </x:c>
      <x:c r="W1" s="7" t="str">
        <x:v>Evidence/Attachment</x:v>
      </x:c>
      <x:c r="X1" s="7" t="str">
        <x:v>Bug ID</x:v>
      </x:c>
      <x:c r="Y1" s="7" t="str">
        <x:v>Notes</x:v>
      </x:c>
    </x:row>
    <x:row r="2" ht="49" customHeight="1">
      <x:c r="A2" s="3" t="n">
        <x:v>1</x:v>
      </x:c>
      <x:c r="B2" s="3" t="str">
        <x:v>TC_COMPAT_001</x:v>
      </x:c>
      <x:c r="C2" s="3" t="str">
        <x:v>COMPAT</x:v>
      </x:c>
      <x:c r="D2" s="3" t="str">
        <x:v>Nền tảng</x:v>
      </x:c>
      <x:c r="E2" s="3" t="str">
        <x:v>Nền tảng</x:v>
      </x:c>
      <x:c r="F2" s="3" t="str">
        <x:v>Compatibility — Windows Chrome — Public VI/EN</x:v>
      </x:c>
      <x:c r="G2" s="3" t="str">
        <x:v>Windows Chrome — Public VI/EN</x:v>
      </x:c>
      <x:c r="H2" s="3" t="str">
        <x:v>OBS-COMPAT</x:v>
      </x:c>
      <x:c r="I2" s="3" t="str">
        <x:v>Khách truy cập</x:v>
      </x:c>
      <x:c r="J2" s="3" t="str">
        <x:v>Compatibility</x:v>
      </x:c>
      <x:c r="K2" s="3" t="str">
        <x:v>Medium</x:v>
      </x:c>
      <x:c r="L2" s="3" t="str">
        <x:v>Medium</x:v>
      </x:c>
      <x:c r="M2" s="3" t="str">
        <x:v>QA/UAT public sẵn sàng; không cần đăng nhập; demo=false cho case tích hợp CMS/public. Ghi viewport, OS và browser thực.</x:v>
      </x:c>
      <x:c r="N2" s="3" t="str">
        <x:v>Phiên bản stable đã cài khi chạy; ghi version/OS thực vào Browser/Device; không giả định version.</x:v>
      </x:c>
      <x:c r="O2" s="3" t="str">
        <x:v>1. Mở /vi, đổi EN, mở menu và tìm chương trình</x:v>
      </x:c>
      <x:c r="P2" s="3" t="str">
        <x:v>Nội dung/locale và điều hướng nhất quán; không lỗi runtime.</x:v>
      </x:c>
      <x:c r="Q2" s="11" t="str"/>
      <x:c r="R2" s="8" t="str">
        <x:v>NOT RUN</x:v>
      </x:c>
      <x:c r="S2" s="11" t="str">
        <x:v>QA/UAT — cần điền URL/build</x:v>
      </x:c>
      <x:c r="T2" s="11" t="str">
        <x:v>Windows Chrome</x:v>
      </x:c>
      <x:c r="U2" s="11" t="str"/>
      <x:c r="V2" s="12" t="str"/>
      <x:c r="W2" s="11" t="str"/>
      <x:c r="X2" s="11" t="str"/>
      <x:c r="Y2" s="3" t="str">
        <x:v>Nguồn: frontend/package.json; admin/package.json. Danh sách thiết bị nghiệm thu chính thức cần xác nhận OQ-010.</x:v>
      </x:c>
    </x:row>
    <x:row r="3" ht="49" customHeight="1">
      <x:c r="A3" s="3" t="n">
        <x:v>2</x:v>
      </x:c>
      <x:c r="B3" s="3" t="str">
        <x:v>TC_COMPAT_002</x:v>
      </x:c>
      <x:c r="C3" s="3" t="str">
        <x:v>COMPAT</x:v>
      </x:c>
      <x:c r="D3" s="3" t="str">
        <x:v>Nền tảng</x:v>
      </x:c>
      <x:c r="E3" s="3" t="str">
        <x:v>Nền tảng</x:v>
      </x:c>
      <x:c r="F3" s="3" t="str">
        <x:v>Compatibility — Windows Chrome — Tư vấn</x:v>
      </x:c>
      <x:c r="G3" s="3" t="str">
        <x:v>Windows Chrome — Tư vấn</x:v>
      </x:c>
      <x:c r="H3" s="3" t="str">
        <x:v>OBS-COMPAT</x:v>
      </x:c>
      <x:c r="I3" s="3" t="str">
        <x:v>Khách truy cập</x:v>
      </x:c>
      <x:c r="J3" s="3" t="str">
        <x:v>Compatibility</x:v>
      </x:c>
      <x:c r="K3" s="3" t="str">
        <x:v>Medium</x:v>
      </x:c>
      <x:c r="L3" s="3" t="str">
        <x:v>Medium</x:v>
      </x:c>
      <x:c r="M3" s="3" t="str">
        <x:v>QA/UAT public sẵn sàng; không cần đăng nhập; demo=false cho case tích hợp CMS/public. Ghi viewport, OS và browser thực.</x:v>
      </x:c>
      <x:c r="N3" s="3" t="str">
        <x:v>Phiên bản stable đã cài khi chạy; ghi version/OS thực vào Browser/Device; không giả định version.</x:v>
      </x:c>
      <x:c r="O3" s="3" t="str">
        <x:v>1. Gửi CONSULT và kiểm tra validation lỗi</x:v>
      </x:c>
      <x:c r="P3" s="3" t="str">
        <x:v>Form gửi201, lỗi đọc được; keyboard email/tel thích hợp trên mobile.</x:v>
      </x:c>
      <x:c r="Q3" s="11" t="str"/>
      <x:c r="R3" s="8" t="str">
        <x:v>NOT RUN</x:v>
      </x:c>
      <x:c r="S3" s="11" t="str">
        <x:v>QA/UAT — cần điền URL/build</x:v>
      </x:c>
      <x:c r="T3" s="11" t="str">
        <x:v>Windows Chrome</x:v>
      </x:c>
      <x:c r="U3" s="11" t="str"/>
      <x:c r="V3" s="12" t="str"/>
      <x:c r="W3" s="11" t="str"/>
      <x:c r="X3" s="11" t="str"/>
      <x:c r="Y3" s="3" t="str">
        <x:v>Nguồn: frontend/package.json; admin/package.json. Danh sách thiết bị nghiệm thu chính thức cần xác nhận OQ-010.</x:v>
      </x:c>
    </x:row>
    <x:row r="4" ht="49" customHeight="1">
      <x:c r="A4" s="3" t="n">
        <x:v>3</x:v>
      </x:c>
      <x:c r="B4" s="3" t="str">
        <x:v>TC_COMPAT_003</x:v>
      </x:c>
      <x:c r="C4" s="3" t="str">
        <x:v>COMPAT</x:v>
      </x:c>
      <x:c r="D4" s="3" t="str">
        <x:v>Nền tảng</x:v>
      </x:c>
      <x:c r="E4" s="3" t="str">
        <x:v>Nền tảng</x:v>
      </x:c>
      <x:c r="F4" s="3" t="str">
        <x:v>Compatibility — Windows Chrome — PDF tải và preview</x:v>
      </x:c>
      <x:c r="G4" s="3" t="str">
        <x:v>Windows Chrome — PDF tải và preview</x:v>
      </x:c>
      <x:c r="H4" s="3" t="str">
        <x:v>OBS-COMPAT</x:v>
      </x:c>
      <x:c r="I4" s="3" t="str">
        <x:v>Khách truy cập</x:v>
      </x:c>
      <x:c r="J4" s="3" t="str">
        <x:v>Compatibility</x:v>
      </x:c>
      <x:c r="K4" s="3" t="str">
        <x:v>Medium</x:v>
      </x:c>
      <x:c r="L4" s="3" t="str">
        <x:v>Medium</x:v>
      </x:c>
      <x:c r="M4" s="3" t="str">
        <x:v>QA/UAT public sẵn sàng; không cần đăng nhập; demo=false cho case tích hợp CMS/public. Ghi viewport, OS và browser thực.</x:v>
      </x:c>
      <x:c r="N4" s="3" t="str">
        <x:v>Phiên bản stable đã cài khi chạy; ghi version/OS thực vào Browser/Device; không giả định version.</x:v>
      </x:c>
      <x:c r="O4" s="3" t="str">
        <x:v>1. Mở /vi/resources
2. Preview PDF rồi tải file</x:v>
      </x:c>
      <x:c r="P4" s="3" t="str">
        <x:v>Có thể xem/tải theo khả năng browser; file đúng tên và bytes; có đường tải khi inline viewer không hỗ trợ.</x:v>
      </x:c>
      <x:c r="Q4" s="11" t="str"/>
      <x:c r="R4" s="8" t="str">
        <x:v>NOT RUN</x:v>
      </x:c>
      <x:c r="S4" s="11" t="str">
        <x:v>QA/UAT — cần điền URL/build</x:v>
      </x:c>
      <x:c r="T4" s="11" t="str">
        <x:v>Windows Chrome</x:v>
      </x:c>
      <x:c r="U4" s="11" t="str"/>
      <x:c r="V4" s="12" t="str"/>
      <x:c r="W4" s="11" t="str"/>
      <x:c r="X4" s="11" t="str"/>
      <x:c r="Y4" s="3" t="str">
        <x:v>Nguồn: frontend/package.json; admin/package.json. Danh sách thiết bị nghiệm thu chính thức cần xác nhận OQ-010.</x:v>
      </x:c>
    </x:row>
    <x:row r="5" ht="49" customHeight="1">
      <x:c r="A5" s="3" t="n">
        <x:v>4</x:v>
      </x:c>
      <x:c r="B5" s="3" t="str">
        <x:v>TC_COMPAT_004</x:v>
      </x:c>
      <x:c r="C5" s="3" t="str">
        <x:v>COMPAT</x:v>
      </x:c>
      <x:c r="D5" s="3" t="str">
        <x:v>Nền tảng</x:v>
      </x:c>
      <x:c r="E5" s="3" t="str">
        <x:v>Nền tảng</x:v>
      </x:c>
      <x:c r="F5" s="3" t="str">
        <x:v>Compatibility — Windows Chrome — Admin CMS</x:v>
      </x:c>
      <x:c r="G5" s="3" t="str">
        <x:v>Windows Chrome — Admin CMS</x:v>
      </x:c>
      <x:c r="H5" s="3" t="str">
        <x:v>OBS-COMPAT</x:v>
      </x:c>
      <x:c r="I5" s="3" t="str">
        <x:v>QTV có quyền tương ứng</x:v>
      </x:c>
      <x:c r="J5" s="3" t="str">
        <x:v>Compatibility</x:v>
      </x:c>
      <x:c r="K5" s="3" t="str">
        <x:v>Medium</x:v>
      </x:c>
      <x:c r="L5" s="3" t="str">
        <x:v>Medium</x:v>
      </x:c>
      <x:c r="M5" s="3" t="str">
        <x:v>Môi trường QA cô lập, DB/MinIO sẵn sàng; dữ liệu fixture đã tạo. Đăng nhập tài khoản ACTIVE, mustChangePassword=false.</x:v>
      </x:c>
      <x:c r="N5" s="3" t="str">
        <x:v>Phiên bản stable đã cài khi chạy; ghi version/OS thực vào Browser/Device; không giả định version.</x:v>
      </x:c>
      <x:c r="O5" s="3" t="str">
        <x:v>1. Đăng nhập
2. Mở editor, upload ảnh, lưu tin nháp</x:v>
      </x:c>
      <x:c r="P5" s="3" t="str">
        <x:v>Cookie duy trì; file chọn/upload được; nội dung định dạng giữ đúng sau reload.</x:v>
      </x:c>
      <x:c r="Q5" s="11" t="str"/>
      <x:c r="R5" s="8" t="str">
        <x:v>NOT RUN</x:v>
      </x:c>
      <x:c r="S5" s="11" t="str">
        <x:v>QA/UAT — cần điền URL/build</x:v>
      </x:c>
      <x:c r="T5" s="11" t="str">
        <x:v>Windows Chrome</x:v>
      </x:c>
      <x:c r="U5" s="11" t="str"/>
      <x:c r="V5" s="12" t="str"/>
      <x:c r="W5" s="11" t="str"/>
      <x:c r="X5" s="11" t="str"/>
      <x:c r="Y5" s="3" t="str">
        <x:v>Nguồn: frontend/package.json; admin/package.json. Danh sách thiết bị nghiệm thu chính thức cần xác nhận OQ-010.</x:v>
      </x:c>
    </x:row>
    <x:row r="6" ht="49" customHeight="1">
      <x:c r="A6" s="3" t="n">
        <x:v>5</x:v>
      </x:c>
      <x:c r="B6" s="3" t="str">
        <x:v>TC_COMPAT_005</x:v>
      </x:c>
      <x:c r="C6" s="3" t="str">
        <x:v>COMPAT</x:v>
      </x:c>
      <x:c r="D6" s="3" t="str">
        <x:v>Nền tảng</x:v>
      </x:c>
      <x:c r="E6" s="3" t="str">
        <x:v>Nền tảng</x:v>
      </x:c>
      <x:c r="F6" s="3" t="str">
        <x:v>Compatibility — Windows Edge — Public VI/EN</x:v>
      </x:c>
      <x:c r="G6" s="3" t="str">
        <x:v>Windows Edge — Public VI/EN</x:v>
      </x:c>
      <x:c r="H6" s="3" t="str">
        <x:v>OBS-COMPAT</x:v>
      </x:c>
      <x:c r="I6" s="3" t="str">
        <x:v>Khách truy cập</x:v>
      </x:c>
      <x:c r="J6" s="3" t="str">
        <x:v>Compatibility</x:v>
      </x:c>
      <x:c r="K6" s="3" t="str">
        <x:v>Medium</x:v>
      </x:c>
      <x:c r="L6" s="3" t="str">
        <x:v>Medium</x:v>
      </x:c>
      <x:c r="M6" s="3" t="str">
        <x:v>QA/UAT public sẵn sàng; không cần đăng nhập; demo=false cho case tích hợp CMS/public. Ghi viewport, OS và browser thực.</x:v>
      </x:c>
      <x:c r="N6" s="3" t="str">
        <x:v>Phiên bản stable đã cài khi chạy; ghi version/OS thực vào Browser/Device; không giả định version.</x:v>
      </x:c>
      <x:c r="O6" s="3" t="str">
        <x:v>1. Mở /vi, đổi EN, mở menu và tìm chương trình</x:v>
      </x:c>
      <x:c r="P6" s="3" t="str">
        <x:v>Nội dung/locale và điều hướng nhất quán; không lỗi runtime.</x:v>
      </x:c>
      <x:c r="Q6" s="11" t="str"/>
      <x:c r="R6" s="8" t="str">
        <x:v>NOT RUN</x:v>
      </x:c>
      <x:c r="S6" s="11" t="str">
        <x:v>QA/UAT — cần điền URL/build</x:v>
      </x:c>
      <x:c r="T6" s="11" t="str">
        <x:v>Windows Edge</x:v>
      </x:c>
      <x:c r="U6" s="11" t="str"/>
      <x:c r="V6" s="12" t="str"/>
      <x:c r="W6" s="11" t="str"/>
      <x:c r="X6" s="11" t="str"/>
      <x:c r="Y6" s="3" t="str">
        <x:v>Nguồn: frontend/package.json; admin/package.json. Danh sách thiết bị nghiệm thu chính thức cần xác nhận OQ-010.</x:v>
      </x:c>
    </x:row>
    <x:row r="7" ht="49" customHeight="1">
      <x:c r="A7" s="3" t="n">
        <x:v>6</x:v>
      </x:c>
      <x:c r="B7" s="3" t="str">
        <x:v>TC_COMPAT_006</x:v>
      </x:c>
      <x:c r="C7" s="3" t="str">
        <x:v>COMPAT</x:v>
      </x:c>
      <x:c r="D7" s="3" t="str">
        <x:v>Nền tảng</x:v>
      </x:c>
      <x:c r="E7" s="3" t="str">
        <x:v>Nền tảng</x:v>
      </x:c>
      <x:c r="F7" s="3" t="str">
        <x:v>Compatibility — Windows Edge — Tư vấn</x:v>
      </x:c>
      <x:c r="G7" s="3" t="str">
        <x:v>Windows Edge — Tư vấn</x:v>
      </x:c>
      <x:c r="H7" s="3" t="str">
        <x:v>OBS-COMPAT</x:v>
      </x:c>
      <x:c r="I7" s="3" t="str">
        <x:v>Khách truy cập</x:v>
      </x:c>
      <x:c r="J7" s="3" t="str">
        <x:v>Compatibility</x:v>
      </x:c>
      <x:c r="K7" s="3" t="str">
        <x:v>Medium</x:v>
      </x:c>
      <x:c r="L7" s="3" t="str">
        <x:v>Medium</x:v>
      </x:c>
      <x:c r="M7" s="3" t="str">
        <x:v>QA/UAT public sẵn sàng; không cần đăng nhập; demo=false cho case tích hợp CMS/public. Ghi viewport, OS và browser thực.</x:v>
      </x:c>
      <x:c r="N7" s="3" t="str">
        <x:v>Phiên bản stable đã cài khi chạy; ghi version/OS thực vào Browser/Device; không giả định version.</x:v>
      </x:c>
      <x:c r="O7" s="3" t="str">
        <x:v>1. Gửi CONSULT và kiểm tra validation lỗi</x:v>
      </x:c>
      <x:c r="P7" s="3" t="str">
        <x:v>Form gửi201, lỗi đọc được; keyboard email/tel thích hợp trên mobile.</x:v>
      </x:c>
      <x:c r="Q7" s="11" t="str"/>
      <x:c r="R7" s="8" t="str">
        <x:v>NOT RUN</x:v>
      </x:c>
      <x:c r="S7" s="11" t="str">
        <x:v>QA/UAT — cần điền URL/build</x:v>
      </x:c>
      <x:c r="T7" s="11" t="str">
        <x:v>Windows Edge</x:v>
      </x:c>
      <x:c r="U7" s="11" t="str"/>
      <x:c r="V7" s="12" t="str"/>
      <x:c r="W7" s="11" t="str"/>
      <x:c r="X7" s="11" t="str"/>
      <x:c r="Y7" s="3" t="str">
        <x:v>Nguồn: frontend/package.json; admin/package.json. Danh sách thiết bị nghiệm thu chính thức cần xác nhận OQ-010.</x:v>
      </x:c>
    </x:row>
    <x:row r="8" ht="49" customHeight="1">
      <x:c r="A8" s="3" t="n">
        <x:v>7</x:v>
      </x:c>
      <x:c r="B8" s="3" t="str">
        <x:v>TC_COMPAT_007</x:v>
      </x:c>
      <x:c r="C8" s="3" t="str">
        <x:v>COMPAT</x:v>
      </x:c>
      <x:c r="D8" s="3" t="str">
        <x:v>Nền tảng</x:v>
      </x:c>
      <x:c r="E8" s="3" t="str">
        <x:v>Nền tảng</x:v>
      </x:c>
      <x:c r="F8" s="3" t="str">
        <x:v>Compatibility — Windows Edge — PDF tải và preview</x:v>
      </x:c>
      <x:c r="G8" s="3" t="str">
        <x:v>Windows Edge — PDF tải và preview</x:v>
      </x:c>
      <x:c r="H8" s="3" t="str">
        <x:v>OBS-COMPAT</x:v>
      </x:c>
      <x:c r="I8" s="3" t="str">
        <x:v>Khách truy cập</x:v>
      </x:c>
      <x:c r="J8" s="3" t="str">
        <x:v>Compatibility</x:v>
      </x:c>
      <x:c r="K8" s="3" t="str">
        <x:v>Medium</x:v>
      </x:c>
      <x:c r="L8" s="3" t="str">
        <x:v>Medium</x:v>
      </x:c>
      <x:c r="M8" s="3" t="str">
        <x:v>QA/UAT public sẵn sàng; không cần đăng nhập; demo=false cho case tích hợp CMS/public. Ghi viewport, OS và browser thực.</x:v>
      </x:c>
      <x:c r="N8" s="3" t="str">
        <x:v>Phiên bản stable đã cài khi chạy; ghi version/OS thực vào Browser/Device; không giả định version.</x:v>
      </x:c>
      <x:c r="O8" s="3" t="str">
        <x:v>1. Mở /vi/resources
2. Preview PDF rồi tải file</x:v>
      </x:c>
      <x:c r="P8" s="3" t="str">
        <x:v>Có thể xem/tải theo khả năng browser; file đúng tên và bytes; có đường tải khi inline viewer không hỗ trợ.</x:v>
      </x:c>
      <x:c r="Q8" s="11" t="str"/>
      <x:c r="R8" s="8" t="str">
        <x:v>NOT RUN</x:v>
      </x:c>
      <x:c r="S8" s="11" t="str">
        <x:v>QA/UAT — cần điền URL/build</x:v>
      </x:c>
      <x:c r="T8" s="11" t="str">
        <x:v>Windows Edge</x:v>
      </x:c>
      <x:c r="U8" s="11" t="str"/>
      <x:c r="V8" s="12" t="str"/>
      <x:c r="W8" s="11" t="str"/>
      <x:c r="X8" s="11" t="str"/>
      <x:c r="Y8" s="3" t="str">
        <x:v>Nguồn: frontend/package.json; admin/package.json. Danh sách thiết bị nghiệm thu chính thức cần xác nhận OQ-010.</x:v>
      </x:c>
    </x:row>
    <x:row r="9" ht="49" customHeight="1">
      <x:c r="A9" s="3" t="n">
        <x:v>8</x:v>
      </x:c>
      <x:c r="B9" s="3" t="str">
        <x:v>TC_COMPAT_008</x:v>
      </x:c>
      <x:c r="C9" s="3" t="str">
        <x:v>COMPAT</x:v>
      </x:c>
      <x:c r="D9" s="3" t="str">
        <x:v>Nền tảng</x:v>
      </x:c>
      <x:c r="E9" s="3" t="str">
        <x:v>Nền tảng</x:v>
      </x:c>
      <x:c r="F9" s="3" t="str">
        <x:v>Compatibility — Windows Edge — Admin CMS</x:v>
      </x:c>
      <x:c r="G9" s="3" t="str">
        <x:v>Windows Edge — Admin CMS</x:v>
      </x:c>
      <x:c r="H9" s="3" t="str">
        <x:v>OBS-COMPAT</x:v>
      </x:c>
      <x:c r="I9" s="3" t="str">
        <x:v>QTV có quyền tương ứng</x:v>
      </x:c>
      <x:c r="J9" s="3" t="str">
        <x:v>Compatibility</x:v>
      </x:c>
      <x:c r="K9" s="3" t="str">
        <x:v>Medium</x:v>
      </x:c>
      <x:c r="L9" s="3" t="str">
        <x:v>Medium</x:v>
      </x:c>
      <x:c r="M9" s="3" t="str">
        <x:v>Môi trường QA cô lập, DB/MinIO sẵn sàng; dữ liệu fixture đã tạo. Đăng nhập tài khoản ACTIVE, mustChangePassword=false.</x:v>
      </x:c>
      <x:c r="N9" s="3" t="str">
        <x:v>Phiên bản stable đã cài khi chạy; ghi version/OS thực vào Browser/Device; không giả định version.</x:v>
      </x:c>
      <x:c r="O9" s="3" t="str">
        <x:v>1. Đăng nhập
2. Mở editor, upload ảnh, lưu tin nháp</x:v>
      </x:c>
      <x:c r="P9" s="3" t="str">
        <x:v>Cookie duy trì; file chọn/upload được; nội dung định dạng giữ đúng sau reload.</x:v>
      </x:c>
      <x:c r="Q9" s="11" t="str"/>
      <x:c r="R9" s="8" t="str">
        <x:v>NOT RUN</x:v>
      </x:c>
      <x:c r="S9" s="11" t="str">
        <x:v>QA/UAT — cần điền URL/build</x:v>
      </x:c>
      <x:c r="T9" s="11" t="str">
        <x:v>Windows Edge</x:v>
      </x:c>
      <x:c r="U9" s="11" t="str"/>
      <x:c r="V9" s="12" t="str"/>
      <x:c r="W9" s="11" t="str"/>
      <x:c r="X9" s="11" t="str"/>
      <x:c r="Y9" s="3" t="str">
        <x:v>Nguồn: frontend/package.json; admin/package.json. Danh sách thiết bị nghiệm thu chính thức cần xác nhận OQ-010.</x:v>
      </x:c>
    </x:row>
    <x:row r="10" ht="49" customHeight="1">
      <x:c r="A10" s="3" t="n">
        <x:v>9</x:v>
      </x:c>
      <x:c r="B10" s="3" t="str">
        <x:v>TC_COMPAT_009</x:v>
      </x:c>
      <x:c r="C10" s="3" t="str">
        <x:v>COMPAT</x:v>
      </x:c>
      <x:c r="D10" s="3" t="str">
        <x:v>Nền tảng</x:v>
      </x:c>
      <x:c r="E10" s="3" t="str">
        <x:v>Nền tảng</x:v>
      </x:c>
      <x:c r="F10" s="3" t="str">
        <x:v>Compatibility — Windows Firefox — Public VI/EN</x:v>
      </x:c>
      <x:c r="G10" s="3" t="str">
        <x:v>Windows Firefox — Public VI/EN</x:v>
      </x:c>
      <x:c r="H10" s="3" t="str">
        <x:v>OBS-COMPAT</x:v>
      </x:c>
      <x:c r="I10" s="3" t="str">
        <x:v>Khách truy cập</x:v>
      </x:c>
      <x:c r="J10" s="3" t="str">
        <x:v>Compatibility</x:v>
      </x:c>
      <x:c r="K10" s="3" t="str">
        <x:v>Medium</x:v>
      </x:c>
      <x:c r="L10" s="3" t="str">
        <x:v>Medium</x:v>
      </x:c>
      <x:c r="M10" s="3" t="str">
        <x:v>QA/UAT public sẵn sàng; không cần đăng nhập; demo=false cho case tích hợp CMS/public. Ghi viewport, OS và browser thực.</x:v>
      </x:c>
      <x:c r="N10" s="3" t="str">
        <x:v>Phiên bản stable đã cài khi chạy; ghi version/OS thực vào Browser/Device; không giả định version.</x:v>
      </x:c>
      <x:c r="O10" s="3" t="str">
        <x:v>1. Mở /vi, đổi EN, mở menu và tìm chương trình</x:v>
      </x:c>
      <x:c r="P10" s="3" t="str">
        <x:v>Nội dung/locale và điều hướng nhất quán; không lỗi runtime.</x:v>
      </x:c>
      <x:c r="Q10" s="11" t="str"/>
      <x:c r="R10" s="8" t="str">
        <x:v>NOT RUN</x:v>
      </x:c>
      <x:c r="S10" s="11" t="str">
        <x:v>QA/UAT — cần điền URL/build</x:v>
      </x:c>
      <x:c r="T10" s="11" t="str">
        <x:v>Windows Firefox</x:v>
      </x:c>
      <x:c r="U10" s="11" t="str"/>
      <x:c r="V10" s="12" t="str"/>
      <x:c r="W10" s="11" t="str"/>
      <x:c r="X10" s="11" t="str"/>
      <x:c r="Y10" s="3" t="str">
        <x:v>Nguồn: frontend/package.json; admin/package.json. Danh sách thiết bị nghiệm thu chính thức cần xác nhận OQ-010.</x:v>
      </x:c>
    </x:row>
    <x:row r="11" ht="49" customHeight="1">
      <x:c r="A11" s="3" t="n">
        <x:v>10</x:v>
      </x:c>
      <x:c r="B11" s="3" t="str">
        <x:v>TC_COMPAT_010</x:v>
      </x:c>
      <x:c r="C11" s="3" t="str">
        <x:v>COMPAT</x:v>
      </x:c>
      <x:c r="D11" s="3" t="str">
        <x:v>Nền tảng</x:v>
      </x:c>
      <x:c r="E11" s="3" t="str">
        <x:v>Nền tảng</x:v>
      </x:c>
      <x:c r="F11" s="3" t="str">
        <x:v>Compatibility — Windows Firefox — Tư vấn</x:v>
      </x:c>
      <x:c r="G11" s="3" t="str">
        <x:v>Windows Firefox — Tư vấn</x:v>
      </x:c>
      <x:c r="H11" s="3" t="str">
        <x:v>OBS-COMPAT</x:v>
      </x:c>
      <x:c r="I11" s="3" t="str">
        <x:v>Khách truy cập</x:v>
      </x:c>
      <x:c r="J11" s="3" t="str">
        <x:v>Compatibility</x:v>
      </x:c>
      <x:c r="K11" s="3" t="str">
        <x:v>Medium</x:v>
      </x:c>
      <x:c r="L11" s="3" t="str">
        <x:v>Medium</x:v>
      </x:c>
      <x:c r="M11" s="3" t="str">
        <x:v>QA/UAT public sẵn sàng; không cần đăng nhập; demo=false cho case tích hợp CMS/public. Ghi viewport, OS và browser thực.</x:v>
      </x:c>
      <x:c r="N11" s="3" t="str">
        <x:v>Phiên bản stable đã cài khi chạy; ghi version/OS thực vào Browser/Device; không giả định version.</x:v>
      </x:c>
      <x:c r="O11" s="3" t="str">
        <x:v>1. Gửi CONSULT và kiểm tra validation lỗi</x:v>
      </x:c>
      <x:c r="P11" s="3" t="str">
        <x:v>Form gửi201, lỗi đọc được; keyboard email/tel thích hợp trên mobile.</x:v>
      </x:c>
      <x:c r="Q11" s="11" t="str"/>
      <x:c r="R11" s="8" t="str">
        <x:v>NOT RUN</x:v>
      </x:c>
      <x:c r="S11" s="11" t="str">
        <x:v>QA/UAT — cần điền URL/build</x:v>
      </x:c>
      <x:c r="T11" s="11" t="str">
        <x:v>Windows Firefox</x:v>
      </x:c>
      <x:c r="U11" s="11" t="str"/>
      <x:c r="V11" s="12" t="str"/>
      <x:c r="W11" s="11" t="str"/>
      <x:c r="X11" s="11" t="str"/>
      <x:c r="Y11" s="3" t="str">
        <x:v>Nguồn: frontend/package.json; admin/package.json. Danh sách thiết bị nghiệm thu chính thức cần xác nhận OQ-010.</x:v>
      </x:c>
    </x:row>
    <x:row r="12" ht="49" customHeight="1">
      <x:c r="A12" s="3" t="n">
        <x:v>11</x:v>
      </x:c>
      <x:c r="B12" s="3" t="str">
        <x:v>TC_COMPAT_011</x:v>
      </x:c>
      <x:c r="C12" s="3" t="str">
        <x:v>COMPAT</x:v>
      </x:c>
      <x:c r="D12" s="3" t="str">
        <x:v>Nền tảng</x:v>
      </x:c>
      <x:c r="E12" s="3" t="str">
        <x:v>Nền tảng</x:v>
      </x:c>
      <x:c r="F12" s="3" t="str">
        <x:v>Compatibility — Windows Firefox — PDF tải và preview</x:v>
      </x:c>
      <x:c r="G12" s="3" t="str">
        <x:v>Windows Firefox — PDF tải và preview</x:v>
      </x:c>
      <x:c r="H12" s="3" t="str">
        <x:v>OBS-COMPAT</x:v>
      </x:c>
      <x:c r="I12" s="3" t="str">
        <x:v>Khách truy cập</x:v>
      </x:c>
      <x:c r="J12" s="3" t="str">
        <x:v>Compatibility</x:v>
      </x:c>
      <x:c r="K12" s="3" t="str">
        <x:v>Medium</x:v>
      </x:c>
      <x:c r="L12" s="3" t="str">
        <x:v>Medium</x:v>
      </x:c>
      <x:c r="M12" s="3" t="str">
        <x:v>QA/UAT public sẵn sàng; không cần đăng nhập; demo=false cho case tích hợp CMS/public. Ghi viewport, OS và browser thực.</x:v>
      </x:c>
      <x:c r="N12" s="3" t="str">
        <x:v>Phiên bản stable đã cài khi chạy; ghi version/OS thực vào Browser/Device; không giả định version.</x:v>
      </x:c>
      <x:c r="O12" s="3" t="str">
        <x:v>1. Mở /vi/resources
2. Preview PDF rồi tải file</x:v>
      </x:c>
      <x:c r="P12" s="3" t="str">
        <x:v>Có thể xem/tải theo khả năng browser; file đúng tên và bytes; có đường tải khi inline viewer không hỗ trợ.</x:v>
      </x:c>
      <x:c r="Q12" s="11" t="str"/>
      <x:c r="R12" s="8" t="str">
        <x:v>NOT RUN</x:v>
      </x:c>
      <x:c r="S12" s="11" t="str">
        <x:v>QA/UAT — cần điền URL/build</x:v>
      </x:c>
      <x:c r="T12" s="11" t="str">
        <x:v>Windows Firefox</x:v>
      </x:c>
      <x:c r="U12" s="11" t="str"/>
      <x:c r="V12" s="12" t="str"/>
      <x:c r="W12" s="11" t="str"/>
      <x:c r="X12" s="11" t="str"/>
      <x:c r="Y12" s="3" t="str">
        <x:v>Nguồn: frontend/package.json; admin/package.json. Danh sách thiết bị nghiệm thu chính thức cần xác nhận OQ-010.</x:v>
      </x:c>
    </x:row>
    <x:row r="13" ht="49" customHeight="1">
      <x:c r="A13" s="3" t="n">
        <x:v>12</x:v>
      </x:c>
      <x:c r="B13" s="3" t="str">
        <x:v>TC_COMPAT_012</x:v>
      </x:c>
      <x:c r="C13" s="3" t="str">
        <x:v>COMPAT</x:v>
      </x:c>
      <x:c r="D13" s="3" t="str">
        <x:v>Nền tảng</x:v>
      </x:c>
      <x:c r="E13" s="3" t="str">
        <x:v>Nền tảng</x:v>
      </x:c>
      <x:c r="F13" s="3" t="str">
        <x:v>Compatibility — Windows Firefox — Admin CMS</x:v>
      </x:c>
      <x:c r="G13" s="3" t="str">
        <x:v>Windows Firefox — Admin CMS</x:v>
      </x:c>
      <x:c r="H13" s="3" t="str">
        <x:v>OBS-COMPAT</x:v>
      </x:c>
      <x:c r="I13" s="3" t="str">
        <x:v>QTV có quyền tương ứng</x:v>
      </x:c>
      <x:c r="J13" s="3" t="str">
        <x:v>Compatibility</x:v>
      </x:c>
      <x:c r="K13" s="3" t="str">
        <x:v>Medium</x:v>
      </x:c>
      <x:c r="L13" s="3" t="str">
        <x:v>Medium</x:v>
      </x:c>
      <x:c r="M13" s="3" t="str">
        <x:v>Môi trường QA cô lập, DB/MinIO sẵn sàng; dữ liệu fixture đã tạo. Đăng nhập tài khoản ACTIVE, mustChangePassword=false.</x:v>
      </x:c>
      <x:c r="N13" s="3" t="str">
        <x:v>Phiên bản stable đã cài khi chạy; ghi version/OS thực vào Browser/Device; không giả định version.</x:v>
      </x:c>
      <x:c r="O13" s="3" t="str">
        <x:v>1. Đăng nhập
2. Mở editor, upload ảnh, lưu tin nháp</x:v>
      </x:c>
      <x:c r="P13" s="3" t="str">
        <x:v>Cookie duy trì; file chọn/upload được; nội dung định dạng giữ đúng sau reload.</x:v>
      </x:c>
      <x:c r="Q13" s="11" t="str"/>
      <x:c r="R13" s="8" t="str">
        <x:v>NOT RUN</x:v>
      </x:c>
      <x:c r="S13" s="11" t="str">
        <x:v>QA/UAT — cần điền URL/build</x:v>
      </x:c>
      <x:c r="T13" s="11" t="str">
        <x:v>Windows Firefox</x:v>
      </x:c>
      <x:c r="U13" s="11" t="str"/>
      <x:c r="V13" s="12" t="str"/>
      <x:c r="W13" s="11" t="str"/>
      <x:c r="X13" s="11" t="str"/>
      <x:c r="Y13" s="3" t="str">
        <x:v>Nguồn: frontend/package.json; admin/package.json. Danh sách thiết bị nghiệm thu chính thức cần xác nhận OQ-010.</x:v>
      </x:c>
    </x:row>
    <x:row r="14" ht="49" customHeight="1">
      <x:c r="A14" s="3" t="n">
        <x:v>13</x:v>
      </x:c>
      <x:c r="B14" s="3" t="str">
        <x:v>TC_COMPAT_013</x:v>
      </x:c>
      <x:c r="C14" s="3" t="str">
        <x:v>COMPAT</x:v>
      </x:c>
      <x:c r="D14" s="3" t="str">
        <x:v>Nền tảng</x:v>
      </x:c>
      <x:c r="E14" s="3" t="str">
        <x:v>Nền tảng</x:v>
      </x:c>
      <x:c r="F14" s="3" t="str">
        <x:v>Compatibility — macOS Safari — Public VI/EN</x:v>
      </x:c>
      <x:c r="G14" s="3" t="str">
        <x:v>macOS Safari — Public VI/EN</x:v>
      </x:c>
      <x:c r="H14" s="3" t="str">
        <x:v>OBS-COMPAT</x:v>
      </x:c>
      <x:c r="I14" s="3" t="str">
        <x:v>Khách truy cập</x:v>
      </x:c>
      <x:c r="J14" s="3" t="str">
        <x:v>Compatibility</x:v>
      </x:c>
      <x:c r="K14" s="3" t="str">
        <x:v>Medium</x:v>
      </x:c>
      <x:c r="L14" s="3" t="str">
        <x:v>Medium</x:v>
      </x:c>
      <x:c r="M14" s="3" t="str">
        <x:v>QA/UAT public sẵn sàng; không cần đăng nhập; demo=false cho case tích hợp CMS/public. Ghi viewport, OS và browser thực.</x:v>
      </x:c>
      <x:c r="N14" s="3" t="str">
        <x:v>Phiên bản stable đã cài khi chạy; ghi version/OS thực vào Browser/Device; không giả định version.</x:v>
      </x:c>
      <x:c r="O14" s="3" t="str">
        <x:v>1. Mở /vi, đổi EN, mở menu và tìm chương trình</x:v>
      </x:c>
      <x:c r="P14" s="3" t="str">
        <x:v>Nội dung/locale và điều hướng nhất quán; không lỗi runtime.</x:v>
      </x:c>
      <x:c r="Q14" s="11" t="str"/>
      <x:c r="R14" s="8" t="str">
        <x:v>NOT RUN</x:v>
      </x:c>
      <x:c r="S14" s="11" t="str">
        <x:v>QA/UAT — cần điền URL/build</x:v>
      </x:c>
      <x:c r="T14" s="11" t="str">
        <x:v>macOS Safari</x:v>
      </x:c>
      <x:c r="U14" s="11" t="str"/>
      <x:c r="V14" s="12" t="str"/>
      <x:c r="W14" s="11" t="str"/>
      <x:c r="X14" s="11" t="str"/>
      <x:c r="Y14" s="3" t="str">
        <x:v>Nguồn: frontend/package.json; admin/package.json. Danh sách thiết bị nghiệm thu chính thức cần xác nhận OQ-010.</x:v>
      </x:c>
    </x:row>
    <x:row r="15" ht="49" customHeight="1">
      <x:c r="A15" s="3" t="n">
        <x:v>14</x:v>
      </x:c>
      <x:c r="B15" s="3" t="str">
        <x:v>TC_COMPAT_014</x:v>
      </x:c>
      <x:c r="C15" s="3" t="str">
        <x:v>COMPAT</x:v>
      </x:c>
      <x:c r="D15" s="3" t="str">
        <x:v>Nền tảng</x:v>
      </x:c>
      <x:c r="E15" s="3" t="str">
        <x:v>Nền tảng</x:v>
      </x:c>
      <x:c r="F15" s="3" t="str">
        <x:v>Compatibility — macOS Safari — Tư vấn</x:v>
      </x:c>
      <x:c r="G15" s="3" t="str">
        <x:v>macOS Safari — Tư vấn</x:v>
      </x:c>
      <x:c r="H15" s="3" t="str">
        <x:v>OBS-COMPAT</x:v>
      </x:c>
      <x:c r="I15" s="3" t="str">
        <x:v>Khách truy cập</x:v>
      </x:c>
      <x:c r="J15" s="3" t="str">
        <x:v>Compatibility</x:v>
      </x:c>
      <x:c r="K15" s="3" t="str">
        <x:v>Medium</x:v>
      </x:c>
      <x:c r="L15" s="3" t="str">
        <x:v>Medium</x:v>
      </x:c>
      <x:c r="M15" s="3" t="str">
        <x:v>QA/UAT public sẵn sàng; không cần đăng nhập; demo=false cho case tích hợp CMS/public. Ghi viewport, OS và browser thực.</x:v>
      </x:c>
      <x:c r="N15" s="3" t="str">
        <x:v>Phiên bản stable đã cài khi chạy; ghi version/OS thực vào Browser/Device; không giả định version.</x:v>
      </x:c>
      <x:c r="O15" s="3" t="str">
        <x:v>1. Gửi CONSULT và kiểm tra validation lỗi</x:v>
      </x:c>
      <x:c r="P15" s="3" t="str">
        <x:v>Form gửi201, lỗi đọc được; keyboard email/tel thích hợp trên mobile.</x:v>
      </x:c>
      <x:c r="Q15" s="11" t="str"/>
      <x:c r="R15" s="8" t="str">
        <x:v>NOT RUN</x:v>
      </x:c>
      <x:c r="S15" s="11" t="str">
        <x:v>QA/UAT — cần điền URL/build</x:v>
      </x:c>
      <x:c r="T15" s="11" t="str">
        <x:v>macOS Safari</x:v>
      </x:c>
      <x:c r="U15" s="11" t="str"/>
      <x:c r="V15" s="12" t="str"/>
      <x:c r="W15" s="11" t="str"/>
      <x:c r="X15" s="11" t="str"/>
      <x:c r="Y15" s="3" t="str">
        <x:v>Nguồn: frontend/package.json; admin/package.json. Danh sách thiết bị nghiệm thu chính thức cần xác nhận OQ-010.</x:v>
      </x:c>
    </x:row>
    <x:row r="16" ht="49" customHeight="1">
      <x:c r="A16" s="3" t="n">
        <x:v>15</x:v>
      </x:c>
      <x:c r="B16" s="3" t="str">
        <x:v>TC_COMPAT_015</x:v>
      </x:c>
      <x:c r="C16" s="3" t="str">
        <x:v>COMPAT</x:v>
      </x:c>
      <x:c r="D16" s="3" t="str">
        <x:v>Nền tảng</x:v>
      </x:c>
      <x:c r="E16" s="3" t="str">
        <x:v>Nền tảng</x:v>
      </x:c>
      <x:c r="F16" s="3" t="str">
        <x:v>Compatibility — macOS Safari — PDF tải và preview</x:v>
      </x:c>
      <x:c r="G16" s="3" t="str">
        <x:v>macOS Safari — PDF tải và preview</x:v>
      </x:c>
      <x:c r="H16" s="3" t="str">
        <x:v>OBS-COMPAT</x:v>
      </x:c>
      <x:c r="I16" s="3" t="str">
        <x:v>Khách truy cập</x:v>
      </x:c>
      <x:c r="J16" s="3" t="str">
        <x:v>Compatibility</x:v>
      </x:c>
      <x:c r="K16" s="3" t="str">
        <x:v>Medium</x:v>
      </x:c>
      <x:c r="L16" s="3" t="str">
        <x:v>Medium</x:v>
      </x:c>
      <x:c r="M16" s="3" t="str">
        <x:v>QA/UAT public sẵn sàng; không cần đăng nhập; demo=false cho case tích hợp CMS/public. Ghi viewport, OS và browser thực.</x:v>
      </x:c>
      <x:c r="N16" s="3" t="str">
        <x:v>Phiên bản stable đã cài khi chạy; ghi version/OS thực vào Browser/Device; không giả định version.</x:v>
      </x:c>
      <x:c r="O16" s="3" t="str">
        <x:v>1. Mở /vi/resources
2. Preview PDF rồi tải file</x:v>
      </x:c>
      <x:c r="P16" s="3" t="str">
        <x:v>Có thể xem/tải theo khả năng browser; file đúng tên và bytes; có đường tải khi inline viewer không hỗ trợ.</x:v>
      </x:c>
      <x:c r="Q16" s="11" t="str"/>
      <x:c r="R16" s="8" t="str">
        <x:v>NOT RUN</x:v>
      </x:c>
      <x:c r="S16" s="11" t="str">
        <x:v>QA/UAT — cần điền URL/build</x:v>
      </x:c>
      <x:c r="T16" s="11" t="str">
        <x:v>macOS Safari</x:v>
      </x:c>
      <x:c r="U16" s="11" t="str"/>
      <x:c r="V16" s="12" t="str"/>
      <x:c r="W16" s="11" t="str"/>
      <x:c r="X16" s="11" t="str"/>
      <x:c r="Y16" s="3" t="str">
        <x:v>Nguồn: frontend/package.json; admin/package.json. Danh sách thiết bị nghiệm thu chính thức cần xác nhận OQ-010.</x:v>
      </x:c>
    </x:row>
    <x:row r="17" ht="49" customHeight="1">
      <x:c r="A17" s="3" t="n">
        <x:v>16</x:v>
      </x:c>
      <x:c r="B17" s="3" t="str">
        <x:v>TC_COMPAT_016</x:v>
      </x:c>
      <x:c r="C17" s="3" t="str">
        <x:v>COMPAT</x:v>
      </x:c>
      <x:c r="D17" s="3" t="str">
        <x:v>Nền tảng</x:v>
      </x:c>
      <x:c r="E17" s="3" t="str">
        <x:v>Nền tảng</x:v>
      </x:c>
      <x:c r="F17" s="3" t="str">
        <x:v>Compatibility — macOS Safari — Admin CMS</x:v>
      </x:c>
      <x:c r="G17" s="3" t="str">
        <x:v>macOS Safari — Admin CMS</x:v>
      </x:c>
      <x:c r="H17" s="3" t="str">
        <x:v>OBS-COMPAT</x:v>
      </x:c>
      <x:c r="I17" s="3" t="str">
        <x:v>QTV có quyền tương ứng</x:v>
      </x:c>
      <x:c r="J17" s="3" t="str">
        <x:v>Compatibility</x:v>
      </x:c>
      <x:c r="K17" s="3" t="str">
        <x:v>Medium</x:v>
      </x:c>
      <x:c r="L17" s="3" t="str">
        <x:v>Medium</x:v>
      </x:c>
      <x:c r="M17" s="3" t="str">
        <x:v>Môi trường QA cô lập, DB/MinIO sẵn sàng; dữ liệu fixture đã tạo. Đăng nhập tài khoản ACTIVE, mustChangePassword=false.</x:v>
      </x:c>
      <x:c r="N17" s="3" t="str">
        <x:v>Phiên bản stable đã cài khi chạy; ghi version/OS thực vào Browser/Device; không giả định version.</x:v>
      </x:c>
      <x:c r="O17" s="3" t="str">
        <x:v>1. Đăng nhập
2. Mở editor, upload ảnh, lưu tin nháp</x:v>
      </x:c>
      <x:c r="P17" s="3" t="str">
        <x:v>Cookie duy trì; file chọn/upload được; nội dung định dạng giữ đúng sau reload.</x:v>
      </x:c>
      <x:c r="Q17" s="11" t="str"/>
      <x:c r="R17" s="8" t="str">
        <x:v>NOT RUN</x:v>
      </x:c>
      <x:c r="S17" s="11" t="str">
        <x:v>QA/UAT — cần điền URL/build</x:v>
      </x:c>
      <x:c r="T17" s="11" t="str">
        <x:v>macOS Safari</x:v>
      </x:c>
      <x:c r="U17" s="11" t="str"/>
      <x:c r="V17" s="12" t="str"/>
      <x:c r="W17" s="11" t="str"/>
      <x:c r="X17" s="11" t="str"/>
      <x:c r="Y17" s="3" t="str">
        <x:v>Nguồn: frontend/package.json; admin/package.json. Danh sách thiết bị nghiệm thu chính thức cần xác nhận OQ-010.</x:v>
      </x:c>
    </x:row>
    <x:row r="18" ht="49" customHeight="1">
      <x:c r="A18" s="3" t="n">
        <x:v>17</x:v>
      </x:c>
      <x:c r="B18" s="3" t="str">
        <x:v>TC_COMPAT_017</x:v>
      </x:c>
      <x:c r="C18" s="3" t="str">
        <x:v>COMPAT</x:v>
      </x:c>
      <x:c r="D18" s="3" t="str">
        <x:v>Nền tảng</x:v>
      </x:c>
      <x:c r="E18" s="3" t="str">
        <x:v>Nền tảng</x:v>
      </x:c>
      <x:c r="F18" s="3" t="str">
        <x:v>Compatibility — Android Chrome — Public VI/EN</x:v>
      </x:c>
      <x:c r="G18" s="3" t="str">
        <x:v>Android Chrome — Public VI/EN</x:v>
      </x:c>
      <x:c r="H18" s="3" t="str">
        <x:v>OBS-COMPAT</x:v>
      </x:c>
      <x:c r="I18" s="3" t="str">
        <x:v>Khách truy cập</x:v>
      </x:c>
      <x:c r="J18" s="3" t="str">
        <x:v>Compatibility</x:v>
      </x:c>
      <x:c r="K18" s="3" t="str">
        <x:v>Medium</x:v>
      </x:c>
      <x:c r="L18" s="3" t="str">
        <x:v>Medium</x:v>
      </x:c>
      <x:c r="M18" s="3" t="str">
        <x:v>QA/UAT public sẵn sàng; không cần đăng nhập; demo=false cho case tích hợp CMS/public. Ghi viewport, OS và browser thực.</x:v>
      </x:c>
      <x:c r="N18" s="3" t="str">
        <x:v>Phiên bản stable đã cài khi chạy; ghi version/OS thực vào Browser/Device; không giả định version.</x:v>
      </x:c>
      <x:c r="O18" s="3" t="str">
        <x:v>1. Mở /vi, đổi EN, mở menu và tìm chương trình</x:v>
      </x:c>
      <x:c r="P18" s="3" t="str">
        <x:v>Nội dung/locale và điều hướng nhất quán; không lỗi runtime.</x:v>
      </x:c>
      <x:c r="Q18" s="11" t="str"/>
      <x:c r="R18" s="8" t="str">
        <x:v>NOT RUN</x:v>
      </x:c>
      <x:c r="S18" s="11" t="str">
        <x:v>QA/UAT — cần điền URL/build</x:v>
      </x:c>
      <x:c r="T18" s="11" t="str">
        <x:v>Android Chrome</x:v>
      </x:c>
      <x:c r="U18" s="11" t="str"/>
      <x:c r="V18" s="12" t="str"/>
      <x:c r="W18" s="11" t="str"/>
      <x:c r="X18" s="11" t="str"/>
      <x:c r="Y18" s="3" t="str">
        <x:v>Nguồn: frontend/package.json; admin/package.json. Danh sách thiết bị nghiệm thu chính thức cần xác nhận OQ-010.</x:v>
      </x:c>
    </x:row>
    <x:row r="19" ht="49" customHeight="1">
      <x:c r="A19" s="3" t="n">
        <x:v>18</x:v>
      </x:c>
      <x:c r="B19" s="3" t="str">
        <x:v>TC_COMPAT_018</x:v>
      </x:c>
      <x:c r="C19" s="3" t="str">
        <x:v>COMPAT</x:v>
      </x:c>
      <x:c r="D19" s="3" t="str">
        <x:v>Nền tảng</x:v>
      </x:c>
      <x:c r="E19" s="3" t="str">
        <x:v>Nền tảng</x:v>
      </x:c>
      <x:c r="F19" s="3" t="str">
        <x:v>Compatibility — Android Chrome — Tư vấn</x:v>
      </x:c>
      <x:c r="G19" s="3" t="str">
        <x:v>Android Chrome — Tư vấn</x:v>
      </x:c>
      <x:c r="H19" s="3" t="str">
        <x:v>OBS-COMPAT</x:v>
      </x:c>
      <x:c r="I19" s="3" t="str">
        <x:v>Khách truy cập</x:v>
      </x:c>
      <x:c r="J19" s="3" t="str">
        <x:v>Compatibility</x:v>
      </x:c>
      <x:c r="K19" s="3" t="str">
        <x:v>Medium</x:v>
      </x:c>
      <x:c r="L19" s="3" t="str">
        <x:v>Medium</x:v>
      </x:c>
      <x:c r="M19" s="3" t="str">
        <x:v>QA/UAT public sẵn sàng; không cần đăng nhập; demo=false cho case tích hợp CMS/public. Ghi viewport, OS và browser thực.</x:v>
      </x:c>
      <x:c r="N19" s="3" t="str">
        <x:v>Phiên bản stable đã cài khi chạy; ghi version/OS thực vào Browser/Device; không giả định version.</x:v>
      </x:c>
      <x:c r="O19" s="3" t="str">
        <x:v>1. Gửi CONSULT và kiểm tra validation lỗi</x:v>
      </x:c>
      <x:c r="P19" s="3" t="str">
        <x:v>Form gửi201, lỗi đọc được; keyboard email/tel thích hợp trên mobile.</x:v>
      </x:c>
      <x:c r="Q19" s="11" t="str"/>
      <x:c r="R19" s="8" t="str">
        <x:v>NOT RUN</x:v>
      </x:c>
      <x:c r="S19" s="11" t="str">
        <x:v>QA/UAT — cần điền URL/build</x:v>
      </x:c>
      <x:c r="T19" s="11" t="str">
        <x:v>Android Chrome</x:v>
      </x:c>
      <x:c r="U19" s="11" t="str"/>
      <x:c r="V19" s="12" t="str"/>
      <x:c r="W19" s="11" t="str"/>
      <x:c r="X19" s="11" t="str"/>
      <x:c r="Y19" s="3" t="str">
        <x:v>Nguồn: frontend/package.json; admin/package.json. Danh sách thiết bị nghiệm thu chính thức cần xác nhận OQ-010.</x:v>
      </x:c>
    </x:row>
    <x:row r="20" ht="49" customHeight="1">
      <x:c r="A20" s="3" t="n">
        <x:v>19</x:v>
      </x:c>
      <x:c r="B20" s="3" t="str">
        <x:v>TC_COMPAT_019</x:v>
      </x:c>
      <x:c r="C20" s="3" t="str">
        <x:v>COMPAT</x:v>
      </x:c>
      <x:c r="D20" s="3" t="str">
        <x:v>Nền tảng</x:v>
      </x:c>
      <x:c r="E20" s="3" t="str">
        <x:v>Nền tảng</x:v>
      </x:c>
      <x:c r="F20" s="3" t="str">
        <x:v>Compatibility — Android Chrome — PDF tải và preview</x:v>
      </x:c>
      <x:c r="G20" s="3" t="str">
        <x:v>Android Chrome — PDF tải và preview</x:v>
      </x:c>
      <x:c r="H20" s="3" t="str">
        <x:v>OBS-COMPAT</x:v>
      </x:c>
      <x:c r="I20" s="3" t="str">
        <x:v>Khách truy cập</x:v>
      </x:c>
      <x:c r="J20" s="3" t="str">
        <x:v>Compatibility</x:v>
      </x:c>
      <x:c r="K20" s="3" t="str">
        <x:v>Medium</x:v>
      </x:c>
      <x:c r="L20" s="3" t="str">
        <x:v>Medium</x:v>
      </x:c>
      <x:c r="M20" s="3" t="str">
        <x:v>QA/UAT public sẵn sàng; không cần đăng nhập; demo=false cho case tích hợp CMS/public. Ghi viewport, OS và browser thực.</x:v>
      </x:c>
      <x:c r="N20" s="3" t="str">
        <x:v>Phiên bản stable đã cài khi chạy; ghi version/OS thực vào Browser/Device; không giả định version.</x:v>
      </x:c>
      <x:c r="O20" s="3" t="str">
        <x:v>1. Mở /vi/resources
2. Preview PDF rồi tải file</x:v>
      </x:c>
      <x:c r="P20" s="3" t="str">
        <x:v>Có thể xem/tải theo khả năng browser; file đúng tên và bytes; có đường tải khi inline viewer không hỗ trợ.</x:v>
      </x:c>
      <x:c r="Q20" s="11" t="str"/>
      <x:c r="R20" s="8" t="str">
        <x:v>NOT RUN</x:v>
      </x:c>
      <x:c r="S20" s="11" t="str">
        <x:v>QA/UAT — cần điền URL/build</x:v>
      </x:c>
      <x:c r="T20" s="11" t="str">
        <x:v>Android Chrome</x:v>
      </x:c>
      <x:c r="U20" s="11" t="str"/>
      <x:c r="V20" s="12" t="str"/>
      <x:c r="W20" s="11" t="str"/>
      <x:c r="X20" s="11" t="str"/>
      <x:c r="Y20" s="3" t="str">
        <x:v>Nguồn: frontend/package.json; admin/package.json. Danh sách thiết bị nghiệm thu chính thức cần xác nhận OQ-010.</x:v>
      </x:c>
    </x:row>
    <x:row r="21" ht="49" customHeight="1">
      <x:c r="A21" s="3" t="n">
        <x:v>20</x:v>
      </x:c>
      <x:c r="B21" s="3" t="str">
        <x:v>TC_COMPAT_020</x:v>
      </x:c>
      <x:c r="C21" s="3" t="str">
        <x:v>COMPAT</x:v>
      </x:c>
      <x:c r="D21" s="3" t="str">
        <x:v>Nền tảng</x:v>
      </x:c>
      <x:c r="E21" s="3" t="str">
        <x:v>Nền tảng</x:v>
      </x:c>
      <x:c r="F21" s="3" t="str">
        <x:v>Compatibility — Android Chrome — Admin CMS</x:v>
      </x:c>
      <x:c r="G21" s="3" t="str">
        <x:v>Android Chrome — Admin CMS</x:v>
      </x:c>
      <x:c r="H21" s="3" t="str">
        <x:v>OBS-COMPAT</x:v>
      </x:c>
      <x:c r="I21" s="3" t="str">
        <x:v>QTV có quyền tương ứng</x:v>
      </x:c>
      <x:c r="J21" s="3" t="str">
        <x:v>Compatibility</x:v>
      </x:c>
      <x:c r="K21" s="3" t="str">
        <x:v>Medium</x:v>
      </x:c>
      <x:c r="L21" s="3" t="str">
        <x:v>Medium</x:v>
      </x:c>
      <x:c r="M21" s="3" t="str">
        <x:v>Môi trường QA cô lập, DB/MinIO sẵn sàng; dữ liệu fixture đã tạo. Đăng nhập tài khoản ACTIVE, mustChangePassword=false.</x:v>
      </x:c>
      <x:c r="N21" s="3" t="str">
        <x:v>Phiên bản stable đã cài khi chạy; ghi version/OS thực vào Browser/Device; không giả định version.</x:v>
      </x:c>
      <x:c r="O21" s="3" t="str">
        <x:v>1. Đăng nhập
2. Mở editor, upload ảnh, lưu tin nháp</x:v>
      </x:c>
      <x:c r="P21" s="3" t="str">
        <x:v>Cookie duy trì; file chọn/upload được; nội dung định dạng giữ đúng sau reload.</x:v>
      </x:c>
      <x:c r="Q21" s="11" t="str"/>
      <x:c r="R21" s="8" t="str">
        <x:v>NOT RUN</x:v>
      </x:c>
      <x:c r="S21" s="11" t="str">
        <x:v>QA/UAT — cần điền URL/build</x:v>
      </x:c>
      <x:c r="T21" s="11" t="str">
        <x:v>Android Chrome</x:v>
      </x:c>
      <x:c r="U21" s="11" t="str"/>
      <x:c r="V21" s="12" t="str"/>
      <x:c r="W21" s="11" t="str"/>
      <x:c r="X21" s="11" t="str"/>
      <x:c r="Y21" s="3" t="str">
        <x:v>Nguồn: frontend/package.json; admin/package.json. Danh sách thiết bị nghiệm thu chính thức cần xác nhận OQ-010.</x:v>
      </x:c>
    </x:row>
    <x:row r="22" ht="49" customHeight="1">
      <x:c r="A22" s="3" t="n">
        <x:v>21</x:v>
      </x:c>
      <x:c r="B22" s="3" t="str">
        <x:v>TC_COMPAT_021</x:v>
      </x:c>
      <x:c r="C22" s="3" t="str">
        <x:v>COMPAT</x:v>
      </x:c>
      <x:c r="D22" s="3" t="str">
        <x:v>Nền tảng</x:v>
      </x:c>
      <x:c r="E22" s="3" t="str">
        <x:v>Nền tảng</x:v>
      </x:c>
      <x:c r="F22" s="3" t="str">
        <x:v>Compatibility — iOS Safari — Public VI/EN</x:v>
      </x:c>
      <x:c r="G22" s="3" t="str">
        <x:v>iOS Safari — Public VI/EN</x:v>
      </x:c>
      <x:c r="H22" s="3" t="str">
        <x:v>OBS-COMPAT</x:v>
      </x:c>
      <x:c r="I22" s="3" t="str">
        <x:v>Khách truy cập</x:v>
      </x:c>
      <x:c r="J22" s="3" t="str">
        <x:v>Compatibility</x:v>
      </x:c>
      <x:c r="K22" s="3" t="str">
        <x:v>Medium</x:v>
      </x:c>
      <x:c r="L22" s="3" t="str">
        <x:v>Medium</x:v>
      </x:c>
      <x:c r="M22" s="3" t="str">
        <x:v>QA/UAT public sẵn sàng; không cần đăng nhập; demo=false cho case tích hợp CMS/public. Ghi viewport, OS và browser thực.</x:v>
      </x:c>
      <x:c r="N22" s="3" t="str">
        <x:v>Phiên bản stable đã cài khi chạy; ghi version/OS thực vào Browser/Device; không giả định version.</x:v>
      </x:c>
      <x:c r="O22" s="3" t="str">
        <x:v>1. Mở /vi, đổi EN, mở menu và tìm chương trình</x:v>
      </x:c>
      <x:c r="P22" s="3" t="str">
        <x:v>Nội dung/locale và điều hướng nhất quán; không lỗi runtime.</x:v>
      </x:c>
      <x:c r="Q22" s="11" t="str"/>
      <x:c r="R22" s="8" t="str">
        <x:v>NOT RUN</x:v>
      </x:c>
      <x:c r="S22" s="11" t="str">
        <x:v>QA/UAT — cần điền URL/build</x:v>
      </x:c>
      <x:c r="T22" s="11" t="str">
        <x:v>iOS Safari</x:v>
      </x:c>
      <x:c r="U22" s="11" t="str"/>
      <x:c r="V22" s="12" t="str"/>
      <x:c r="W22" s="11" t="str"/>
      <x:c r="X22" s="11" t="str"/>
      <x:c r="Y22" s="3" t="str">
        <x:v>Nguồn: frontend/package.json; admin/package.json. Danh sách thiết bị nghiệm thu chính thức cần xác nhận OQ-010.</x:v>
      </x:c>
    </x:row>
    <x:row r="23" ht="49" customHeight="1">
      <x:c r="A23" s="3" t="n">
        <x:v>22</x:v>
      </x:c>
      <x:c r="B23" s="3" t="str">
        <x:v>TC_COMPAT_022</x:v>
      </x:c>
      <x:c r="C23" s="3" t="str">
        <x:v>COMPAT</x:v>
      </x:c>
      <x:c r="D23" s="3" t="str">
        <x:v>Nền tảng</x:v>
      </x:c>
      <x:c r="E23" s="3" t="str">
        <x:v>Nền tảng</x:v>
      </x:c>
      <x:c r="F23" s="3" t="str">
        <x:v>Compatibility — iOS Safari — Tư vấn</x:v>
      </x:c>
      <x:c r="G23" s="3" t="str">
        <x:v>iOS Safari — Tư vấn</x:v>
      </x:c>
      <x:c r="H23" s="3" t="str">
        <x:v>OBS-COMPAT</x:v>
      </x:c>
      <x:c r="I23" s="3" t="str">
        <x:v>Khách truy cập</x:v>
      </x:c>
      <x:c r="J23" s="3" t="str">
        <x:v>Compatibility</x:v>
      </x:c>
      <x:c r="K23" s="3" t="str">
        <x:v>Medium</x:v>
      </x:c>
      <x:c r="L23" s="3" t="str">
        <x:v>Medium</x:v>
      </x:c>
      <x:c r="M23" s="3" t="str">
        <x:v>QA/UAT public sẵn sàng; không cần đăng nhập; demo=false cho case tích hợp CMS/public. Ghi viewport, OS và browser thực.</x:v>
      </x:c>
      <x:c r="N23" s="3" t="str">
        <x:v>Phiên bản stable đã cài khi chạy; ghi version/OS thực vào Browser/Device; không giả định version.</x:v>
      </x:c>
      <x:c r="O23" s="3" t="str">
        <x:v>1. Gửi CONSULT và kiểm tra validation lỗi</x:v>
      </x:c>
      <x:c r="P23" s="3" t="str">
        <x:v>Form gửi201, lỗi đọc được; keyboard email/tel thích hợp trên mobile.</x:v>
      </x:c>
      <x:c r="Q23" s="11" t="str"/>
      <x:c r="R23" s="8" t="str">
        <x:v>NOT RUN</x:v>
      </x:c>
      <x:c r="S23" s="11" t="str">
        <x:v>QA/UAT — cần điền URL/build</x:v>
      </x:c>
      <x:c r="T23" s="11" t="str">
        <x:v>iOS Safari</x:v>
      </x:c>
      <x:c r="U23" s="11" t="str"/>
      <x:c r="V23" s="12" t="str"/>
      <x:c r="W23" s="11" t="str"/>
      <x:c r="X23" s="11" t="str"/>
      <x:c r="Y23" s="3" t="str">
        <x:v>Nguồn: frontend/package.json; admin/package.json. Danh sách thiết bị nghiệm thu chính thức cần xác nhận OQ-010.</x:v>
      </x:c>
    </x:row>
    <x:row r="24" ht="49" customHeight="1">
      <x:c r="A24" s="3" t="n">
        <x:v>23</x:v>
      </x:c>
      <x:c r="B24" s="3" t="str">
        <x:v>TC_COMPAT_023</x:v>
      </x:c>
      <x:c r="C24" s="3" t="str">
        <x:v>COMPAT</x:v>
      </x:c>
      <x:c r="D24" s="3" t="str">
        <x:v>Nền tảng</x:v>
      </x:c>
      <x:c r="E24" s="3" t="str">
        <x:v>Nền tảng</x:v>
      </x:c>
      <x:c r="F24" s="3" t="str">
        <x:v>Compatibility — iOS Safari — PDF tải và preview</x:v>
      </x:c>
      <x:c r="G24" s="3" t="str">
        <x:v>iOS Safari — PDF tải và preview</x:v>
      </x:c>
      <x:c r="H24" s="3" t="str">
        <x:v>OBS-COMPAT</x:v>
      </x:c>
      <x:c r="I24" s="3" t="str">
        <x:v>Khách truy cập</x:v>
      </x:c>
      <x:c r="J24" s="3" t="str">
        <x:v>Compatibility</x:v>
      </x:c>
      <x:c r="K24" s="3" t="str">
        <x:v>Medium</x:v>
      </x:c>
      <x:c r="L24" s="3" t="str">
        <x:v>Medium</x:v>
      </x:c>
      <x:c r="M24" s="3" t="str">
        <x:v>QA/UAT public sẵn sàng; không cần đăng nhập; demo=false cho case tích hợp CMS/public. Ghi viewport, OS và browser thực.</x:v>
      </x:c>
      <x:c r="N24" s="3" t="str">
        <x:v>Phiên bản stable đã cài khi chạy; ghi version/OS thực vào Browser/Device; không giả định version.</x:v>
      </x:c>
      <x:c r="O24" s="3" t="str">
        <x:v>1. Mở /vi/resources
2. Preview PDF rồi tải file</x:v>
      </x:c>
      <x:c r="P24" s="3" t="str">
        <x:v>Có thể xem/tải theo khả năng browser; file đúng tên và bytes; có đường tải khi inline viewer không hỗ trợ.</x:v>
      </x:c>
      <x:c r="Q24" s="11" t="str"/>
      <x:c r="R24" s="8" t="str">
        <x:v>NOT RUN</x:v>
      </x:c>
      <x:c r="S24" s="11" t="str">
        <x:v>QA/UAT — cần điền URL/build</x:v>
      </x:c>
      <x:c r="T24" s="11" t="str">
        <x:v>iOS Safari</x:v>
      </x:c>
      <x:c r="U24" s="11" t="str"/>
      <x:c r="V24" s="12" t="str"/>
      <x:c r="W24" s="11" t="str"/>
      <x:c r="X24" s="11" t="str"/>
      <x:c r="Y24" s="3" t="str">
        <x:v>Nguồn: frontend/package.json; admin/package.json. Danh sách thiết bị nghiệm thu chính thức cần xác nhận OQ-010.</x:v>
      </x:c>
    </x:row>
    <x:row r="25" ht="49" customHeight="1">
      <x:c r="A25" s="3" t="n">
        <x:v>24</x:v>
      </x:c>
      <x:c r="B25" s="3" t="str">
        <x:v>TC_COMPAT_024</x:v>
      </x:c>
      <x:c r="C25" s="3" t="str">
        <x:v>COMPAT</x:v>
      </x:c>
      <x:c r="D25" s="3" t="str">
        <x:v>Nền tảng</x:v>
      </x:c>
      <x:c r="E25" s="3" t="str">
        <x:v>Nền tảng</x:v>
      </x:c>
      <x:c r="F25" s="3" t="str">
        <x:v>Compatibility — iOS Safari — Admin CMS</x:v>
      </x:c>
      <x:c r="G25" s="3" t="str">
        <x:v>iOS Safari — Admin CMS</x:v>
      </x:c>
      <x:c r="H25" s="3" t="str">
        <x:v>OBS-COMPAT</x:v>
      </x:c>
      <x:c r="I25" s="3" t="str">
        <x:v>QTV có quyền tương ứng</x:v>
      </x:c>
      <x:c r="J25" s="3" t="str">
        <x:v>Compatibility</x:v>
      </x:c>
      <x:c r="K25" s="3" t="str">
        <x:v>Medium</x:v>
      </x:c>
      <x:c r="L25" s="3" t="str">
        <x:v>Medium</x:v>
      </x:c>
      <x:c r="M25" s="3" t="str">
        <x:v>Môi trường QA cô lập, DB/MinIO sẵn sàng; dữ liệu fixture đã tạo. Đăng nhập tài khoản ACTIVE, mustChangePassword=false.</x:v>
      </x:c>
      <x:c r="N25" s="3" t="str">
        <x:v>Phiên bản stable đã cài khi chạy; ghi version/OS thực vào Browser/Device; không giả định version.</x:v>
      </x:c>
      <x:c r="O25" s="3" t="str">
        <x:v>1. Đăng nhập
2. Mở editor, upload ảnh, lưu tin nháp</x:v>
      </x:c>
      <x:c r="P25" s="3" t="str">
        <x:v>Cookie duy trì; file chọn/upload được; nội dung định dạng giữ đúng sau reload.</x:v>
      </x:c>
      <x:c r="Q25" s="11" t="str"/>
      <x:c r="R25" s="8" t="str">
        <x:v>NOT RUN</x:v>
      </x:c>
      <x:c r="S25" s="11" t="str">
        <x:v>QA/UAT — cần điền URL/build</x:v>
      </x:c>
      <x:c r="T25" s="11" t="str">
        <x:v>iOS Safari</x:v>
      </x:c>
      <x:c r="U25" s="11" t="str"/>
      <x:c r="V25" s="12" t="str"/>
      <x:c r="W25" s="11" t="str"/>
      <x:c r="X25" s="11" t="str"/>
      <x:c r="Y25" s="3" t="str">
        <x:v>Nguồn: frontend/package.json; admin/package.json. Danh sách thiết bị nghiệm thu chính thức cần xác nhận OQ-010.</x:v>
      </x:c>
    </x:row>
  </x:sheetData>
  <x:conditionalFormatting sqref="R2:R25">
    <x:cfRule type="cellIs" dxfId="25" priority="1" operator="equal">
      <x:formula>"PASS"</x:formula>
    </x:cfRule>
    <x:cfRule type="cellIs" dxfId="26" priority="2" operator="equal">
      <x:formula>"FAIL"</x:formula>
    </x:cfRule>
    <x:cfRule type="cellIs" dxfId="27" priority="3" operator="equal">
      <x:formula>"BLOCKED"</x:formula>
    </x:cfRule>
    <x:cfRule type="cellIs" dxfId="28" priority="4" operator="equal">
      <x:formula>"NOT RUN"</x:formula>
    </x:cfRule>
    <x:cfRule type="cellIs" dxfId="29" priority="5" operator="equal">
      <x:formula>"NEED CONFIRMATION"</x:formula>
    </x:cfRule>
  </x:conditionalFormatting>
  <x:dataValidations count="4">
    <x:dataValidation type="list" sqref="J2:J25">
      <x:formula1>"Accessibility,Alternative,Boundary,Compatibility,Concurrency,Integration,Localization,Negative,Performance,Positive,Responsive,Review,Security,UI"</x:formula1>
    </x:dataValidation>
    <x:dataValidation type="list" sqref="K2:K25">
      <x:formula1>"Critical,High,Medium,Low"</x:formula1>
    </x:dataValidation>
    <x:dataValidation type="list" sqref="L2:L25">
      <x:formula1>"Critical,High,Medium,Low"</x:formula1>
    </x:dataValidation>
    <x:dataValidation type="list" sqref="R2:R25">
      <x:formula1>"PASS,FAIL,BLOCKED,NOT RUN,NEED CONFIRMATION"</x:formula1>
    </x:dataValidation>
  </x:dataValidations>
  <x:pageMargins left="0.7" right="0.7" top="0.75" bottom="0.75" header="0.3" footer="0.3"/>
  <x:tableParts count="1">
    <x:tablePart xmlns:r="http://schemas.openxmlformats.org/officeDocument/2006/relationships" r:id="Rd2ac90a565e34ae1"/>
  </x:tableParts>
</x:worksheet>
</file>

<file path=xl/worksheets/sheet9.xml><?xml version="1.0" encoding="utf-8"?>
<x:worksheet xmlns:x="http://schemas.openxmlformats.org/spreadsheetml/2006/main">
  <x:sheetPr>
    <x:tabColor rgb="FF547394"/>
  </x:sheetPr>
  <x:sheetViews>
    <x:sheetView showGridLines="0" workbookViewId="0">
      <x:pane ySplit="1" topLeftCell="A2" activePane="bottomLeft" state="frozen"/>
    </x:sheetView>
  </x:sheetViews>
  <x:sheetFormatPr defaultRowHeight="15"/>
  <x:cols>
    <x:col min="1" max="1" width="7" hidden="0" customWidth="1"/>
    <x:col min="2" max="2" width="24" hidden="0" customWidth="1"/>
    <x:col min="3" max="3" width="20" hidden="0" customWidth="1"/>
    <x:col min="4" max="4" width="48" hidden="0" customWidth="1"/>
    <x:col min="5" max="5" width="16" hidden="0" customWidth="1"/>
    <x:col min="6" max="6" width="55" hidden="0" customWidth="1"/>
    <x:col min="7" max="7" width="76" hidden="0" customWidth="1"/>
    <x:col min="8" max="8" width="24" hidden="0" customWidth="1"/>
    <x:col min="9" max="9" width="38" hidden="0" customWidth="1"/>
    <x:col min="10" max="10" width="58" hidden="0" customWidth="1"/>
  </x:cols>
  <x:sheetData>
    <x:row r="1" ht="34" customHeight="1">
      <x:c r="A1" s="7" t="str">
        <x:v>STT</x:v>
      </x:c>
      <x:c r="B1" s="7" t="str">
        <x:v>Test Case ID gốc</x:v>
      </x:c>
      <x:c r="C1" s="7" t="str">
        <x:v>Module</x:v>
      </x:c>
      <x:c r="D1" s="7" t="str">
        <x:v>Kiểm tra lại</x:v>
      </x:c>
      <x:c r="E1" s="7" t="str">
        <x:v>Priority</x:v>
      </x:c>
      <x:c r="F1" s="7" t="str">
        <x:v>Điều kiện chạy</x:v>
      </x:c>
      <x:c r="G1" s="7" t="str">
        <x:v>Expected Result</x:v>
      </x:c>
      <x:c r="H1" s="7" t="str">
        <x:v>Status</x:v>
      </x:c>
      <x:c r="I1" s="7" t="str">
        <x:v>Evidence/Bug</x:v>
      </x:c>
      <x:c r="J1" s="7" t="str">
        <x:v>Notes</x:v>
      </x:c>
    </x:row>
    <x:row r="2" ht="36" customHeight="1">
      <x:c r="A2" s="3" t="n">
        <x:v>1</x:v>
      </x:c>
      <x:c r="B2" s="3" t="str">
        <x:v>TC_AUTH_001</x:v>
      </x:c>
      <x:c r="C2" s="3" t="str">
        <x:v>AUTH</x:v>
      </x:c>
      <x:c r="D2" s="3" t="str">
        <x:v>Đăng nhập username hợp lệ</x:v>
      </x:c>
      <x:c r="E2" s="3" t="str">
        <x:v>High</x:v>
      </x:c>
      <x:c r="F2" s="3" t="str">
        <x:v>Sau thay đổi module hoặc release; dùng fixture và Steps của case gốc.</x:v>
      </x:c>
      <x:c r="G2" s="3" t="str">
        <x:v>HTTP 200; cookie vgg_admin_session được tạo; redirectTo=/admin/dashboard; lastLoginAt cập nhật.</x:v>
      </x:c>
      <x:c r="H2" s="3" t="str">
        <x:v>NOT RUN</x:v>
      </x:c>
      <x:c r="I2" s="3" t="str"/>
      <x:c r="J2" s="3" t="str">
        <x:v>Checklist không tăng tổng test. Cập nhật kết quả test gốc để Summary tính.</x:v>
      </x:c>
    </x:row>
    <x:row r="3" ht="36" customHeight="1">
      <x:c r="A3" s="3" t="n">
        <x:v>2</x:v>
      </x:c>
      <x:c r="B3" s="3" t="str">
        <x:v>TC_AUTH_002</x:v>
      </x:c>
      <x:c r="C3" s="3" t="str">
        <x:v>AUTH</x:v>
      </x:c>
      <x:c r="D3" s="3" t="str">
        <x:v>Đăng nhập bằng email</x:v>
      </x:c>
      <x:c r="E3" s="3" t="str">
        <x:v>High</x:v>
      </x:c>
      <x:c r="F3" s="3" t="str">
        <x:v>Sau thay đổi module hoặc release; dùng fixture và Steps của case gốc.</x:v>
      </x:c>
      <x:c r="G3" s="3" t="str">
        <x:v>Admin route trả 200 và cùng tài khoản như đăng nhập username.</x:v>
      </x:c>
      <x:c r="H3" s="3" t="str">
        <x:v>NOT RUN</x:v>
      </x:c>
      <x:c r="I3" s="3" t="str"/>
      <x:c r="J3" s="3" t="str">
        <x:v>Checklist không tăng tổng test. Cập nhật kết quả test gốc để Summary tính.</x:v>
      </x:c>
    </x:row>
    <x:row r="4" ht="36" customHeight="1">
      <x:c r="A4" s="3" t="n">
        <x:v>3</x:v>
      </x:c>
      <x:c r="B4" s="3" t="str">
        <x:v>TC_AUTH_003</x:v>
      </x:c>
      <x:c r="C4" s="3" t="str">
        <x:v>AUTH</x:v>
      </x:c>
      <x:c r="D4" s="3" t="str">
        <x:v>Sai mật khẩu</x:v>
      </x:c>
      <x:c r="E4" s="3" t="str">
        <x:v>High</x:v>
      </x:c>
      <x:c r="F4" s="3" t="str">
        <x:v>Sau thay đổi module hoặc release; dùng fixture và Steps của case gốc.</x:v>
      </x:c>
      <x:c r="G4" s="3" t="str">
        <x:v>HTTP 401; không tạo phiên; failedLoginAttempts tăng 1; có LOGIN_FAILED.</x:v>
      </x:c>
      <x:c r="H4" s="3" t="str">
        <x:v>NOT RUN</x:v>
      </x:c>
      <x:c r="I4" s="3" t="str"/>
      <x:c r="J4" s="3" t="str">
        <x:v>Checklist không tăng tổng test. Cập nhật kết quả test gốc để Summary tính.</x:v>
      </x:c>
    </x:row>
    <x:row r="5" ht="36" customHeight="1">
      <x:c r="A5" s="3" t="n">
        <x:v>4</x:v>
      </x:c>
      <x:c r="B5" s="3" t="str">
        <x:v>TC_USER_001</x:v>
      </x:c>
      <x:c r="C5" s="3" t="str">
        <x:v>USER</x:v>
      </x:c>
      <x:c r="D5" s="3" t="str">
        <x:v>Tạo QTV cấp 2</x:v>
      </x:c>
      <x:c r="E5" s="3" t="str">
        <x:v>High</x:v>
      </x:c>
      <x:c r="F5" s="3" t="str">
        <x:v>Sau thay đổi module hoặc release; dùng fixture và Steps của case gốc.</x:v>
      </x:c>
      <x:c r="G5" s="3" t="str">
        <x:v>HTTP 201; username lưu chữ thường; role đúng; passwordHash Argon2id; createdById=actor; có ACCOUNT_CREATED.</x:v>
      </x:c>
      <x:c r="H5" s="3" t="str">
        <x:v>NOT RUN</x:v>
      </x:c>
      <x:c r="I5" s="3" t="str"/>
      <x:c r="J5" s="3" t="str">
        <x:v>Checklist không tăng tổng test. Cập nhật kết quả test gốc để Summary tính.</x:v>
      </x:c>
    </x:row>
    <x:row r="6" ht="36" customHeight="1">
      <x:c r="A6" s="3" t="n">
        <x:v>5</x:v>
      </x:c>
      <x:c r="B6" s="3" t="str">
        <x:v>TC_NEWS_001</x:v>
      </x:c>
      <x:c r="C6" s="3" t="str">
        <x:v>NEWS</x:v>
      </x:c>
      <x:c r="D6" s="3" t="str">
        <x:v>Tạo bài DRAFT</x:v>
      </x:c>
      <x:c r="E6" s="3" t="str">
        <x:v>High</x:v>
      </x:c>
      <x:c r="F6" s="3" t="str">
        <x:v>Sau thay đổi module hoặc release; dùng fixture và Steps của case gốc.</x:v>
      </x:c>
      <x:c r="G6" s="3" t="str">
        <x:v>HTTP 201; status=DRAFT; publishedAt=null; bài không có trong public list.</x:v>
      </x:c>
      <x:c r="H6" s="3" t="str">
        <x:v>NOT RUN</x:v>
      </x:c>
      <x:c r="I6" s="3" t="str"/>
      <x:c r="J6" s="3" t="str">
        <x:v>Checklist không tăng tổng test. Cập nhật kết quả test gốc để Summary tính.</x:v>
      </x:c>
    </x:row>
    <x:row r="7" ht="36" customHeight="1">
      <x:c r="A7" s="3" t="n">
        <x:v>6</x:v>
      </x:c>
      <x:c r="B7" s="3" t="str">
        <x:v>TC_NEWS_002</x:v>
      </x:c>
      <x:c r="C7" s="3" t="str">
        <x:v>NEWS</x:v>
      </x:c>
      <x:c r="D7" s="3" t="str">
        <x:v>Tạo bài PUBLISHED</x:v>
      </x:c>
      <x:c r="E7" s="3" t="str">
        <x:v>High</x:v>
      </x:c>
      <x:c r="F7" s="3" t="str">
        <x:v>Sau thay đổi module hoặc release; dùng fixture và Steps của case gốc.</x:v>
      </x:c>
      <x:c r="G7" s="3" t="str">
        <x:v>HTTP 201; status=PUBLISHED; publishedAt có giá trị và bài có trong public list.</x:v>
      </x:c>
      <x:c r="H7" s="3" t="str">
        <x:v>NOT RUN</x:v>
      </x:c>
      <x:c r="I7" s="3" t="str"/>
      <x:c r="J7" s="3" t="str">
        <x:v>Checklist không tăng tổng test. Cập nhật kết quả test gốc để Summary tính.</x:v>
      </x:c>
    </x:row>
    <x:row r="8" ht="36" customHeight="1">
      <x:c r="A8" s="3" t="n">
        <x:v>7</x:v>
      </x:c>
      <x:c r="B8" s="3" t="str">
        <x:v>TC_NEWS_003</x:v>
      </x:c>
      <x:c r="C8" s="3" t="str">
        <x:v>NEWS</x:v>
      </x:c>
      <x:c r="D8" s="3" t="str">
        <x:v>Tạo bài ARCHIVED</x:v>
      </x:c>
      <x:c r="E8" s="3" t="str">
        <x:v>High</x:v>
      </x:c>
      <x:c r="F8" s="3" t="str">
        <x:v>Sau thay đổi module hoặc release; dùng fixture và Steps của case gốc.</x:v>
      </x:c>
      <x:c r="G8" s="3" t="str">
        <x:v>HTTP 201; status=ARCHIVED; publishedAt=null; bài không có trong public list.</x:v>
      </x:c>
      <x:c r="H8" s="3" t="str">
        <x:v>NOT RUN</x:v>
      </x:c>
      <x:c r="I8" s="3" t="str"/>
      <x:c r="J8" s="3" t="str">
        <x:v>Checklist không tăng tổng test. Cập nhật kết quả test gốc để Summary tính.</x:v>
      </x:c>
    </x:row>
    <x:row r="9" ht="36" customHeight="1">
      <x:c r="A9" s="3" t="n">
        <x:v>8</x:v>
      </x:c>
      <x:c r="B9" s="3" t="str">
        <x:v>TC_RESOURCE_001</x:v>
      </x:c>
      <x:c r="C9" s="3" t="str">
        <x:v>RESOURCE</x:v>
      </x:c>
      <x:c r="D9" s="3" t="str">
        <x:v>Tạo loại DIRECTIVE_DOCUMENT</x:v>
      </x:c>
      <x:c r="E9" s="3" t="str">
        <x:v>High</x:v>
      </x:c>
      <x:c r="F9" s="3" t="str">
        <x:v>Sau thay đổi module hoặc release; dùng fixture và Steps của case gốc.</x:v>
      </x:c>
      <x:c r="G9" s="3" t="str">
        <x:v>HTTP 201; slug sinh từ title, categoryId đúng; metadata được lưu; bản PUBLISHED xuất hiện công khai khi demo tắt.</x:v>
      </x:c>
      <x:c r="H9" s="3" t="str">
        <x:v>NOT RUN</x:v>
      </x:c>
      <x:c r="I9" s="3" t="str"/>
      <x:c r="J9" s="3" t="str">
        <x:v>Checklist không tăng tổng test. Cập nhật kết quả test gốc để Summary tính.</x:v>
      </x:c>
    </x:row>
    <x:row r="10" ht="36" customHeight="1">
      <x:c r="A10" s="3" t="n">
        <x:v>9</x:v>
      </x:c>
      <x:c r="B10" s="3" t="str">
        <x:v>TC_RESOURCE_002</x:v>
      </x:c>
      <x:c r="C10" s="3" t="str">
        <x:v>RESOURCE</x:v>
      </x:c>
      <x:c r="D10" s="3" t="str">
        <x:v>Tạo loại EXECUTION_DOCUMENT</x:v>
      </x:c>
      <x:c r="E10" s="3" t="str">
        <x:v>High</x:v>
      </x:c>
      <x:c r="F10" s="3" t="str">
        <x:v>Sau thay đổi module hoặc release; dùng fixture và Steps của case gốc.</x:v>
      </x:c>
      <x:c r="G10" s="3" t="str">
        <x:v>HTTP 201; slug sinh từ title, categoryId đúng; metadata được lưu; bản PUBLISHED xuất hiện công khai khi demo tắt.</x:v>
      </x:c>
      <x:c r="H10" s="3" t="str">
        <x:v>NOT RUN</x:v>
      </x:c>
      <x:c r="I10" s="3" t="str"/>
      <x:c r="J10" s="3" t="str">
        <x:v>Checklist không tăng tổng test. Cập nhật kết quả test gốc để Summary tính.</x:v>
      </x:c>
    </x:row>
    <x:row r="11" ht="36" customHeight="1">
      <x:c r="A11" s="3" t="n">
        <x:v>10</x:v>
      </x:c>
      <x:c r="B11" s="3" t="str">
        <x:v>TC_RESOURCE_003</x:v>
      </x:c>
      <x:c r="C11" s="3" t="str">
        <x:v>RESOURCE</x:v>
      </x:c>
      <x:c r="D11" s="3" t="str">
        <x:v>Tạo loại BROCHURE</x:v>
      </x:c>
      <x:c r="E11" s="3" t="str">
        <x:v>High</x:v>
      </x:c>
      <x:c r="F11" s="3" t="str">
        <x:v>Sau thay đổi module hoặc release; dùng fixture và Steps của case gốc.</x:v>
      </x:c>
      <x:c r="G11" s="3" t="str">
        <x:v>HTTP 201; slug sinh từ title, categoryId đúng; metadata được lưu; bản PUBLISHED xuất hiện công khai khi demo tắt.</x:v>
      </x:c>
      <x:c r="H11" s="3" t="str">
        <x:v>NOT RUN</x:v>
      </x:c>
      <x:c r="I11" s="3" t="str"/>
      <x:c r="J11" s="3" t="str">
        <x:v>Checklist không tăng tổng test. Cập nhật kết quả test gốc để Summary tính.</x:v>
      </x:c>
    </x:row>
    <x:row r="12" ht="49" customHeight="1">
      <x:c r="A12" s="3" t="n">
        <x:v>11</x:v>
      </x:c>
      <x:c r="B12" s="3" t="str">
        <x:v>TC_CONSULT_001</x:v>
      </x:c>
      <x:c r="C12" s="3" t="str">
        <x:v>CONSULT</x:v>
      </x:c>
      <x:c r="D12" s="3" t="str">
        <x:v>Gửi tư vấn từ /vi</x:v>
      </x:c>
      <x:c r="E12" s="3" t="str">
        <x:v>High</x:v>
      </x:c>
      <x:c r="F12" s="3" t="str">
        <x:v>Sau thay đổi module hoặc release; dùng fixture và Steps của case gốc.</x:v>
      </x:c>
      <x:c r="G12" s="3" t="str">
        <x:v>Proxy trả 201 với message; form reset và thông báo thành công; DB tạo NEW, fullName/phone/email/programme khớp; history created và audit CONSULTATION_CREATED.</x:v>
      </x:c>
      <x:c r="H12" s="3" t="str">
        <x:v>NOT RUN</x:v>
      </x:c>
      <x:c r="I12" s="3" t="str"/>
      <x:c r="J12" s="3" t="str">
        <x:v>Checklist không tăng tổng test. Cập nhật kết quả test gốc để Summary tính.</x:v>
      </x:c>
    </x:row>
    <x:row r="13" ht="49" customHeight="1">
      <x:c r="A13" s="3" t="n">
        <x:v>12</x:v>
      </x:c>
      <x:c r="B13" s="3" t="str">
        <x:v>TC_CONSULT_002</x:v>
      </x:c>
      <x:c r="C13" s="3" t="str">
        <x:v>CONSULT</x:v>
      </x:c>
      <x:c r="D13" s="3" t="str">
        <x:v>Gửi tư vấn từ /vi/discover</x:v>
      </x:c>
      <x:c r="E13" s="3" t="str">
        <x:v>High</x:v>
      </x:c>
      <x:c r="F13" s="3" t="str">
        <x:v>Sau thay đổi module hoặc release; dùng fixture và Steps của case gốc.</x:v>
      </x:c>
      <x:c r="G13" s="3" t="str">
        <x:v>Proxy trả 201 với message; form reset và thông báo thành công; DB tạo NEW, fullName/phone/email/programme khớp; history created và audit CONSULTATION_CREATED.</x:v>
      </x:c>
      <x:c r="H13" s="3" t="str">
        <x:v>NOT RUN</x:v>
      </x:c>
      <x:c r="I13" s="3" t="str"/>
      <x:c r="J13" s="3" t="str">
        <x:v>Checklist không tăng tổng test. Cập nhật kết quả test gốc để Summary tính.</x:v>
      </x:c>
    </x:row>
    <x:row r="14" ht="49" customHeight="1">
      <x:c r="A14" s="3" t="n">
        <x:v>13</x:v>
      </x:c>
      <x:c r="B14" s="3" t="str">
        <x:v>TC_CONSULT_003</x:v>
      </x:c>
      <x:c r="C14" s="3" t="str">
        <x:v>CONSULT</x:v>
      </x:c>
      <x:c r="D14" s="3" t="str">
        <x:v>Gửi tư vấn từ /vi/programmes</x:v>
      </x:c>
      <x:c r="E14" s="3" t="str">
        <x:v>High</x:v>
      </x:c>
      <x:c r="F14" s="3" t="str">
        <x:v>Sau thay đổi module hoặc release; dùng fixture và Steps của case gốc.</x:v>
      </x:c>
      <x:c r="G14" s="3" t="str">
        <x:v>Proxy trả 201 với message; form reset và thông báo thành công; DB tạo NEW, fullName/phone/email/programme khớp; history created và audit CONSULTATION_CREATED.</x:v>
      </x:c>
      <x:c r="H14" s="3" t="str">
        <x:v>NOT RUN</x:v>
      </x:c>
      <x:c r="I14" s="3" t="str"/>
      <x:c r="J14" s="3" t="str">
        <x:v>Checklist không tăng tổng test. Cập nhật kết quả test gốc để Summary tính.</x:v>
      </x:c>
    </x:row>
    <x:row r="15" ht="36" customHeight="1">
      <x:c r="A15" s="3" t="n">
        <x:v>14</x:v>
      </x:c>
      <x:c r="B15" s="3" t="str">
        <x:v>TC_PUBLIC_001</x:v>
      </x:c>
      <x:c r="C15" s="3" t="str">
        <x:v>PUBLIC</x:v>
      </x:c>
      <x:c r="D15" s="3" t="str">
        <x:v>Mở /discover/gioi-thieu</x:v>
      </x:c>
      <x:c r="E15" s="3" t="str">
        <x:v>Medium</x:v>
      </x:c>
      <x:c r="F15" s="3" t="str">
        <x:v>Sau thay đổi module hoặc release; dùng fixture và Steps của case gốc.</x:v>
      </x:c>
      <x:c r="G15" s="3" t="str">
        <x:v>Redirect /discover rồi về /vi/discover theo proxy.</x:v>
      </x:c>
      <x:c r="H15" s="3" t="str">
        <x:v>NOT RUN</x:v>
      </x:c>
      <x:c r="I15" s="3" t="str"/>
      <x:c r="J15" s="3" t="str">
        <x:v>Checklist không tăng tổng test. Cập nhật kết quả test gốc để Summary tính.</x:v>
      </x:c>
    </x:row>
    <x:row r="16" ht="36" customHeight="1">
      <x:c r="A16" s="3" t="n">
        <x:v>15</x:v>
      </x:c>
      <x:c r="B16" s="3" t="str">
        <x:v>TC_PROGRAMME_001</x:v>
      </x:c>
      <x:c r="C16" s="3" t="str">
        <x:v>PROGRAMME</x:v>
      </x:c>
      <x:c r="D16" s="3" t="str">
        <x:v>Tìm/lọc theo từ khóa</x:v>
      </x:c>
      <x:c r="E16" s="3" t="str">
        <x:v>Medium</x:v>
      </x:c>
      <x:c r="F16" s="3" t="str">
        <x:v>Sau thay đổi module hoặc release; dùng fixture và Steps của case gốc.</x:v>
      </x:c>
      <x:c r="G16" s="3" t="str">
        <x:v>Chỉ mục khớp điều kiện hiển thị; số kết quả bằng các mục đối chiếu trong nguồn; URL query được cập nhật nếu component dùng router.</x:v>
      </x:c>
      <x:c r="H16" s="3" t="str">
        <x:v>NOT RUN</x:v>
      </x:c>
      <x:c r="I16" s="3" t="str"/>
      <x:c r="J16" s="3" t="str">
        <x:v>Checklist không tăng tổng test. Cập nhật kết quả test gốc để Summary tính.</x:v>
      </x:c>
    </x:row>
    <x:row r="17" ht="36" customHeight="1">
      <x:c r="A17" s="3" t="n">
        <x:v>16</x:v>
      </x:c>
      <x:c r="B17" s="3" t="str">
        <x:v>TC_RESEARCH_001</x:v>
      </x:c>
      <x:c r="C17" s="3" t="str">
        <x:v>RESEARCH</x:v>
      </x:c>
      <x:c r="D17" s="3" t="str">
        <x:v>Tìm/lọc theo từ khóa</x:v>
      </x:c>
      <x:c r="E17" s="3" t="str">
        <x:v>Medium</x:v>
      </x:c>
      <x:c r="F17" s="3" t="str">
        <x:v>Sau thay đổi module hoặc release; dùng fixture và Steps của case gốc.</x:v>
      </x:c>
      <x:c r="G17" s="3" t="str">
        <x:v>Chỉ mục khớp điều kiện hiển thị; số kết quả bằng các mục đối chiếu trong nguồn; URL query được cập nhật nếu component dùng router.</x:v>
      </x:c>
      <x:c r="H17" s="3" t="str">
        <x:v>NOT RUN</x:v>
      </x:c>
      <x:c r="I17" s="3" t="str"/>
      <x:c r="J17" s="3" t="str">
        <x:v>Checklist không tăng tổng test. Cập nhật kết quả test gốc để Summary tính.</x:v>
      </x:c>
    </x:row>
    <x:row r="18" ht="36" customHeight="1">
      <x:c r="A18" s="3" t="n">
        <x:v>17</x:v>
      </x:c>
      <x:c r="B18" s="3" t="str">
        <x:v>TC_SITE_001</x:v>
      </x:c>
      <x:c r="C18" s="3" t="str">
        <x:v>SITE</x:v>
      </x:c>
      <x:c r="D18" s="3" t="str">
        <x:v>POST BACKEND /api/admin/site-content: key Min−1 (1)</x:v>
      </x:c>
      <x:c r="E18" s="3" t="str">
        <x:v>Medium</x:v>
      </x:c>
      <x:c r="F18" s="3" t="str">
        <x:v>Sau thay đổi module hoặc release; dùng fixture và Steps của case gốc.</x:v>
      </x:c>
      <x:c r="G18" s="3" t="str">
        <x:v>Từ chối độ dài key=1; HTTP 400 kỳ vọng, không đổi DB. Nếu CMS/Zod.parse trả 500, ghi defect hợp đồng lỗi.</x:v>
      </x:c>
      <x:c r="H18" s="3" t="str">
        <x:v>NOT RUN</x:v>
      </x:c>
      <x:c r="I18" s="3" t="str"/>
      <x:c r="J18" s="3" t="str">
        <x:v>Checklist không tăng tổng test. Cập nhật kết quả test gốc để Summary tính.</x:v>
      </x:c>
    </x:row>
    <x:row r="19" ht="36" customHeight="1">
      <x:c r="A19" s="3" t="n">
        <x:v>18</x:v>
      </x:c>
      <x:c r="B19" s="3" t="str">
        <x:v>TC_ANALYTICS_001</x:v>
      </x:c>
      <x:c r="C19" s="3" t="str">
        <x:v>ANALYTICS</x:v>
      </x:c>
      <x:c r="D19" s="3" t="str">
        <x:v>POST BACKEND /api/public/visits: path Min (0)</x:v>
      </x:c>
      <x:c r="E19" s="3" t="str">
        <x:v>Medium</x:v>
      </x:c>
      <x:c r="F19" s="3" t="str">
        <x:v>Sau thay đổi module hoặc release; dùng fixture và Steps của case gốc.</x:v>
      </x:c>
      <x:c r="G19" s="3" t="str">
        <x:v>Qua validation độ dài path; HTTP 201; trường path được lưu đúng 0 ký tự.</x:v>
      </x:c>
      <x:c r="H19" s="3" t="str">
        <x:v>NOT RUN</x:v>
      </x:c>
      <x:c r="I19" s="3" t="str"/>
      <x:c r="J19" s="3" t="str">
        <x:v>Checklist không tăng tổng test. Cập nhật kết quả test gốc để Summary tính.</x:v>
      </x:c>
    </x:row>
    <x:row r="20" ht="36" customHeight="1">
      <x:c r="A20" s="3" t="n">
        <x:v>19</x:v>
      </x:c>
      <x:c r="B20" s="3" t="str">
        <x:v>TC_MEDIA_001</x:v>
      </x:c>
      <x:c r="C20" s="3" t="str">
        <x:v>MEDIA</x:v>
      </x:c>
      <x:c r="D20" s="3" t="str">
        <x:v>Upload JPG hợp lệ</x:v>
      </x:c>
      <x:c r="E20" s="3" t="str">
        <x:v>High</x:v>
      </x:c>
      <x:c r="F20" s="3" t="str">
        <x:v>Sau thay đổi module hoặc release; dùng fixture và Steps của case gốc.</x:v>
      </x:c>
      <x:c r="G20" s="3" t="str">
        <x:v>HTTP 200 success=true; URL nội bộ /api/media/ tải được đúng bytes/MIME của fixture.</x:v>
      </x:c>
      <x:c r="H20" s="3" t="str">
        <x:v>NOT RUN</x:v>
      </x:c>
      <x:c r="I20" s="3" t="str"/>
      <x:c r="J20" s="3" t="str">
        <x:v>Checklist không tăng tổng test. Cập nhật kết quả test gốc để Summary tính.</x:v>
      </x:c>
    </x:row>
    <x:row r="21" ht="36" customHeight="1">
      <x:c r="A21" s="3" t="n">
        <x:v>20</x:v>
      </x:c>
      <x:c r="B21" s="3" t="str">
        <x:v>TC_WORD_001</x:v>
      </x:c>
      <x:c r="C21" s="3" t="str">
        <x:v>WORD</x:v>
      </x:c>
      <x:c r="D21" s="3" t="str">
        <x:v>Upload DOCX hợp lệ</x:v>
      </x:c>
      <x:c r="E21" s="3" t="str">
        <x:v>High</x:v>
      </x:c>
      <x:c r="F21" s="3" t="str">
        <x:v>Sau thay đổi module hoặc release; dùng fixture và Steps của case gốc.</x:v>
      </x:c>
      <x:c r="G21" s="3" t="str">
        <x:v>HTTP 200 success=true; HTML và excerpt được trả, hình có URL kho.</x:v>
      </x:c>
      <x:c r="H21" s="3" t="str">
        <x:v>NOT RUN</x:v>
      </x:c>
      <x:c r="I21" s="3" t="str"/>
      <x:c r="J21" s="3" t="str">
        <x:v>Checklist không tăng tổng test. Cập nhật kết quả test gốc để Summary tính.</x:v>
      </x:c>
    </x:row>
    <x:row r="22" ht="36" customHeight="1">
      <x:c r="A22" s="3" t="n">
        <x:v>21</x:v>
      </x:c>
      <x:c r="B22" s="3" t="str">
        <x:v>TC_UPLOAD_001</x:v>
      </x:c>
      <x:c r="C22" s="3" t="str">
        <x:v>UPLOAD</x:v>
      </x:c>
      <x:c r="D22" s="3" t="str">
        <x:v>Upload PDF hợp lệ</x:v>
      </x:c>
      <x:c r="E22" s="3" t="str">
        <x:v>High</x:v>
      </x:c>
      <x:c r="F22" s="3" t="str">
        <x:v>Sau thay đổi module hoặc release; dùng fixture và Steps của case gốc.</x:v>
      </x:c>
      <x:c r="G22" s="3" t="str">
        <x:v>HTTP 200 success=true; URL nội bộ /api/media/ tải được đúng bytes/MIME của fixture.</x:v>
      </x:c>
      <x:c r="H22" s="3" t="str">
        <x:v>NOT RUN</x:v>
      </x:c>
      <x:c r="I22" s="3" t="str"/>
      <x:c r="J22" s="3" t="str">
        <x:v>Checklist không tăng tổng test. Cập nhật kết quả test gốc để Summary tính.</x:v>
      </x:c>
    </x:row>
    <x:row r="23" ht="36" customHeight="1">
      <x:c r="A23" s="3" t="n">
        <x:v>22</x:v>
      </x:c>
      <x:c r="B23" s="3" t="str">
        <x:v>TC_API_001</x:v>
      </x:c>
      <x:c r="C23" s="3" t="str">
        <x:v>API</x:v>
      </x:c>
      <x:c r="D23" s="3" t="str">
        <x:v>GET BACKEND /health hợp lệ</x:v>
      </x:c>
      <x:c r="E23" s="3" t="str">
        <x:v>High</x:v>
      </x:c>
      <x:c r="F23" s="3" t="str">
        <x:v>Sau thay đổi module hoặc release; dùng fixture và Steps của case gốc.</x:v>
      </x:c>
      <x:c r="G23" s="3" t="str">
        <x:v>HTTP 200; success=true; data.status="ok"; message là chuỗi.</x:v>
      </x:c>
      <x:c r="H23" s="3" t="str">
        <x:v>NOT RUN</x:v>
      </x:c>
      <x:c r="I23" s="3" t="str"/>
      <x:c r="J23" s="3" t="str">
        <x:v>Checklist không tăng tổng test. Cập nhật kết quả test gốc để Summary tính.</x:v>
      </x:c>
    </x:row>
    <x:row r="24" ht="36" customHeight="1">
      <x:c r="A24" s="3" t="n">
        <x:v>23</x:v>
      </x:c>
      <x:c r="B24" s="3" t="str">
        <x:v>TC_PERMISSION_001</x:v>
      </x:c>
      <x:c r="C24" s="3" t="str">
        <x:v>PERMISSION</x:v>
      </x:c>
      <x:c r="D24" s="3" t="str">
        <x:v>GET BACKEND /api/admin/auth/me không có phiên</x:v>
      </x:c>
      <x:c r="E24" s="3" t="str">
        <x:v>Critical</x:v>
      </x:c>
      <x:c r="F24" s="3" t="str">
        <x:v>Sau thay đổi module hoặc release; dùng fixture và Steps của case gốc.</x:v>
      </x:c>
      <x:c r="G24" s="3" t="str">
        <x:v>HTTP 401; không trả dữ liệu quản trị và không thay đổi DB/MinIO.</x:v>
      </x:c>
      <x:c r="H24" s="3" t="str">
        <x:v>NOT RUN</x:v>
      </x:c>
      <x:c r="I24" s="3" t="str"/>
      <x:c r="J24" s="3" t="str">
        <x:v>Checklist không tăng tổng test. Cập nhật kết quả test gốc để Summary tính.</x:v>
      </x:c>
    </x:row>
    <x:row r="25" ht="36" customHeight="1">
      <x:c r="A25" s="3" t="n">
        <x:v>24</x:v>
      </x:c>
      <x:c r="B25" s="3" t="str">
        <x:v>TC_PERMISSION_002</x:v>
      </x:c>
      <x:c r="C25" s="3" t="str">
        <x:v>PERMISSION</x:v>
      </x:c>
      <x:c r="D25" s="3" t="str">
        <x:v>GET BACKEND /api/admin/auth/me hết hạn</x:v>
      </x:c>
      <x:c r="E25" s="3" t="str">
        <x:v>High</x:v>
      </x:c>
      <x:c r="F25" s="3" t="str">
        <x:v>Sau thay đổi module hoặc release; dùng fixture và Steps của case gốc.</x:v>
      </x:c>
      <x:c r="G25" s="3" t="str">
        <x:v>HTTP 401; không có mutation; không trả dữ liệu quản trị.</x:v>
      </x:c>
      <x:c r="H25" s="3" t="str">
        <x:v>NOT RUN</x:v>
      </x:c>
      <x:c r="I25" s="3" t="str"/>
      <x:c r="J25" s="3" t="str">
        <x:v>Checklist không tăng tổng test. Cập nhật kết quả test gốc để Summary tính.</x:v>
      </x:c>
    </x:row>
    <x:row r="26" ht="36" customHeight="1">
      <x:c r="A26" s="3" t="n">
        <x:v>25</x:v>
      </x:c>
      <x:c r="B26" s="3" t="str">
        <x:v>TC_PERMISSION_003</x:v>
      </x:c>
      <x:c r="C26" s="3" t="str">
        <x:v>PERMISSION</x:v>
      </x:c>
      <x:c r="D26" s="3" t="str">
        <x:v>GET BACKEND /api/admin/dashboard không có phiên</x:v>
      </x:c>
      <x:c r="E26" s="3" t="str">
        <x:v>Critical</x:v>
      </x:c>
      <x:c r="F26" s="3" t="str">
        <x:v>Sau thay đổi module hoặc release; dùng fixture và Steps của case gốc.</x:v>
      </x:c>
      <x:c r="G26" s="3" t="str">
        <x:v>HTTP 401; không trả dữ liệu quản trị và không thay đổi DB/MinIO.</x:v>
      </x:c>
      <x:c r="H26" s="3" t="str">
        <x:v>NOT RUN</x:v>
      </x:c>
      <x:c r="I26" s="3" t="str"/>
      <x:c r="J26" s="3" t="str">
        <x:v>Checklist không tăng tổng test. Cập nhật kết quả test gốc để Summary tính.</x:v>
      </x:c>
    </x:row>
    <x:row r="27" ht="36" customHeight="1">
      <x:c r="A27" s="3" t="n">
        <x:v>26</x:v>
      </x:c>
      <x:c r="B27" s="3" t="str">
        <x:v>TC_AUDIT_002</x:v>
      </x:c>
      <x:c r="C27" s="3" t="str">
        <x:v>AUDIT</x:v>
      </x:c>
      <x:c r="D27" s="3" t="str">
        <x:v>limit=4</x:v>
      </x:c>
      <x:c r="E27" s="3" t="str">
        <x:v>Medium</x:v>
      </x:c>
      <x:c r="F27" s="3" t="str">
        <x:v>Sau thay đổi module hoặc release; dùng fixture và Steps của case gốc.</x:v>
      </x:c>
      <x:c r="G27" s="3" t="str">
        <x:v>HTTP200; số notification=5; sắp createdAt giảm dần.</x:v>
      </x:c>
      <x:c r="H27" s="3" t="str">
        <x:v>NOT RUN</x:v>
      </x:c>
      <x:c r="I27" s="3" t="str"/>
      <x:c r="J27" s="3" t="str">
        <x:v>Checklist không tăng tổng test. Cập nhật kết quả test gốc để Summary tính.</x:v>
      </x:c>
    </x:row>
    <x:row r="28" ht="36" customHeight="1">
      <x:c r="A28" s="3" t="n">
        <x:v>27</x:v>
      </x:c>
      <x:c r="B28" s="3" t="str">
        <x:v>TC_DASH_002</x:v>
      </x:c>
      <x:c r="C28" s="3" t="str">
        <x:v>DASH</x:v>
      </x:c>
      <x:c r="D28" s="3" t="str">
        <x:v>Tổng KPI</x:v>
      </x:c>
      <x:c r="E28" s="3" t="str">
        <x:v>High</x:v>
      </x:c>
      <x:c r="F28" s="3" t="str">
        <x:v>Sau thay đổi module hoặc release; dùng fixture và Steps của case gốc.</x:v>
      </x:c>
      <x:c r="G28" s="3" t="str">
        <x:v>totals staff=2, visits=3, consultations=4, applications=5; các tổng toàn kỳ không bị nhầm với số theo bộ lọc.</x:v>
      </x:c>
      <x:c r="H28" s="3" t="str">
        <x:v>NOT RUN</x:v>
      </x:c>
      <x:c r="I28" s="3" t="str"/>
      <x:c r="J28" s="3" t="str">
        <x:v>Checklist không tăng tổng test. Cập nhật kết quả test gốc để Summary tính.</x:v>
      </x:c>
    </x:row>
    <x:row r="29" ht="36" customHeight="1">
      <x:c r="A29" s="3" t="n">
        <x:v>28</x:v>
      </x:c>
      <x:c r="B29" s="3" t="str">
        <x:v>TC_DATA_001</x:v>
      </x:c>
      <x:c r="C29" s="3" t="str">
        <x:v>DATA</x:v>
      </x:c>
      <x:c r="D29" s="3" t="str">
        <x:v>Theo dõi route visit</x:v>
      </x:c>
      <x:c r="E29" s="3" t="str">
        <x:v>High</x:v>
      </x:c>
      <x:c r="F29" s="3" t="str">
        <x:v>Sau thay đổi module hoặc release; dùng fixture và Steps của case gốc.</x:v>
      </x:c>
      <x:c r="G29" s="3" t="str">
        <x:v>Có path/locale tương ứng route; không gửi thông tin mật khẩu/token.</x:v>
      </x:c>
      <x:c r="H29" s="3" t="str">
        <x:v>NOT RUN</x:v>
      </x:c>
      <x:c r="I29" s="3" t="str"/>
      <x:c r="J29" s="3" t="str">
        <x:v>Checklist không tăng tổng test. Cập nhật kết quả test gốc để Summary tính.</x:v>
      </x:c>
    </x:row>
    <x:row r="30" ht="36" customHeight="1">
      <x:c r="A30" s="3" t="n">
        <x:v>29</x:v>
      </x:c>
      <x:c r="B30" s="3" t="str">
        <x:v>TC_SECURITY_001</x:v>
      </x:c>
      <x:c r="C30" s="3" t="str">
        <x:v>SECURITY</x:v>
      </x:c>
      <x:c r="D30" s="3" t="str">
        <x:v>Stored XSS HTML</x:v>
      </x:c>
      <x:c r="E30" s="3" t="str">
        <x:v>Critical</x:v>
      </x:c>
      <x:c r="F30" s="3" t="str">
        <x:v>Sau thay đổi module hoặc release; dùng fixture và Steps của case gốc.</x:v>
      </x:c>
      <x:c r="G30" s="3" t="str">
        <x:v>Script/event handler bị loại; window.__qa không được thiết lập.</x:v>
      </x:c>
      <x:c r="H30" s="3" t="str">
        <x:v>NOT RUN</x:v>
      </x:c>
      <x:c r="I30" s="3" t="str"/>
      <x:c r="J30" s="3" t="str">
        <x:v>Checklist không tăng tổng test. Cập nhật kết quả test gốc để Summary tính.</x:v>
      </x:c>
    </x:row>
    <x:row r="31" ht="36" customHeight="1">
      <x:c r="A31" s="3" t="n">
        <x:v>30</x:v>
      </x:c>
      <x:c r="B31" s="3" t="str">
        <x:v>TC_SECURITY_002</x:v>
      </x:c>
      <x:c r="C31" s="3" t="str">
        <x:v>SECURITY</x:v>
      </x:c>
      <x:c r="D31" s="3" t="str">
        <x:v>URL javascript</x:v>
      </x:c>
      <x:c r="E31" s="3" t="str">
        <x:v>High</x:v>
      </x:c>
      <x:c r="F31" s="3" t="str">
        <x:v>Sau thay đổi module hoặc release; dùng fixture và Steps của case gốc.</x:v>
      </x:c>
      <x:c r="G31" s="3" t="str">
        <x:v>href nguy hiểm bị sanitize; không thực thi JavaScript.</x:v>
      </x:c>
      <x:c r="H31" s="3" t="str">
        <x:v>NOT RUN</x:v>
      </x:c>
      <x:c r="I31" s="3" t="str"/>
      <x:c r="J31" s="3" t="str">
        <x:v>Checklist không tăng tổng test. Cập nhật kết quả test gốc để Summary tính.</x:v>
      </x:c>
    </x:row>
    <x:row r="32" ht="36" customHeight="1">
      <x:c r="A32" s="3" t="n">
        <x:v>31</x:v>
      </x:c>
      <x:c r="B32" s="3" t="str">
        <x:v>TC_SECURITY_003</x:v>
      </x:c>
      <x:c r="C32" s="3" t="str">
        <x:v>SECURITY</x:v>
      </x:c>
      <x:c r="D32" s="3" t="str">
        <x:v>CSS URL nguy hiểm</x:v>
      </x:c>
      <x:c r="E32" s="3" t="str">
        <x:v>High</x:v>
      </x:c>
      <x:c r="F32" s="3" t="str">
        <x:v>Sau thay đổi module hoặc release; dùng fixture và Steps của case gốc.</x:v>
      </x:c>
      <x:c r="G32" s="3" t="str">
        <x:v>CSS không nằm trong allowlist bị loại; không có request ngoài dự kiến.</x:v>
      </x:c>
      <x:c r="H32" s="3" t="str">
        <x:v>NOT RUN</x:v>
      </x:c>
      <x:c r="I32" s="3" t="str"/>
      <x:c r="J32" s="3" t="str">
        <x:v>Checklist không tăng tổng test. Cập nhật kết quả test gốc để Summary tính.</x:v>
      </x:c>
    </x:row>
    <x:row r="33" ht="36" customHeight="1">
      <x:c r="A33" s="3" t="n">
        <x:v>32</x:v>
      </x:c>
      <x:c r="B33" s="3" t="str">
        <x:v>TC_PERF_011</x:v>
      </x:c>
      <x:c r="C33" s="3" t="str">
        <x:v>PERF</x:v>
      </x:c>
      <x:c r="D33" s="3" t="str">
        <x:v>Cache tin60 giây</x:v>
      </x:c>
      <x:c r="E33" s="3" t="str">
        <x:v>Medium</x:v>
      </x:c>
      <x:c r="F33" s="3" t="str">
        <x:v>Sau thay đổi module hoặc release; dùng fixture và Steps của case gốc.</x:v>
      </x:c>
      <x:c r="G33" s="3" t="str">
        <x:v>Sau revalidate và request tái tạo, title mới hiển thị; không giữ cache vô hạn.</x:v>
      </x:c>
      <x:c r="H33" s="3" t="str">
        <x:v>NOT RUN</x:v>
      </x:c>
      <x:c r="I33" s="3" t="str"/>
      <x:c r="J33" s="3" t="str">
        <x:v>Checklist không tăng tổng test. Cập nhật kết quả test gốc để Summary tính.</x:v>
      </x:c>
    </x:row>
    <x:row r="34" ht="36" customHeight="1">
      <x:c r="A34" s="3" t="n">
        <x:v>33</x:v>
      </x:c>
      <x:c r="B34" s="3" t="str">
        <x:v>TC_COMPAT_001</x:v>
      </x:c>
      <x:c r="C34" s="3" t="str">
        <x:v>COMPAT</x:v>
      </x:c>
      <x:c r="D34" s="3" t="str">
        <x:v>Windows Chrome — Public VI/EN</x:v>
      </x:c>
      <x:c r="E34" s="3" t="str">
        <x:v>Medium</x:v>
      </x:c>
      <x:c r="F34" s="3" t="str">
        <x:v>Sau thay đổi module hoặc release; dùng fixture và Steps của case gốc.</x:v>
      </x:c>
      <x:c r="G34" s="3" t="str">
        <x:v>Nội dung/locale và điều hướng nhất quán; không lỗi runtime.</x:v>
      </x:c>
      <x:c r="H34" s="3" t="str">
        <x:v>NOT RUN</x:v>
      </x:c>
      <x:c r="I34" s="3" t="str"/>
      <x:c r="J34" s="3" t="str">
        <x:v>Checklist không tăng tổng test. Cập nhật kết quả test gốc để Summary tính.</x:v>
      </x:c>
    </x:row>
  </x:sheetData>
  <x:conditionalFormatting sqref="H2:H34">
    <x:cfRule type="cellIs" dxfId="30" priority="1" operator="equal">
      <x:formula>"PASS"</x:formula>
    </x:cfRule>
    <x:cfRule type="cellIs" dxfId="31" priority="2" operator="equal">
      <x:formula>"FAIL"</x:formula>
    </x:cfRule>
    <x:cfRule type="cellIs" dxfId="32" priority="3" operator="equal">
      <x:formula>"BLOCKED"</x:formula>
    </x:cfRule>
    <x:cfRule type="cellIs" dxfId="33" priority="4" operator="equal">
      <x:formula>"NOT RUN"</x:formula>
    </x:cfRule>
    <x:cfRule type="cellIs" dxfId="34" priority="5" operator="equal">
      <x:formula>"NEED CONFIRMATION"</x:formula>
    </x:cfRule>
  </x:conditionalFormatting>
  <x:dataValidations count="2">
    <x:dataValidation type="list" sqref="H2:H34">
      <x:formula1>"PASS,FAIL,BLOCKED,NOT RUN,NEED CONFIRMATION"</x:formula1>
    </x:dataValidation>
    <x:dataValidation type="list" sqref="E2:E34">
      <x:formula1>"Critical,High,Medium,Low"</x:formula1>
    </x:dataValidation>
  </x:dataValidations>
  <x:pageMargins left="0.7" right="0.7" top="0.75" bottom="0.75" header="0.3" footer="0.3"/>
  <x:tableParts count="1">
    <x:tablePart xmlns:r="http://schemas.openxmlformats.org/officeDocument/2006/relationships" r:id="R111913a9924248f0"/>
  </x:tableParts>
</x:worksheet>
</file>

<file path=xl/worksheets/sheet10.xml><?xml version="1.0" encoding="utf-8"?>
<x:worksheet xmlns:x="http://schemas.openxmlformats.org/spreadsheetml/2006/main">
  <x:sheetPr>
    <x:tabColor rgb="FF547394"/>
  </x:sheetPr>
  <x:sheetViews>
    <x:sheetView showGridLines="0" workbookViewId="0">
      <x:pane ySplit="1" topLeftCell="A2" activePane="bottomLeft" state="frozen"/>
    </x:sheetView>
  </x:sheetViews>
  <x:sheetFormatPr defaultRowHeight="15"/>
  <x:cols>
    <x:col min="1" max="1" width="25" hidden="0" customWidth="1"/>
    <x:col min="2" max="2" width="24" hidden="0" customWidth="1"/>
    <x:col min="3" max="3" width="48" hidden="0" customWidth="1"/>
    <x:col min="4" max="4" width="20" hidden="0" customWidth="1"/>
    <x:col min="5" max="5" width="16" hidden="0" customWidth="1"/>
    <x:col min="6" max="6" width="16" hidden="0" customWidth="1"/>
    <x:col min="7" max="7" width="26" hidden="0" customWidth="1"/>
    <x:col min="8" max="8" width="72" hidden="0" customWidth="1"/>
    <x:col min="9" max="9" width="74" hidden="0" customWidth="1"/>
    <x:col min="10" max="10" width="65" hidden="0" customWidth="1"/>
    <x:col min="11" max="11" width="30" hidden="0" customWidth="1"/>
    <x:col min="12" max="12" width="26" hidden="0" customWidth="1"/>
    <x:col min="13" max="13" width="22" hidden="0" customWidth="1"/>
    <x:col min="14" max="14" width="22" hidden="0" customWidth="1"/>
    <x:col min="15" max="15" width="18" hidden="0" customWidth="1"/>
    <x:col min="16" max="16" width="38" hidden="0" customWidth="1"/>
    <x:col min="17" max="17" width="85" hidden="0" customWidth="1"/>
  </x:cols>
  <x:sheetData>
    <x:row r="1" ht="34" customHeight="1">
      <x:c r="A1" s="7" t="str">
        <x:v>Bug ID / Observation ID</x:v>
      </x:c>
      <x:c r="B1" s="7" t="str">
        <x:v>Test Case ID</x:v>
      </x:c>
      <x:c r="C1" s="7" t="str">
        <x:v>Title</x:v>
      </x:c>
      <x:c r="D1" s="7" t="str">
        <x:v>Module</x:v>
      </x:c>
      <x:c r="E1" s="7" t="str">
        <x:v>Severity</x:v>
      </x:c>
      <x:c r="F1" s="7" t="str">
        <x:v>Priority</x:v>
      </x:c>
      <x:c r="G1" s="7" t="str">
        <x:v>Status</x:v>
      </x:c>
      <x:c r="H1" s="7" t="str">
        <x:v>Steps to Reproduce</x:v>
      </x:c>
      <x:c r="I1" s="7" t="str">
        <x:v>Expected Result</x:v>
      </x:c>
      <x:c r="J1" s="7" t="str">
        <x:v>Actual Result / Observation</x:v>
      </x:c>
      <x:c r="K1" s="7" t="str">
        <x:v>Environment</x:v>
      </x:c>
      <x:c r="L1" s="7" t="str">
        <x:v>Browser/Device</x:v>
      </x:c>
      <x:c r="M1" s="7" t="str">
        <x:v>Reporter</x:v>
      </x:c>
      <x:c r="N1" s="7" t="str">
        <x:v>Assignee</x:v>
      </x:c>
      <x:c r="O1" s="7" t="str">
        <x:v>Reported Date</x:v>
      </x:c>
      <x:c r="P1" s="7" t="str">
        <x:v>Evidence/Attachment</x:v>
      </x:c>
      <x:c r="Q1" s="7" t="str">
        <x:v>Notes</x:v>
      </x:c>
    </x:row>
    <x:row r="2" ht="36" customHeight="1">
      <x:c r="A2" s="3" t="str">
        <x:v>OBS-001</x:v>
      </x:c>
      <x:c r="B2" s="3" t="str">
        <x:v>TC_I18N_001</x:v>
      </x:c>
      <x:c r="C2" s="3" t="str">
        <x:v>Tin EN bị truy vấn locale=vi</x:v>
      </x:c>
      <x:c r="D2" s="3" t="str">
        <x:v>I18N</x:v>
      </x:c>
      <x:c r="E2" s="3" t="str">
        <x:v>High</x:v>
      </x:c>
      <x:c r="F2" s="3" t="str">
        <x:v>High</x:v>
      </x:c>
      <x:c r="G2" s="3" t="str">
        <x:v>NEED CONFIRMATION</x:v>
      </x:c>
      <x:c r="H2" s="3" t="str">
        <x:v>1. Tạo bài VI và EN khác nội dung
2. Mở /en/news</x:v>
      </x:c>
      <x:c r="I2" s="3" t="str">
        <x:v>Danh sách EN chỉ nên chứa bài EN; code hiện hardcode locale=vi.</x:v>
      </x:c>
      <x:c r="J2" s="3" t="str">
        <x:v>Chưa tái hiện runtime. Phát hiện từ static review; xem Notes/source.</x:v>
      </x:c>
      <x:c r="K2" s="3" t="str"/>
      <x:c r="L2" s="3" t="str"/>
      <x:c r="M2" s="3" t="str"/>
      <x:c r="N2" s="3" t="str"/>
      <x:c r="O2" s="10" t="str"/>
      <x:c r="P2" s="3" t="str"/>
      <x:c r="Q2" s="3" t="str">
        <x:v>Nguồn: frontend/src/features/news/data.ts. Need Confirmation: Nội dung tin có bắt buộc tách VI/EN và fallback như thế nào?</x:v>
      </x:c>
    </x:row>
    <x:row r="3" ht="49" customHeight="1">
      <x:c r="A3" s="3" t="str">
        <x:v>OBS-002</x:v>
      </x:c>
      <x:c r="B3" s="3" t="str">
        <x:v>TC_RESOURCE_078</x:v>
      </x:c>
      <x:c r="C3" s="3" t="str">
        <x:v>File nháp có URL media công khai</x:v>
      </x:c>
      <x:c r="D3" s="3" t="str">
        <x:v>RESOURCE</x:v>
      </x:c>
      <x:c r="E3" s="3" t="str">
        <x:v>High</x:v>
      </x:c>
      <x:c r="F3" s="3" t="str">
        <x:v>High</x:v>
      </x:c>
      <x:c r="G3" s="3" t="str">
        <x:v>NEED CONFIRMATION</x:v>
      </x:c>
      <x:c r="H3" s="3" t="str">
        <x:v>1. Tạo resource DRAFT
2. Lấy URL đã biết
3. GET media trực tiếp không cookie</x:v>
      </x:c>
      <x:c r="I3" s="3" t="str">
        <x:v>Nếu tài liệu nháp phải riêng tư: từ chối truy cập; hiện media đọc object không kiểm tra trạng thái resource.</x:v>
      </x:c>
      <x:c r="J3" s="3" t="str">
        <x:v>Chưa tái hiện runtime. Phát hiện từ static review; xem Notes/source.</x:v>
      </x:c>
      <x:c r="K3" s="3" t="str"/>
      <x:c r="L3" s="3" t="str"/>
      <x:c r="M3" s="3" t="str"/>
      <x:c r="N3" s="3" t="str"/>
      <x:c r="O3" s="10" t="str"/>
      <x:c r="P3" s="3" t="str"/>
      <x:c r="Q3" s="3" t="str">
        <x:v>Nguồn: backend/src/modules/cms/cms.routes.ts. Need Confirmation: Trạng thái DRAFT bảo vệ file hay chỉ ẩn metadata?</x:v>
      </x:c>
    </x:row>
    <x:row r="4" ht="49" customHeight="1">
      <x:c r="A4" s="3" t="str">
        <x:v>OBS-003</x:v>
      </x:c>
      <x:c r="B4" s="3" t="str">
        <x:v>TC_UPLOAD_023</x:v>
      </x:c>
      <x:c r="C4" s="3" t="str">
        <x:v>Ngưỡng 25 MiB so với 50 MiB</x:v>
      </x:c>
      <x:c r="D4" s="3" t="str">
        <x:v>UPLOAD</x:v>
      </x:c>
      <x:c r="E4" s="3" t="str">
        <x:v>High</x:v>
      </x:c>
      <x:c r="F4" s="3" t="str">
        <x:v>High</x:v>
      </x:c>
      <x:c r="G4" s="3" t="str">
        <x:v>NEED CONFIRMATION</x:v>
      </x:c>
      <x:c r="H4" s="3" t="str">
        <x:v>1. Upload file 25 MiB+1 với cấu hình mặc định
2. Gửi metadata fileSize=50 MiB</x:v>
      </x:c>
      <x:c r="I4" s="3" t="str">
        <x:v>Upload route từ chối 413 trong khi metadata cho phép 50 MiB.</x:v>
      </x:c>
      <x:c r="J4" s="3" t="str">
        <x:v>Chưa tái hiện runtime. Phát hiện từ static review; xem Notes/source.</x:v>
      </x:c>
      <x:c r="K4" s="3" t="str"/>
      <x:c r="L4" s="3" t="str"/>
      <x:c r="M4" s="3" t="str"/>
      <x:c r="N4" s="3" t="str"/>
      <x:c r="O4" s="10" t="str"/>
      <x:c r="P4" s="3" t="str"/>
      <x:c r="Q4" s="3" t="str">
        <x:v>Nguồn: backend/src/modules/cms/cms.routes.ts; admin/src/app/api/cms/upload-resource/route.ts. Need Confirmation: Chốt ngưỡng triển khai và cấu hình STORAGE_MAX_RESOURCE_FILE_MB?</x:v>
      </x:c>
    </x:row>
    <x:row r="5" ht="36" customHeight="1">
      <x:c r="A5" s="3" t="str">
        <x:v>OBS-004</x:v>
      </x:c>
      <x:c r="B5" s="3" t="str">
        <x:v>TC_CONSULT_085</x:v>
      </x:c>
      <x:c r="C5" s="3" t="str">
        <x:v>Consent hidden tự đồng ý</x:v>
      </x:c>
      <x:c r="D5" s="3" t="str">
        <x:v>CONSULT</x:v>
      </x:c>
      <x:c r="E5" s="3" t="str">
        <x:v>High</x:v>
      </x:c>
      <x:c r="F5" s="3" t="str">
        <x:v>High</x:v>
      </x:c>
      <x:c r="G5" s="3" t="str">
        <x:v>NEED CONFIRMATION</x:v>
      </x:c>
      <x:c r="H5" s="3" t="str">
        <x:v>1. Mở form
2. Kiểm tra consent trước khi thao tác người dùng</x:v>
      </x:c>
      <x:c r="I5" s="3" t="str">
        <x:v>Code gửi hidden consent=yes; xác định yêu cầu đồng ý chủ động.</x:v>
      </x:c>
      <x:c r="J5" s="3" t="str">
        <x:v>Chưa tái hiện runtime. Phát hiện từ static review; xem Notes/source.</x:v>
      </x:c>
      <x:c r="K5" s="3" t="str"/>
      <x:c r="L5" s="3" t="str"/>
      <x:c r="M5" s="3" t="str"/>
      <x:c r="N5" s="3" t="str"/>
      <x:c r="O5" s="10" t="str"/>
      <x:c r="P5" s="3" t="str"/>
      <x:c r="Q5" s="3" t="str">
        <x:v>Nguồn: frontend/src/features/home/components/ResourcesConsultation.tsx. Need Confirmation: Có phải checkbox rõ ràng và lưu phiên bản thông báo consent?</x:v>
      </x:c>
    </x:row>
    <x:row r="6" ht="49" customHeight="1">
      <x:c r="A6" s="3" t="str">
        <x:v>OBS-005</x:v>
      </x:c>
      <x:c r="B6" s="3" t="str">
        <x:v>TC_PERMISSION_105</x:v>
      </x:c>
      <x:c r="C6" s="3" t="str">
        <x:v>Bypass mustChangePassword qua CMS</x:v>
      </x:c>
      <x:c r="D6" s="3" t="str">
        <x:v>PERMISSION</x:v>
      </x:c>
      <x:c r="E6" s="3" t="str">
        <x:v>High</x:v>
      </x:c>
      <x:c r="F6" s="3" t="str">
        <x:v>High</x:v>
      </x:c>
      <x:c r="G6" s="3" t="str">
        <x:v>NEED CONFIRMATION</x:v>
      </x:c>
      <x:c r="H6" s="3" t="str">
        <x:v>1. Đăng nhập mustChangePassword=true
2. Gọi POST news trực tiếp backend</x:v>
      </x:c>
      <x:c r="I6" s="3" t="str">
        <x:v>Yêu cầu AUTH-002 đòi 403 trước đổi mật khẩu; backend authenticateRequest chưa xét cờ.</x:v>
      </x:c>
      <x:c r="J6" s="3" t="str">
        <x:v>Chưa tái hiện runtime. Phát hiện từ static review; xem Notes/source.</x:v>
      </x:c>
      <x:c r="K6" s="3" t="str"/>
      <x:c r="L6" s="3" t="str"/>
      <x:c r="M6" s="3" t="str"/>
      <x:c r="N6" s="3" t="str"/>
      <x:c r="O6" s="10" t="str"/>
      <x:c r="P6" s="3" t="str"/>
      <x:c r="Q6" s="3" t="str">
        <x:v>Nguồn: backend/src/modules/cms/cms.routes.ts; backend/src/modules/auth/auth.service.ts. Need Confirmation: Xác nhận guard bắt buộc áp dụng cho mọi mutation CMS/upload.</x:v>
      </x:c>
    </x:row>
    <x:row r="7" ht="36" customHeight="1">
      <x:c r="A7" s="3" t="str">
        <x:v>OBS-006</x:v>
      </x:c>
      <x:c r="B7" s="3" t="str">
        <x:v>TC_SITE_024</x:v>
      </x:c>
      <x:c r="C7" s="3" t="str">
        <x:v>website.view/update thiếu seed</x:v>
      </x:c>
      <x:c r="D7" s="3" t="str">
        <x:v>SITE</x:v>
      </x:c>
      <x:c r="E7" s="3" t="str">
        <x:v>High</x:v>
      </x:c>
      <x:c r="F7" s="3" t="str">
        <x:v>High</x:v>
      </x:c>
      <x:c r="G7" s="3" t="str">
        <x:v>NEED CONFIRMATION</x:v>
      </x:c>
      <x:c r="H7" s="3" t="str">
        <x:v>1. Bootstrap DB sạch
2. Mở /admin/website và gọi API bằng SUPER_ADMIN</x:v>
      </x:c>
      <x:c r="I7" s="3" t="str">
        <x:v>Guard yêu cầu website.view/update nhưng danh sách seed chưa có.</x:v>
      </x:c>
      <x:c r="J7" s="3" t="str">
        <x:v>Chưa tái hiện runtime. Phát hiện từ static review; xem Notes/source.</x:v>
      </x:c>
      <x:c r="K7" s="3" t="str"/>
      <x:c r="L7" s="3" t="str"/>
      <x:c r="M7" s="3" t="str"/>
      <x:c r="N7" s="3" t="str"/>
      <x:c r="O7" s="10" t="str"/>
      <x:c r="P7" s="3" t="str"/>
      <x:c r="Q7" s="3" t="str">
        <x:v>Nguồn: backend/src/modules/cms/cms.routes.ts; backend/prisma/bootstrap-admin.ts. Need Confirmation: Cấp quyền module website bằng migration/seed nào?</x:v>
      </x:c>
    </x:row>
    <x:row r="8" ht="36" customHeight="1">
      <x:c r="A8" s="3" t="str">
        <x:v>OBS-007</x:v>
      </x:c>
      <x:c r="B8" s="3" t="str">
        <x:v>TC_AUDIT_001</x:v>
      </x:c>
      <x:c r="C8" s="3" t="str">
        <x:v>Thông báo lộ audit giữa vai trò</x:v>
      </x:c>
      <x:c r="D8" s="3" t="str">
        <x:v>AUDIT</x:v>
      </x:c>
      <x:c r="E8" s="3" t="str">
        <x:v>High</x:v>
      </x:c>
      <x:c r="F8" s="3" t="str">
        <x:v>High</x:v>
      </x:c>
      <x:c r="G8" s="3" t="str">
        <x:v>NEED CONFIRMATION</x:v>
      </x:c>
      <x:c r="H8" s="3" t="str">
        <x:v>1. Đăng nhập cấp2 không audit.view
2. GET /api/admin/notifications</x:v>
      </x:c>
      <x:c r="I8" s="3" t="str">
        <x:v>Nếu audit giới hạn Super Admin: 403 hoặc chỉ sự kiện được phép; code lấy toàn bộ logs chỉ cần phiên.</x:v>
      </x:c>
      <x:c r="J8" s="3" t="str">
        <x:v>Chưa tái hiện runtime. Phát hiện từ static review; xem Notes/source.</x:v>
      </x:c>
      <x:c r="K8" s="3" t="str"/>
      <x:c r="L8" s="3" t="str"/>
      <x:c r="M8" s="3" t="str"/>
      <x:c r="N8" s="3" t="str"/>
      <x:c r="O8" s="10" t="str"/>
      <x:c r="P8" s="3" t="str"/>
      <x:c r="Q8" s="3" t="str">
        <x:v>Nguồn: admin/src/app/api/admin/notifications/route.ts. Need Confirmation: Thông báo được phép chứa audit/metadata của ai?</x:v>
      </x:c>
    </x:row>
    <x:row r="9" ht="36" customHeight="1">
      <x:c r="A9" s="3" t="str">
        <x:v>OBS-008</x:v>
      </x:c>
      <x:c r="B9" s="3" t="str">
        <x:v>TC_DASH_001</x:v>
      </x:c>
      <x:c r="C9" s="3" t="str">
        <x:v>Biểu đồ có dữ liệu mô phỏng</x:v>
      </x:c>
      <x:c r="D9" s="3" t="str">
        <x:v>DASH</x:v>
      </x:c>
      <x:c r="E9" s="3" t="str">
        <x:v>High</x:v>
      </x:c>
      <x:c r="F9" s="3" t="str">
        <x:v>High</x:v>
      </x:c>
      <x:c r="G9" s="3" t="str">
        <x:v>NEED CONFIRMATION</x:v>
      </x:c>
      <x:c r="H9" s="3" t="str">
        <x:v>1. Seed visits=0
2. Mở biểu đồ lượt truy cập và nhân sự</x:v>
      </x:c>
      <x:c r="I9" s="3" t="str">
        <x:v>Nghiệm thu số liệu thật: các bucket rỗng phải bằng0; không dùng nhánh sin/cos để thay số thật.</x:v>
      </x:c>
      <x:c r="J9" s="3" t="str">
        <x:v>Chưa tái hiện runtime. Phát hiện từ static review; xem Notes/source.</x:v>
      </x:c>
      <x:c r="K9" s="3" t="str"/>
      <x:c r="L9" s="3" t="str"/>
      <x:c r="M9" s="3" t="str"/>
      <x:c r="N9" s="3" t="str"/>
      <x:c r="O9" s="10" t="str"/>
      <x:c r="P9" s="3" t="str"/>
      <x:c r="Q9" s="3" t="str">
        <x:v>Nguồn: admin/src/components/dashboard/RealtimeDashboard.tsx. Need Confirmation: Có được hiển thị số mô phỏng? KPI và breakdown nguồn nào?</x:v>
      </x:c>
    </x:row>
    <x:row r="10" ht="36" customHeight="1">
      <x:c r="A10" s="3" t="str"/>
      <x:c r="B10" s="3" t="str"/>
      <x:c r="C10" s="3" t="str"/>
      <x:c r="D10" s="3" t="str"/>
      <x:c r="E10" s="3" t="str"/>
      <x:c r="F10" s="3" t="str"/>
      <x:c r="G10" s="3" t="str"/>
      <x:c r="H10" s="3" t="str"/>
      <x:c r="I10" s="3" t="str"/>
      <x:c r="J10" s="3" t="str"/>
      <x:c r="K10" s="3" t="str"/>
      <x:c r="L10" s="3" t="str"/>
      <x:c r="M10" s="3" t="str"/>
      <x:c r="N10" s="3" t="str"/>
      <x:c r="O10" s="10" t="str"/>
      <x:c r="P10" s="3" t="str"/>
      <x:c r="Q10" s="3" t="str"/>
    </x:row>
    <x:row r="11" ht="36" customHeight="1">
      <x:c r="A11" s="3" t="str"/>
      <x:c r="B11" s="3" t="str"/>
      <x:c r="C11" s="3" t="str"/>
      <x:c r="D11" s="3" t="str"/>
      <x:c r="E11" s="3" t="str"/>
      <x:c r="F11" s="3" t="str"/>
      <x:c r="G11" s="3" t="str"/>
      <x:c r="H11" s="3" t="str"/>
      <x:c r="I11" s="3" t="str"/>
      <x:c r="J11" s="3" t="str"/>
      <x:c r="K11" s="3" t="str"/>
      <x:c r="L11" s="3" t="str"/>
      <x:c r="M11" s="3" t="str"/>
      <x:c r="N11" s="3" t="str"/>
      <x:c r="O11" s="10" t="str"/>
      <x:c r="P11" s="3" t="str"/>
      <x:c r="Q11" s="3" t="str"/>
    </x:row>
    <x:row r="12" ht="36" customHeight="1">
      <x:c r="A12" s="3" t="str"/>
      <x:c r="B12" s="3" t="str"/>
      <x:c r="C12" s="3" t="str"/>
      <x:c r="D12" s="3" t="str"/>
      <x:c r="E12" s="3" t="str"/>
      <x:c r="F12" s="3" t="str"/>
      <x:c r="G12" s="3" t="str"/>
      <x:c r="H12" s="3" t="str"/>
      <x:c r="I12" s="3" t="str"/>
      <x:c r="J12" s="3" t="str"/>
      <x:c r="K12" s="3" t="str"/>
      <x:c r="L12" s="3" t="str"/>
      <x:c r="M12" s="3" t="str"/>
      <x:c r="N12" s="3" t="str"/>
      <x:c r="O12" s="10" t="str"/>
      <x:c r="P12" s="3" t="str"/>
      <x:c r="Q12" s="3" t="str"/>
    </x:row>
    <x:row r="13" ht="36" customHeight="1">
      <x:c r="A13" s="3" t="str"/>
      <x:c r="B13" s="3" t="str"/>
      <x:c r="C13" s="3" t="str"/>
      <x:c r="D13" s="3" t="str"/>
      <x:c r="E13" s="3" t="str"/>
      <x:c r="F13" s="3" t="str"/>
      <x:c r="G13" s="3" t="str"/>
      <x:c r="H13" s="3" t="str"/>
      <x:c r="I13" s="3" t="str"/>
      <x:c r="J13" s="3" t="str"/>
      <x:c r="K13" s="3" t="str"/>
      <x:c r="L13" s="3" t="str"/>
      <x:c r="M13" s="3" t="str"/>
      <x:c r="N13" s="3" t="str"/>
      <x:c r="O13" s="10" t="str"/>
      <x:c r="P13" s="3" t="str"/>
      <x:c r="Q13" s="3" t="str"/>
    </x:row>
    <x:row r="14" ht="36" customHeight="1">
      <x:c r="A14" s="3" t="str"/>
      <x:c r="B14" s="3" t="str"/>
      <x:c r="C14" s="3" t="str"/>
      <x:c r="D14" s="3" t="str"/>
      <x:c r="E14" s="3" t="str"/>
      <x:c r="F14" s="3" t="str"/>
      <x:c r="G14" s="3" t="str"/>
      <x:c r="H14" s="3" t="str"/>
      <x:c r="I14" s="3" t="str"/>
      <x:c r="J14" s="3" t="str"/>
      <x:c r="K14" s="3" t="str"/>
      <x:c r="L14" s="3" t="str"/>
      <x:c r="M14" s="3" t="str"/>
      <x:c r="N14" s="3" t="str"/>
      <x:c r="O14" s="10" t="str"/>
      <x:c r="P14" s="3" t="str"/>
      <x:c r="Q14" s="3" t="str"/>
    </x:row>
    <x:row r="15" ht="36" customHeight="1">
      <x:c r="A15" s="3" t="str"/>
      <x:c r="B15" s="3" t="str"/>
      <x:c r="C15" s="3" t="str"/>
      <x:c r="D15" s="3" t="str"/>
      <x:c r="E15" s="3" t="str"/>
      <x:c r="F15" s="3" t="str"/>
      <x:c r="G15" s="3" t="str"/>
      <x:c r="H15" s="3" t="str"/>
      <x:c r="I15" s="3" t="str"/>
      <x:c r="J15" s="3" t="str"/>
      <x:c r="K15" s="3" t="str"/>
      <x:c r="L15" s="3" t="str"/>
      <x:c r="M15" s="3" t="str"/>
      <x:c r="N15" s="3" t="str"/>
      <x:c r="O15" s="10" t="str"/>
      <x:c r="P15" s="3" t="str"/>
      <x:c r="Q15" s="3" t="str"/>
    </x:row>
    <x:row r="16" ht="36" customHeight="1">
      <x:c r="A16" s="3" t="str"/>
      <x:c r="B16" s="3" t="str"/>
      <x:c r="C16" s="3" t="str"/>
      <x:c r="D16" s="3" t="str"/>
      <x:c r="E16" s="3" t="str"/>
      <x:c r="F16" s="3" t="str"/>
      <x:c r="G16" s="3" t="str"/>
      <x:c r="H16" s="3" t="str"/>
      <x:c r="I16" s="3" t="str"/>
      <x:c r="J16" s="3" t="str"/>
      <x:c r="K16" s="3" t="str"/>
      <x:c r="L16" s="3" t="str"/>
      <x:c r="M16" s="3" t="str"/>
      <x:c r="N16" s="3" t="str"/>
      <x:c r="O16" s="10" t="str"/>
      <x:c r="P16" s="3" t="str"/>
      <x:c r="Q16" s="3" t="str"/>
    </x:row>
    <x:row r="17" ht="36" customHeight="1">
      <x:c r="A17" s="3" t="str"/>
      <x:c r="B17" s="3" t="str"/>
      <x:c r="C17" s="3" t="str"/>
      <x:c r="D17" s="3" t="str"/>
      <x:c r="E17" s="3" t="str"/>
      <x:c r="F17" s="3" t="str"/>
      <x:c r="G17" s="3" t="str"/>
      <x:c r="H17" s="3" t="str"/>
      <x:c r="I17" s="3" t="str"/>
      <x:c r="J17" s="3" t="str"/>
      <x:c r="K17" s="3" t="str"/>
      <x:c r="L17" s="3" t="str"/>
      <x:c r="M17" s="3" t="str"/>
      <x:c r="N17" s="3" t="str"/>
      <x:c r="O17" s="10" t="str"/>
      <x:c r="P17" s="3" t="str"/>
      <x:c r="Q17" s="3" t="str"/>
    </x:row>
    <x:row r="18" ht="36" customHeight="1">
      <x:c r="A18" s="3" t="str"/>
      <x:c r="B18" s="3" t="str"/>
      <x:c r="C18" s="3" t="str"/>
      <x:c r="D18" s="3" t="str"/>
      <x:c r="E18" s="3" t="str"/>
      <x:c r="F18" s="3" t="str"/>
      <x:c r="G18" s="3" t="str"/>
      <x:c r="H18" s="3" t="str"/>
      <x:c r="I18" s="3" t="str"/>
      <x:c r="J18" s="3" t="str"/>
      <x:c r="K18" s="3" t="str"/>
      <x:c r="L18" s="3" t="str"/>
      <x:c r="M18" s="3" t="str"/>
      <x:c r="N18" s="3" t="str"/>
      <x:c r="O18" s="10" t="str"/>
      <x:c r="P18" s="3" t="str"/>
      <x:c r="Q18" s="3" t="str"/>
    </x:row>
    <x:row r="19" ht="36" customHeight="1">
      <x:c r="A19" s="3" t="str"/>
      <x:c r="B19" s="3" t="str"/>
      <x:c r="C19" s="3" t="str"/>
      <x:c r="D19" s="3" t="str"/>
      <x:c r="E19" s="3" t="str"/>
      <x:c r="F19" s="3" t="str"/>
      <x:c r="G19" s="3" t="str"/>
      <x:c r="H19" s="3" t="str"/>
      <x:c r="I19" s="3" t="str"/>
      <x:c r="J19" s="3" t="str"/>
      <x:c r="K19" s="3" t="str"/>
      <x:c r="L19" s="3" t="str"/>
      <x:c r="M19" s="3" t="str"/>
      <x:c r="N19" s="3" t="str"/>
      <x:c r="O19" s="10" t="str"/>
      <x:c r="P19" s="3" t="str"/>
      <x:c r="Q19" s="3" t="str"/>
    </x:row>
    <x:row r="20" ht="36" customHeight="1">
      <x:c r="A20" s="3" t="str"/>
      <x:c r="B20" s="3" t="str"/>
      <x:c r="C20" s="3" t="str"/>
      <x:c r="D20" s="3" t="str"/>
      <x:c r="E20" s="3" t="str"/>
      <x:c r="F20" s="3" t="str"/>
      <x:c r="G20" s="3" t="str"/>
      <x:c r="H20" s="3" t="str"/>
      <x:c r="I20" s="3" t="str"/>
      <x:c r="J20" s="3" t="str"/>
      <x:c r="K20" s="3" t="str"/>
      <x:c r="L20" s="3" t="str"/>
      <x:c r="M20" s="3" t="str"/>
      <x:c r="N20" s="3" t="str"/>
      <x:c r="O20" s="10" t="str"/>
      <x:c r="P20" s="3" t="str"/>
      <x:c r="Q20" s="3" t="str"/>
    </x:row>
    <x:row r="21" ht="36" customHeight="1">
      <x:c r="A21" s="3" t="str"/>
      <x:c r="B21" s="3" t="str"/>
      <x:c r="C21" s="3" t="str"/>
      <x:c r="D21" s="3" t="str"/>
      <x:c r="E21" s="3" t="str"/>
      <x:c r="F21" s="3" t="str"/>
      <x:c r="G21" s="3" t="str"/>
      <x:c r="H21" s="3" t="str"/>
      <x:c r="I21" s="3" t="str"/>
      <x:c r="J21" s="3" t="str"/>
      <x:c r="K21" s="3" t="str"/>
      <x:c r="L21" s="3" t="str"/>
      <x:c r="M21" s="3" t="str"/>
      <x:c r="N21" s="3" t="str"/>
      <x:c r="O21" s="10" t="str"/>
      <x:c r="P21" s="3" t="str"/>
      <x:c r="Q21" s="3" t="str"/>
    </x:row>
  </x:sheetData>
  <x:dataValidations count="3">
    <x:dataValidation type="list" sqref="E2:E21">
      <x:formula1>"Critical,High,Medium,Low"</x:formula1>
    </x:dataValidation>
    <x:dataValidation type="list" sqref="F2:F21">
      <x:formula1>"Critical,High,Medium,Low"</x:formula1>
    </x:dataValidation>
    <x:dataValidation type="list" sqref="G2:G21">
      <x:formula1>"NEW,CONFIRMED,IN PROGRESS,FIXED,RETEST,CLOSED,REJECTED,NEED CONFIRMATION"</x:formula1>
    </x:dataValidation>
  </x:dataValidations>
  <x:pageMargins left="0.7" right="0.7" top="0.75" bottom="0.75" header="0.3" footer="0.3"/>
  <x:tableParts count="1">
    <x:tablePart xmlns:r="http://schemas.openxmlformats.org/officeDocument/2006/relationships" r:id="Rdae53f8687964a7a"/>
  </x:tableParts>
</x:worksheet>
</file>

<file path=xl/worksheets/sheet11.xml><?xml version="1.0" encoding="utf-8"?>
<x:worksheet xmlns:x="http://schemas.openxmlformats.org/spreadsheetml/2006/main">
  <x:sheetPr>
    <x:tabColor rgb="FF547394"/>
  </x:sheetPr>
  <x:sheetViews>
    <x:sheetView showGridLines="0" workbookViewId="0">
      <x:pane ySplit="1" topLeftCell="A2" activePane="bottomLeft" state="frozen"/>
    </x:sheetView>
  </x:sheetViews>
  <x:sheetFormatPr defaultRowHeight="15"/>
  <x:cols>
    <x:col min="1" max="1" width="28" hidden="0" customWidth="1"/>
    <x:col min="2" max="2" width="22" hidden="0" customWidth="1"/>
    <x:col min="3" max="3" width="83" hidden="0" customWidth="1"/>
    <x:col min="4" max="4" width="25" hidden="0" customWidth="1"/>
    <x:col min="5" max="5" width="56" hidden="0" customWidth="1"/>
    <x:col min="6" max="6" width="31" hidden="0" customWidth="1"/>
    <x:col min="7" max="7" width="110" hidden="0" customWidth="1"/>
  </x:cols>
  <x:sheetData>
    <x:row r="1" ht="34" customHeight="1">
      <x:c r="A1" s="7" t="str">
        <x:v>Requirement/User Story ID</x:v>
      </x:c>
      <x:c r="B1" s="7" t="str">
        <x:v>Module</x:v>
      </x:c>
      <x:c r="C1" s="7" t="str">
        <x:v>Requirement Description</x:v>
      </x:c>
      <x:c r="D1" s="7" t="str">
        <x:v>Test Case ID</x:v>
      </x:c>
      <x:c r="E1" s="7" t="str">
        <x:v>Test Scenario</x:v>
      </x:c>
      <x:c r="F1" s="7" t="str">
        <x:v>Coverage Status</x:v>
      </x:c>
      <x:c r="G1" s="7" t="str">
        <x:v>Notes</x:v>
      </x:c>
    </x:row>
    <x:row r="2" ht="36" customHeight="1">
      <x:c r="A2" s="3" t="str">
        <x:v>AUTH-001</x:v>
      </x:c>
      <x:c r="B2" s="3" t="str">
        <x:v>AUTH</x:v>
      </x:c>
      <x:c r="C2" s="3" t="str">
        <x:v>Hệ thống phải xác thực tài khoản, trạng thái và tạo phiên bằng cookie HttpOnly.</x:v>
      </x:c>
      <x:c r="D2" s="3" t="str">
        <x:v>TC_AUTH_001</x:v>
      </x:c>
      <x:c r="E2" s="3" t="str">
        <x:v>Đăng nhập username hợp lệ</x:v>
      </x:c>
      <x:c r="F2" s="3" t="str">
        <x:v>Designed — chưa thực thi</x:v>
      </x:c>
      <x:c r="G2" s="3" t="str">
        <x:v>Nguồn: admin/src/lib/auth/schemas.ts.  Baseline: docs/ba/02-requirements/VGG_REQ-WORKBOOK_v0.1_2026-09-04.xlsx / Requirements; </x:v>
      </x:c>
    </x:row>
    <x:row r="3" ht="36" customHeight="1">
      <x:c r="A3" s="3" t="str">
        <x:v>AUTH-001</x:v>
      </x:c>
      <x:c r="B3" s="3" t="str">
        <x:v>AUTH</x:v>
      </x:c>
      <x:c r="C3" s="3" t="str">
        <x:v>Hệ thống phải xác thực tài khoản, trạng thái và tạo phiên bằng cookie HttpOnly.</x:v>
      </x:c>
      <x:c r="D3" s="3" t="str">
        <x:v>TC_AUTH_002</x:v>
      </x:c>
      <x:c r="E3" s="3" t="str">
        <x:v>Đăng nhập bằng email</x:v>
      </x:c>
      <x:c r="F3" s="3" t="str">
        <x:v>Designed — chưa thực thi</x:v>
      </x:c>
      <x:c r="G3" s="3" t="str">
        <x:v>Nguồn: admin/src/lib/auth/schemas.ts.  Baseline: docs/ba/02-requirements/VGG_REQ-WORKBOOK_v0.1_2026-09-04.xlsx / Requirements; </x:v>
      </x:c>
    </x:row>
    <x:row r="4" ht="36" customHeight="1">
      <x:c r="A4" s="3" t="str">
        <x:v>AUTH-001</x:v>
      </x:c>
      <x:c r="B4" s="3" t="str">
        <x:v>AUTH</x:v>
      </x:c>
      <x:c r="C4" s="3" t="str">
        <x:v>Hệ thống phải xác thực tài khoản, trạng thái và tạo phiên bằng cookie HttpOnly.</x:v>
      </x:c>
      <x:c r="D4" s="3" t="str">
        <x:v>TC_AUTH_003</x:v>
      </x:c>
      <x:c r="E4" s="3" t="str">
        <x:v>Sai mật khẩu</x:v>
      </x:c>
      <x:c r="F4" s="3" t="str">
        <x:v>Designed — chưa thực thi</x:v>
      </x:c>
      <x:c r="G4" s="3" t="str">
        <x:v>Nguồn: admin/src/lib/auth/schemas.ts.  Baseline: docs/ba/02-requirements/VGG_REQ-WORKBOOK_v0.1_2026-09-04.xlsx / Requirements; </x:v>
      </x:c>
    </x:row>
    <x:row r="5" ht="36" customHeight="1">
      <x:c r="A5" s="3" t="str">
        <x:v>AUTH-001</x:v>
      </x:c>
      <x:c r="B5" s="3" t="str">
        <x:v>AUTH</x:v>
      </x:c>
      <x:c r="C5" s="3" t="str">
        <x:v>Hệ thống phải xác thực tài khoản, trạng thái và tạo phiên bằng cookie HttpOnly.</x:v>
      </x:c>
      <x:c r="D5" s="3" t="str">
        <x:v>TC_AUTH_004</x:v>
      </x:c>
      <x:c r="E5" s="3" t="str">
        <x:v>Tài khoản không tồn tại</x:v>
      </x:c>
      <x:c r="F5" s="3" t="str">
        <x:v>Designed — chưa thực thi</x:v>
      </x:c>
      <x:c r="G5" s="3" t="str">
        <x:v>Nguồn: admin/src/lib/auth/schemas.ts.  Baseline: docs/ba/02-requirements/VGG_REQ-WORKBOOK_v0.1_2026-09-04.xlsx / Requirements; </x:v>
      </x:c>
    </x:row>
    <x:row r="6" ht="36" customHeight="1">
      <x:c r="A6" s="3" t="str">
        <x:v>AUTH-001</x:v>
      </x:c>
      <x:c r="B6" s="3" t="str">
        <x:v>AUTH</x:v>
      </x:c>
      <x:c r="C6" s="3" t="str">
        <x:v>Hệ thống phải xác thực tài khoản, trạng thái và tạo phiên bằng cookie HttpOnly.</x:v>
      </x:c>
      <x:c r="D6" s="3" t="str">
        <x:v>TC_AUTH_005</x:v>
      </x:c>
      <x:c r="E6" s="3" t="str">
        <x:v>Tài khoản INACTIVE</x:v>
      </x:c>
      <x:c r="F6" s="3" t="str">
        <x:v>Designed — chưa thực thi</x:v>
      </x:c>
      <x:c r="G6" s="3" t="str">
        <x:v>Nguồn: admin/src/lib/auth/schemas.ts.  Baseline: docs/ba/02-requirements/VGG_REQ-WORKBOOK_v0.1_2026-09-04.xlsx / Requirements; </x:v>
      </x:c>
    </x:row>
    <x:row r="7" ht="36" customHeight="1">
      <x:c r="A7" s="3" t="str">
        <x:v>AUTH-001</x:v>
      </x:c>
      <x:c r="B7" s="3" t="str">
        <x:v>AUTH</x:v>
      </x:c>
      <x:c r="C7" s="3" t="str">
        <x:v>Hệ thống phải xác thực tài khoản, trạng thái và tạo phiên bằng cookie HttpOnly.</x:v>
      </x:c>
      <x:c r="D7" s="3" t="str">
        <x:v>TC_AUTH_006</x:v>
      </x:c>
      <x:c r="E7" s="3" t="str">
        <x:v>Tài khoản LOCKED</x:v>
      </x:c>
      <x:c r="F7" s="3" t="str">
        <x:v>Designed — chưa thực thi</x:v>
      </x:c>
      <x:c r="G7" s="3" t="str">
        <x:v>Nguồn: admin/src/lib/auth/schemas.ts.  Baseline: docs/ba/02-requirements/VGG_REQ-WORKBOOK_v0.1_2026-09-04.xlsx / Requirements; </x:v>
      </x:c>
    </x:row>
    <x:row r="8" ht="36" customHeight="1">
      <x:c r="A8" s="3" t="str">
        <x:v>AUTH-001</x:v>
      </x:c>
      <x:c r="B8" s="3" t="str">
        <x:v>AUTH</x:v>
      </x:c>
      <x:c r="C8" s="3" t="str">
        <x:v>Hệ thống phải xác thực tài khoản, trạng thái và tạo phiên bằng cookie HttpOnly.</x:v>
      </x:c>
      <x:c r="D8" s="3" t="str">
        <x:v>TC_AUTH_007</x:v>
      </x:c>
      <x:c r="E8" s="3" t="str">
        <x:v>Khóa sau 5 lần sai</x:v>
      </x:c>
      <x:c r="F8" s="3" t="str">
        <x:v>Designed — chưa thực thi</x:v>
      </x:c>
      <x:c r="G8" s="3" t="str">
        <x:v>Nguồn: admin/src/lib/auth/schemas.ts.  Baseline: docs/ba/02-requirements/VGG_REQ-WORKBOOK_v0.1_2026-09-04.xlsx / Requirements; </x:v>
      </x:c>
    </x:row>
    <x:row r="9" ht="36" customHeight="1">
      <x:c r="A9" s="3" t="str">
        <x:v>AUTH-001</x:v>
      </x:c>
      <x:c r="B9" s="3" t="str">
        <x:v>AUTH</x:v>
      </x:c>
      <x:c r="C9" s="3" t="str">
        <x:v>Hệ thống phải xác thực tài khoản, trạng thái và tạo phiên bằng cookie HttpOnly.</x:v>
      </x:c>
      <x:c r="D9" s="3" t="str">
        <x:v>TC_AUTH_008</x:v>
      </x:c>
      <x:c r="E9" s="3" t="str">
        <x:v>Hết thời gian khóa</x:v>
      </x:c>
      <x:c r="F9" s="3" t="str">
        <x:v>Designed — chưa thực thi</x:v>
      </x:c>
      <x:c r="G9" s="3" t="str">
        <x:v>Nguồn: admin/src/lib/auth/schemas.ts.  Baseline: docs/ba/02-requirements/VGG_REQ-WORKBOOK_v0.1_2026-09-04.xlsx / Requirements; </x:v>
      </x:c>
    </x:row>
    <x:row r="10" ht="36" customHeight="1">
      <x:c r="A10" s="3" t="str">
        <x:v>AUTH-001</x:v>
      </x:c>
      <x:c r="B10" s="3" t="str">
        <x:v>AUTH</x:v>
      </x:c>
      <x:c r="C10" s="3" t="str">
        <x:v>Hệ thống phải xác thực tài khoản, trạng thái và tạo phiên bằng cookie HttpOnly.</x:v>
      </x:c>
      <x:c r="D10" s="3" t="str">
        <x:v>TC_AUTH_009</x:v>
      </x:c>
      <x:c r="E10" s="3" t="str">
        <x:v>Ghi nhớ 30 ngày</x:v>
      </x:c>
      <x:c r="F10" s="3" t="str">
        <x:v>Designed — chưa thực thi</x:v>
      </x:c>
      <x:c r="G10" s="3" t="str">
        <x:v>Nguồn: admin/src/lib/auth/schemas.ts.  Baseline: docs/ba/02-requirements/VGG_REQ-WORKBOOK_v0.1_2026-09-04.xlsx / Requirements; </x:v>
      </x:c>
    </x:row>
    <x:row r="11" ht="36" customHeight="1">
      <x:c r="A11" s="3" t="str">
        <x:v>AUTH-001</x:v>
      </x:c>
      <x:c r="B11" s="3" t="str">
        <x:v>AUTH</x:v>
      </x:c>
      <x:c r="C11" s="3" t="str">
        <x:v>Hệ thống phải xác thực tài khoản, trạng thái và tạo phiên bằng cookie HttpOnly.</x:v>
      </x:c>
      <x:c r="D11" s="3" t="str">
        <x:v>TC_AUTH_010</x:v>
      </x:c>
      <x:c r="E11" s="3" t="str">
        <x:v>Phiên thường 1 ngày</x:v>
      </x:c>
      <x:c r="F11" s="3" t="str">
        <x:v>Designed — chưa thực thi</x:v>
      </x:c>
      <x:c r="G11" s="3" t="str">
        <x:v>Nguồn: admin/src/lib/auth/schemas.ts.  Baseline: docs/ba/02-requirements/VGG_REQ-WORKBOOK_v0.1_2026-09-04.xlsx / Requirements; </x:v>
      </x:c>
    </x:row>
    <x:row r="12" ht="36" customHeight="1">
      <x:c r="A12" s="3" t="str">
        <x:v>AUTH-001</x:v>
      </x:c>
      <x:c r="B12" s="3" t="str">
        <x:v>AUTH</x:v>
      </x:c>
      <x:c r="C12" s="3" t="str">
        <x:v>Hệ thống phải xác thực tài khoản, trạng thái và tạo phiên bằng cookie HttpOnly.</x:v>
      </x:c>
      <x:c r="D12" s="3" t="str">
        <x:v>TC_AUTH_011</x:v>
      </x:c>
      <x:c r="E12" s="3" t="str">
        <x:v>Refresh và tab mới</x:v>
      </x:c>
      <x:c r="F12" s="3" t="str">
        <x:v>Designed — chưa thực thi</x:v>
      </x:c>
      <x:c r="G12" s="3" t="str">
        <x:v>Nguồn: admin/src/lib/auth/schemas.ts.  Baseline: docs/ba/02-requirements/VGG_REQ-WORKBOOK_v0.1_2026-09-04.xlsx / Requirements; </x:v>
      </x:c>
    </x:row>
    <x:row r="13" ht="36" customHeight="1">
      <x:c r="A13" s="3" t="str">
        <x:v>OBS-LOGOUT</x:v>
      </x:c>
      <x:c r="B13" s="3" t="str">
        <x:v>AUTH</x:v>
      </x:c>
      <x:c r="C13" s="3" t="str">
        <x:v>Xác thực và vòng đời phiên</x:v>
      </x:c>
      <x:c r="D13" s="3" t="str">
        <x:v>TC_AUTH_012</x:v>
      </x:c>
      <x:c r="E13" s="3" t="str">
        <x:v>Đăng xuất thu hồi phiên</x:v>
      </x:c>
      <x:c r="F13" s="3" t="str">
        <x:v>Designed — chưa thực thi</x:v>
      </x:c>
      <x:c r="G13" s="3" t="str">
        <x:v>Nguồn: admin/src/app/api/admin/auth.  Baseline: admin/src/app/api/admin/auth; Yêu cầu suy ra từ code, chưa phải baseline đã phê duyệt.</x:v>
      </x:c>
    </x:row>
    <x:row r="14" ht="36" customHeight="1">
      <x:c r="A14" s="3" t="str">
        <x:v>OBS-LOGOUT</x:v>
      </x:c>
      <x:c r="B14" s="3" t="str">
        <x:v>AUTH</x:v>
      </x:c>
      <x:c r="C14" s="3" t="str">
        <x:v>Xác thực và vòng đời phiên</x:v>
      </x:c>
      <x:c r="D14" s="3" t="str">
        <x:v>TC_AUTH_013</x:v>
      </x:c>
      <x:c r="E14" s="3" t="str">
        <x:v>Back sau đăng xuất</x:v>
      </x:c>
      <x:c r="F14" s="3" t="str">
        <x:v>Designed — chưa thực thi</x:v>
      </x:c>
      <x:c r="G14" s="3" t="str">
        <x:v>Nguồn: admin/src/app/api/admin/auth.  Baseline: admin/src/app/api/admin/auth; Yêu cầu suy ra từ code, chưa phải baseline đã phê duyệt.</x:v>
      </x:c>
    </x:row>
    <x:row r="15" ht="36" customHeight="1">
      <x:c r="A15" s="3" t="str">
        <x:v>AUTH-002</x:v>
      </x:c>
      <x:c r="B15" s="3" t="str">
        <x:v>AUTH</x:v>
      </x:c>
      <x:c r="C15" s="3" t="str">
        <x:v>Hệ thống phải buộc đổi mật khẩu khi mustChangePassword=true và vô hiệu hóa phiên phù hợp sau thay đổi.</x:v>
      </x:c>
      <x:c r="D15" s="3" t="str">
        <x:v>TC_AUTH_014</x:v>
      </x:c>
      <x:c r="E15" s="3" t="str">
        <x:v>Bắt buộc đổi mật khẩu</x:v>
      </x:c>
      <x:c r="F15" s="3" t="str">
        <x:v>Designed — chưa thực thi</x:v>
      </x:c>
      <x:c r="G15" s="3" t="str">
        <x:v>Nguồn: admin/src/lib/auth/schemas.ts.  Baseline: docs/ba/02-requirements/VGG_REQ-WORKBOOK_v0.1_2026-09-04.xlsx / Requirements; Chính sách độ mạnh cần xác nhận</x:v>
      </x:c>
    </x:row>
    <x:row r="16" ht="36" customHeight="1">
      <x:c r="A16" s="3" t="str">
        <x:v>AUTH-002</x:v>
      </x:c>
      <x:c r="B16" s="3" t="str">
        <x:v>AUTH</x:v>
      </x:c>
      <x:c r="C16" s="3" t="str">
        <x:v>Hệ thống phải buộc đổi mật khẩu khi mustChangePassword=true và vô hiệu hóa phiên phù hợp sau thay đổi.</x:v>
      </x:c>
      <x:c r="D16" s="3" t="str">
        <x:v>TC_AUTH_015</x:v>
      </x:c>
      <x:c r="E16" s="3" t="str">
        <x:v>Đổi mật khẩu hợp lệ</x:v>
      </x:c>
      <x:c r="F16" s="3" t="str">
        <x:v>Designed — chưa thực thi</x:v>
      </x:c>
      <x:c r="G16" s="3" t="str">
        <x:v>Nguồn: admin/src/lib/auth/schemas.ts.  Baseline: docs/ba/02-requirements/VGG_REQ-WORKBOOK_v0.1_2026-09-04.xlsx / Requirements; Chính sách độ mạnh cần xác nhận</x:v>
      </x:c>
    </x:row>
    <x:row r="17" ht="36" customHeight="1">
      <x:c r="A17" s="3" t="str">
        <x:v>AUTH-002</x:v>
      </x:c>
      <x:c r="B17" s="3" t="str">
        <x:v>AUTH</x:v>
      </x:c>
      <x:c r="C17" s="3" t="str">
        <x:v>Hệ thống phải buộc đổi mật khẩu khi mustChangePassword=true và vô hiệu hóa phiên phù hợp sau thay đổi.</x:v>
      </x:c>
      <x:c r="D17" s="3" t="str">
        <x:v>TC_AUTH_016</x:v>
      </x:c>
      <x:c r="E17" s="3" t="str">
        <x:v>Mật khẩu hiện tại sai</x:v>
      </x:c>
      <x:c r="F17" s="3" t="str">
        <x:v>Designed — chưa thực thi</x:v>
      </x:c>
      <x:c r="G17" s="3" t="str">
        <x:v>Nguồn: admin/src/lib/auth/schemas.ts.  Baseline: docs/ba/02-requirements/VGG_REQ-WORKBOOK_v0.1_2026-09-04.xlsx / Requirements; Chính sách độ mạnh cần xác nhận</x:v>
      </x:c>
    </x:row>
    <x:row r="18" ht="36" customHeight="1">
      <x:c r="A18" s="3" t="str">
        <x:v>AUTH-002</x:v>
      </x:c>
      <x:c r="B18" s="3" t="str">
        <x:v>AUTH</x:v>
      </x:c>
      <x:c r="C18" s="3" t="str">
        <x:v>Hệ thống phải buộc đổi mật khẩu khi mustChangePassword=true và vô hiệu hóa phiên phù hợp sau thay đổi.</x:v>
      </x:c>
      <x:c r="D18" s="3" t="str">
        <x:v>TC_AUTH_017</x:v>
      </x:c>
      <x:c r="E18" s="3" t="str">
        <x:v>Mật khẩu mới trùng cũ</x:v>
      </x:c>
      <x:c r="F18" s="3" t="str">
        <x:v>Designed — chưa thực thi</x:v>
      </x:c>
      <x:c r="G18" s="3" t="str">
        <x:v>Nguồn: admin/src/lib/auth/schemas.ts.  Baseline: docs/ba/02-requirements/VGG_REQ-WORKBOOK_v0.1_2026-09-04.xlsx / Requirements; Chính sách độ mạnh cần xác nhận</x:v>
      </x:c>
    </x:row>
    <x:row r="19" ht="36" customHeight="1">
      <x:c r="A19" s="3" t="str">
        <x:v>AUTH-002</x:v>
      </x:c>
      <x:c r="B19" s="3" t="str">
        <x:v>AUTH</x:v>
      </x:c>
      <x:c r="C19" s="3" t="str">
        <x:v>Hệ thống phải buộc đổi mật khẩu khi mustChangePassword=true và vô hiệu hóa phiên phù hợp sau thay đổi.</x:v>
      </x:c>
      <x:c r="D19" s="3" t="str">
        <x:v>TC_AUTH_018</x:v>
      </x:c>
      <x:c r="E19" s="3" t="str">
        <x:v>Xác nhận không khớp</x:v>
      </x:c>
      <x:c r="F19" s="3" t="str">
        <x:v>Designed — chưa thực thi</x:v>
      </x:c>
      <x:c r="G19" s="3" t="str">
        <x:v>Nguồn: admin/src/lib/auth/schemas.ts.  Baseline: docs/ba/02-requirements/VGG_REQ-WORKBOOK_v0.1_2026-09-04.xlsx / Requirements; Chính sách độ mạnh cần xác nhận</x:v>
      </x:c>
    </x:row>
    <x:row r="20" ht="36" customHeight="1">
      <x:c r="A20" s="3" t="str">
        <x:v>AUTH-002</x:v>
      </x:c>
      <x:c r="B20" s="3" t="str">
        <x:v>AUTH</x:v>
      </x:c>
      <x:c r="C20" s="3" t="str">
        <x:v>Hệ thống phải buộc đổi mật khẩu khi mustChangePassword=true và vô hiệu hóa phiên phù hợp sau thay đổi.</x:v>
      </x:c>
      <x:c r="D20" s="3" t="str">
        <x:v>TC_AUTH_019</x:v>
      </x:c>
      <x:c r="E20" s="3" t="str">
        <x:v>Thu hồi các phiên khác</x:v>
      </x:c>
      <x:c r="F20" s="3" t="str">
        <x:v>Designed — chưa thực thi</x:v>
      </x:c>
      <x:c r="G20" s="3" t="str">
        <x:v>Nguồn: admin/src/lib/auth/schemas.ts.  Baseline: docs/ba/02-requirements/VGG_REQ-WORKBOOK_v0.1_2026-09-04.xlsx / Requirements; Chính sách độ mạnh cần xác nhận</x:v>
      </x:c>
    </x:row>
    <x:row r="21" ht="36" customHeight="1">
      <x:c r="A21" s="3" t="str">
        <x:v>OBS-RESET</x:v>
      </x:c>
      <x:c r="B21" s="3" t="str">
        <x:v>AUTH</x:v>
      </x:c>
      <x:c r="C21" s="3" t="str">
        <x:v>Xác thực và vòng đời phiên</x:v>
      </x:c>
      <x:c r="D21" s="3" t="str">
        <x:v>TC_AUTH_020</x:v>
      </x:c>
      <x:c r="E21" s="3" t="str">
        <x:v>Quên mật khẩu email tồn tại</x:v>
      </x:c>
      <x:c r="F21" s="3" t="str">
        <x:v>Designed — chưa thực thi</x:v>
      </x:c>
      <x:c r="G21" s="3" t="str">
        <x:v>Nguồn: admin/src/app/api/admin/auth.  Baseline: admin/src/app/api/admin/auth; Yêu cầu suy ra từ code, chưa phải baseline đã phê duyệt.</x:v>
      </x:c>
    </x:row>
    <x:row r="22" ht="36" customHeight="1">
      <x:c r="A22" s="3" t="str">
        <x:v>OBS-RESET</x:v>
      </x:c>
      <x:c r="B22" s="3" t="str">
        <x:v>AUTH</x:v>
      </x:c>
      <x:c r="C22" s="3" t="str">
        <x:v>Xác thực và vòng đời phiên</x:v>
      </x:c>
      <x:c r="D22" s="3" t="str">
        <x:v>TC_AUTH_021</x:v>
      </x:c>
      <x:c r="E22" s="3" t="str">
        <x:v>Email không tồn tại không lộ tài khoản</x:v>
      </x:c>
      <x:c r="F22" s="3" t="str">
        <x:v>Designed — chưa thực thi</x:v>
      </x:c>
      <x:c r="G22" s="3" t="str">
        <x:v>Nguồn: admin/src/app/api/admin/auth.  Baseline: admin/src/app/api/admin/auth; Yêu cầu suy ra từ code, chưa phải baseline đã phê duyệt.</x:v>
      </x:c>
    </x:row>
    <x:row r="23" ht="36" customHeight="1">
      <x:c r="A23" s="3" t="str">
        <x:v>OBS-RESET</x:v>
      </x:c>
      <x:c r="B23" s="3" t="str">
        <x:v>AUTH</x:v>
      </x:c>
      <x:c r="C23" s="3" t="str">
        <x:v>Xác thực và vòng đời phiên</x:v>
      </x:c>
      <x:c r="D23" s="3" t="str">
        <x:v>TC_AUTH_022</x:v>
      </x:c>
      <x:c r="E23" s="3" t="str">
        <x:v>Token mới vô hiệu token cũ</x:v>
      </x:c>
      <x:c r="F23" s="3" t="str">
        <x:v>Designed — chưa thực thi</x:v>
      </x:c>
      <x:c r="G23" s="3" t="str">
        <x:v>Nguồn: admin/src/app/api/admin/auth.  Baseline: admin/src/app/api/admin/auth; Yêu cầu suy ra từ code, chưa phải baseline đã phê duyệt.</x:v>
      </x:c>
    </x:row>
    <x:row r="24" ht="36" customHeight="1">
      <x:c r="A24" s="3" t="str">
        <x:v>OBS-RESET</x:v>
      </x:c>
      <x:c r="B24" s="3" t="str">
        <x:v>AUTH</x:v>
      </x:c>
      <x:c r="C24" s="3" t="str">
        <x:v>Xác thực và vòng đời phiên</x:v>
      </x:c>
      <x:c r="D24" s="3" t="str">
        <x:v>TC_AUTH_023</x:v>
      </x:c>
      <x:c r="E24" s="3" t="str">
        <x:v>Reset thành công</x:v>
      </x:c>
      <x:c r="F24" s="3" t="str">
        <x:v>Designed — chưa thực thi</x:v>
      </x:c>
      <x:c r="G24" s="3" t="str">
        <x:v>Nguồn: admin/src/app/api/admin/auth.  Baseline: admin/src/app/api/admin/auth; Yêu cầu suy ra từ code, chưa phải baseline đã phê duyệt.</x:v>
      </x:c>
    </x:row>
    <x:row r="25" ht="36" customHeight="1">
      <x:c r="A25" s="3" t="str">
        <x:v>OBS-RESET</x:v>
      </x:c>
      <x:c r="B25" s="3" t="str">
        <x:v>AUTH</x:v>
      </x:c>
      <x:c r="C25" s="3" t="str">
        <x:v>Xác thực và vòng đời phiên</x:v>
      </x:c>
      <x:c r="D25" s="3" t="str">
        <x:v>TC_AUTH_024</x:v>
      </x:c>
      <x:c r="E25" s="3" t="str">
        <x:v>Token dùng lại</x:v>
      </x:c>
      <x:c r="F25" s="3" t="str">
        <x:v>Designed — chưa thực thi</x:v>
      </x:c>
      <x:c r="G25" s="3" t="str">
        <x:v>Nguồn: admin/src/app/api/admin/auth.  Baseline: admin/src/app/api/admin/auth; Yêu cầu suy ra từ code, chưa phải baseline đã phê duyệt.</x:v>
      </x:c>
    </x:row>
    <x:row r="26" ht="36" customHeight="1">
      <x:c r="A26" s="3" t="str">
        <x:v>OBS-RESET</x:v>
      </x:c>
      <x:c r="B26" s="3" t="str">
        <x:v>AUTH</x:v>
      </x:c>
      <x:c r="C26" s="3" t="str">
        <x:v>Xác thực và vòng đời phiên</x:v>
      </x:c>
      <x:c r="D26" s="3" t="str">
        <x:v>TC_AUTH_025</x:v>
      </x:c>
      <x:c r="E26" s="3" t="str">
        <x:v>Token sai</x:v>
      </x:c>
      <x:c r="F26" s="3" t="str">
        <x:v>Designed — chưa thực thi</x:v>
      </x:c>
      <x:c r="G26" s="3" t="str">
        <x:v>Nguồn: admin/src/app/api/admin/auth.  Baseline: admin/src/app/api/admin/auth; Yêu cầu suy ra từ code, chưa phải baseline đã phê duyệt.</x:v>
      </x:c>
    </x:row>
    <x:row r="27" ht="36" customHeight="1">
      <x:c r="A27" s="3" t="str">
        <x:v>OBS-RESET</x:v>
      </x:c>
      <x:c r="B27" s="3" t="str">
        <x:v>AUTH</x:v>
      </x:c>
      <x:c r="C27" s="3" t="str">
        <x:v>Xác thực và vòng đời phiên</x:v>
      </x:c>
      <x:c r="D27" s="3" t="str">
        <x:v>TC_AUTH_026</x:v>
      </x:c>
      <x:c r="E27" s="3" t="str">
        <x:v>Tài khoản bị khóa sau phát token</x:v>
      </x:c>
      <x:c r="F27" s="3" t="str">
        <x:v>Designed — chưa thực thi</x:v>
      </x:c>
      <x:c r="G27" s="3" t="str">
        <x:v>Nguồn: admin/src/app/api/admin/auth.  Baseline: admin/src/app/api/admin/auth; Yêu cầu suy ra từ code, chưa phải baseline đã phê duyệt.</x:v>
      </x:c>
    </x:row>
    <x:row r="28" ht="36" customHeight="1">
      <x:c r="A28" s="3" t="str">
        <x:v>AUTH-002</x:v>
      </x:c>
      <x:c r="B28" s="3" t="str">
        <x:v>AUTH</x:v>
      </x:c>
      <x:c r="C28" s="3" t="str">
        <x:v>Hệ thống phải buộc đổi mật khẩu khi mustChangePassword=true và vô hiệu hóa phiên phù hợp sau thay đổi.</x:v>
      </x:c>
      <x:c r="D28" s="3" t="str">
        <x:v>TC_AUTH_027</x:v>
      </x:c>
      <x:c r="E28" s="3" t="str">
        <x:v>Mật khẩu thiếu chữ hoa</x:v>
      </x:c>
      <x:c r="F28" s="3" t="str">
        <x:v>Designed — chưa thực thi</x:v>
      </x:c>
      <x:c r="G28" s="3" t="str">
        <x:v>Nguồn: admin/src/lib/auth/password.ts.  Baseline: docs/ba/02-requirements/VGG_REQ-WORKBOOK_v0.1_2026-09-04.xlsx / Requirements; Chính sách độ mạnh cần xác nhận</x:v>
      </x:c>
    </x:row>
    <x:row r="29" ht="36" customHeight="1">
      <x:c r="A29" s="3" t="str">
        <x:v>AUTH-002</x:v>
      </x:c>
      <x:c r="B29" s="3" t="str">
        <x:v>AUTH</x:v>
      </x:c>
      <x:c r="C29" s="3" t="str">
        <x:v>Hệ thống phải buộc đổi mật khẩu khi mustChangePassword=true và vô hiệu hóa phiên phù hợp sau thay đổi.</x:v>
      </x:c>
      <x:c r="D29" s="3" t="str">
        <x:v>TC_AUTH_028</x:v>
      </x:c>
      <x:c r="E29" s="3" t="str">
        <x:v>Mật khẩu thiếu chữ thường</x:v>
      </x:c>
      <x:c r="F29" s="3" t="str">
        <x:v>Designed — chưa thực thi</x:v>
      </x:c>
      <x:c r="G29" s="3" t="str">
        <x:v>Nguồn: admin/src/lib/auth/password.ts.  Baseline: docs/ba/02-requirements/VGG_REQ-WORKBOOK_v0.1_2026-09-04.xlsx / Requirements; Chính sách độ mạnh cần xác nhận</x:v>
      </x:c>
    </x:row>
    <x:row r="30" ht="36" customHeight="1">
      <x:c r="A30" s="3" t="str">
        <x:v>AUTH-002</x:v>
      </x:c>
      <x:c r="B30" s="3" t="str">
        <x:v>AUTH</x:v>
      </x:c>
      <x:c r="C30" s="3" t="str">
        <x:v>Hệ thống phải buộc đổi mật khẩu khi mustChangePassword=true và vô hiệu hóa phiên phù hợp sau thay đổi.</x:v>
      </x:c>
      <x:c r="D30" s="3" t="str">
        <x:v>TC_AUTH_029</x:v>
      </x:c>
      <x:c r="E30" s="3" t="str">
        <x:v>Mật khẩu thiếu chữ số</x:v>
      </x:c>
      <x:c r="F30" s="3" t="str">
        <x:v>Designed — chưa thực thi</x:v>
      </x:c>
      <x:c r="G30" s="3" t="str">
        <x:v>Nguồn: admin/src/lib/auth/password.ts.  Baseline: docs/ba/02-requirements/VGG_REQ-WORKBOOK_v0.1_2026-09-04.xlsx / Requirements; Chính sách độ mạnh cần xác nhận</x:v>
      </x:c>
    </x:row>
    <x:row r="31" ht="36" customHeight="1">
      <x:c r="A31" s="3" t="str">
        <x:v>AUTH-002</x:v>
      </x:c>
      <x:c r="B31" s="3" t="str">
        <x:v>AUTH</x:v>
      </x:c>
      <x:c r="C31" s="3" t="str">
        <x:v>Hệ thống phải buộc đổi mật khẩu khi mustChangePassword=true và vô hiệu hóa phiên phù hợp sau thay đổi.</x:v>
      </x:c>
      <x:c r="D31" s="3" t="str">
        <x:v>TC_AUTH_030</x:v>
      </x:c>
      <x:c r="E31" s="3" t="str">
        <x:v>Mật khẩu thiếu ký tự đặc biệt</x:v>
      </x:c>
      <x:c r="F31" s="3" t="str">
        <x:v>Designed — chưa thực thi</x:v>
      </x:c>
      <x:c r="G31" s="3" t="str">
        <x:v>Nguồn: admin/src/lib/auth/password.ts.  Baseline: docs/ba/02-requirements/VGG_REQ-WORKBOOK_v0.1_2026-09-04.xlsx / Requirements; Chính sách độ mạnh cần xác nhận</x:v>
      </x:c>
    </x:row>
    <x:row r="32" ht="36" customHeight="1">
      <x:c r="A32" s="3" t="str">
        <x:v>USR-001</x:v>
      </x:c>
      <x:c r="B32" s="3" t="str">
        <x:v>USER</x:v>
      </x:c>
      <x:c r="C32" s="3" t="str">
        <x:v>Chỉ SUPER_ADMIN hoặc quyền admins.* tương ứng được thao tác tài khoản.</x:v>
      </x:c>
      <x:c r="D32" s="3" t="str">
        <x:v>TC_USER_001</x:v>
      </x:c>
      <x:c r="E32" s="3" t="str">
        <x:v>Tạo QTV cấp 2</x:v>
      </x:c>
      <x:c r="F32" s="3" t="str">
        <x:v>Designed — chưa thực thi</x:v>
      </x:c>
      <x:c r="G32" s="3" t="str">
        <x:v>Nguồn: admin/src/app/api/admin/users.  Baseline: docs/ba/02-requirements/VGG_REQ-WORKBOOK_v0.1_2026-09-04.xlsx / Requirements; </x:v>
      </x:c>
    </x:row>
    <x:row r="33" ht="36" customHeight="1">
      <x:c r="A33" s="3" t="str">
        <x:v>USR-001</x:v>
      </x:c>
      <x:c r="B33" s="3" t="str">
        <x:v>USER</x:v>
      </x:c>
      <x:c r="C33" s="3" t="str">
        <x:v>Chỉ SUPER_ADMIN hoặc quyền admins.* tương ứng được thao tác tài khoản.</x:v>
      </x:c>
      <x:c r="D33" s="3" t="str">
        <x:v>TC_USER_002</x:v>
      </x:c>
      <x:c r="E33" s="3" t="str">
        <x:v>Tạo Super Admin</x:v>
      </x:c>
      <x:c r="F33" s="3" t="str">
        <x:v>Designed — chưa thực thi</x:v>
      </x:c>
      <x:c r="G33" s="3" t="str">
        <x:v>Nguồn: admin/src/app/api/admin/users.  Baseline: docs/ba/02-requirements/VGG_REQ-WORKBOOK_v0.1_2026-09-04.xlsx / Requirements; </x:v>
      </x:c>
    </x:row>
    <x:row r="34" ht="36" customHeight="1">
      <x:c r="A34" s="3" t="str">
        <x:v>USR-001</x:v>
      </x:c>
      <x:c r="B34" s="3" t="str">
        <x:v>USER</x:v>
      </x:c>
      <x:c r="C34" s="3" t="str">
        <x:v>Chỉ SUPER_ADMIN hoặc quyền admins.* tương ứng được thao tác tài khoản.</x:v>
      </x:c>
      <x:c r="D34" s="3" t="str">
        <x:v>TC_USER_003</x:v>
      </x:c>
      <x:c r="E34" s="3" t="str">
        <x:v>Username trùng</x:v>
      </x:c>
      <x:c r="F34" s="3" t="str">
        <x:v>Designed — chưa thực thi</x:v>
      </x:c>
      <x:c r="G34" s="3" t="str">
        <x:v>Nguồn: admin/src/app/api/admin/users.  Baseline: docs/ba/02-requirements/VGG_REQ-WORKBOOK_v0.1_2026-09-04.xlsx / Requirements; </x:v>
      </x:c>
    </x:row>
    <x:row r="35" ht="36" customHeight="1">
      <x:c r="A35" s="3" t="str">
        <x:v>USR-001</x:v>
      </x:c>
      <x:c r="B35" s="3" t="str">
        <x:v>USER</x:v>
      </x:c>
      <x:c r="C35" s="3" t="str">
        <x:v>Chỉ SUPER_ADMIN hoặc quyền admins.* tương ứng được thao tác tài khoản.</x:v>
      </x:c>
      <x:c r="D35" s="3" t="str">
        <x:v>TC_USER_004</x:v>
      </x:c>
      <x:c r="E35" s="3" t="str">
        <x:v>Sửa thông tin tài khoản</x:v>
      </x:c>
      <x:c r="F35" s="3" t="str">
        <x:v>Designed — chưa thực thi</x:v>
      </x:c>
      <x:c r="G35" s="3" t="str">
        <x:v>Nguồn: admin/src/app/api/admin/users.  Baseline: docs/ba/02-requirements/VGG_REQ-WORKBOOK_v0.1_2026-09-04.xlsx / Requirements; </x:v>
      </x:c>
    </x:row>
    <x:row r="36" ht="36" customHeight="1">
      <x:c r="A36" s="3" t="str">
        <x:v>USR-001</x:v>
      </x:c>
      <x:c r="B36" s="3" t="str">
        <x:v>USER</x:v>
      </x:c>
      <x:c r="C36" s="3" t="str">
        <x:v>Chỉ SUPER_ADMIN hoặc quyền admins.* tương ứng được thao tác tài khoản.</x:v>
      </x:c>
      <x:c r="D36" s="3" t="str">
        <x:v>TC_USER_005</x:v>
      </x:c>
      <x:c r="E36" s="3" t="str">
        <x:v>Đổi username trùng</x:v>
      </x:c>
      <x:c r="F36" s="3" t="str">
        <x:v>Designed — chưa thực thi</x:v>
      </x:c>
      <x:c r="G36" s="3" t="str">
        <x:v>Nguồn: admin/src/app/api/admin/users.  Baseline: docs/ba/02-requirements/VGG_REQ-WORKBOOK_v0.1_2026-09-04.xlsx / Requirements; </x:v>
      </x:c>
    </x:row>
    <x:row r="37" ht="36" customHeight="1">
      <x:c r="A37" s="3" t="str">
        <x:v>USR-001</x:v>
      </x:c>
      <x:c r="B37" s="3" t="str">
        <x:v>USER</x:v>
      </x:c>
      <x:c r="C37" s="3" t="str">
        <x:v>Chỉ SUPER_ADMIN hoặc quyền admins.* tương ứng được thao tác tài khoản.</x:v>
      </x:c>
      <x:c r="D37" s="3" t="str">
        <x:v>TC_USER_006</x:v>
      </x:c>
      <x:c r="E37" s="3" t="str">
        <x:v>Đổi email trùng</x:v>
      </x:c>
      <x:c r="F37" s="3" t="str">
        <x:v>Designed — chưa thực thi</x:v>
      </x:c>
      <x:c r="G37" s="3" t="str">
        <x:v>Nguồn: admin/src/app/api/admin/users.  Baseline: docs/ba/02-requirements/VGG_REQ-WORKBOOK_v0.1_2026-09-04.xlsx / Requirements; </x:v>
      </x:c>
    </x:row>
    <x:row r="38" ht="36" customHeight="1">
      <x:c r="A38" s="3" t="str">
        <x:v>USR-001</x:v>
      </x:c>
      <x:c r="B38" s="3" t="str">
        <x:v>USER</x:v>
      </x:c>
      <x:c r="C38" s="3" t="str">
        <x:v>Chỉ SUPER_ADMIN hoặc quyền admins.* tương ứng được thao tác tài khoản.</x:v>
      </x:c>
      <x:c r="D38" s="3" t="str">
        <x:v>TC_USER_007</x:v>
      </x:c>
      <x:c r="E38" s="3" t="str">
        <x:v>Vô hiệu hóa tài khoản</x:v>
      </x:c>
      <x:c r="F38" s="3" t="str">
        <x:v>Designed — chưa thực thi</x:v>
      </x:c>
      <x:c r="G38" s="3" t="str">
        <x:v>Nguồn: admin/src/app/api/admin/users.  Baseline: docs/ba/02-requirements/VGG_REQ-WORKBOOK_v0.1_2026-09-04.xlsx / Requirements; </x:v>
      </x:c>
    </x:row>
    <x:row r="39" ht="36" customHeight="1">
      <x:c r="A39" s="3" t="str">
        <x:v>USR-001</x:v>
      </x:c>
      <x:c r="B39" s="3" t="str">
        <x:v>USER</x:v>
      </x:c>
      <x:c r="C39" s="3" t="str">
        <x:v>Chỉ SUPER_ADMIN hoặc quyền admins.* tương ứng được thao tác tài khoản.</x:v>
      </x:c>
      <x:c r="D39" s="3" t="str">
        <x:v>TC_USER_008</x:v>
      </x:c>
      <x:c r="E39" s="3" t="str">
        <x:v>Kích hoạt lại</x:v>
      </x:c>
      <x:c r="F39" s="3" t="str">
        <x:v>Designed — chưa thực thi</x:v>
      </x:c>
      <x:c r="G39" s="3" t="str">
        <x:v>Nguồn: admin/src/app/api/admin/users.  Baseline: docs/ba/02-requirements/VGG_REQ-WORKBOOK_v0.1_2026-09-04.xlsx / Requirements; </x:v>
      </x:c>
    </x:row>
    <x:row r="40" ht="36" customHeight="1">
      <x:c r="A40" s="3" t="str">
        <x:v>USR-001</x:v>
      </x:c>
      <x:c r="B40" s="3" t="str">
        <x:v>USER</x:v>
      </x:c>
      <x:c r="C40" s="3" t="str">
        <x:v>Chỉ SUPER_ADMIN hoặc quyền admins.* tương ứng được thao tác tài khoản.</x:v>
      </x:c>
      <x:c r="D40" s="3" t="str">
        <x:v>TC_USER_009</x:v>
      </x:c>
      <x:c r="E40" s="3" t="str">
        <x:v>Đổi vai trò</x:v>
      </x:c>
      <x:c r="F40" s="3" t="str">
        <x:v>Designed — chưa thực thi</x:v>
      </x:c>
      <x:c r="G40" s="3" t="str">
        <x:v>Nguồn: admin/src/app/api/admin/users.  Baseline: docs/ba/02-requirements/VGG_REQ-WORKBOOK_v0.1_2026-09-04.xlsx / Requirements; </x:v>
      </x:c>
    </x:row>
    <x:row r="41" ht="36" customHeight="1">
      <x:c r="A41" s="3" t="str">
        <x:v>USR-001</x:v>
      </x:c>
      <x:c r="B41" s="3" t="str">
        <x:v>USER</x:v>
      </x:c>
      <x:c r="C41" s="3" t="str">
        <x:v>Chỉ SUPER_ADMIN hoặc quyền admins.* tương ứng được thao tác tài khoản.</x:v>
      </x:c>
      <x:c r="D41" s="3" t="str">
        <x:v>TC_USER_010</x:v>
      </x:c>
      <x:c r="E41" s="3" t="str">
        <x:v>Không vô hiệu Super Admin cuối</x:v>
      </x:c>
      <x:c r="F41" s="3" t="str">
        <x:v>Designed — chưa thực thi</x:v>
      </x:c>
      <x:c r="G41" s="3" t="str">
        <x:v>Nguồn: admin/src/app/api/admin/users.  Baseline: docs/ba/02-requirements/VGG_REQ-WORKBOOK_v0.1_2026-09-04.xlsx / Requirements; </x:v>
      </x:c>
    </x:row>
    <x:row r="42" ht="36" customHeight="1">
      <x:c r="A42" s="3" t="str">
        <x:v>USR-001</x:v>
      </x:c>
      <x:c r="B42" s="3" t="str">
        <x:v>USER</x:v>
      </x:c>
      <x:c r="C42" s="3" t="str">
        <x:v>Chỉ SUPER_ADMIN hoặc quyền admins.* tương ứng được thao tác tài khoản.</x:v>
      </x:c>
      <x:c r="D42" s="3" t="str">
        <x:v>TC_USER_011</x:v>
      </x:c>
      <x:c r="E42" s="3" t="str">
        <x:v>Không hạ quyền Super Admin cuối</x:v>
      </x:c>
      <x:c r="F42" s="3" t="str">
        <x:v>Designed — chưa thực thi</x:v>
      </x:c>
      <x:c r="G42" s="3" t="str">
        <x:v>Nguồn: admin/src/app/api/admin/users.  Baseline: docs/ba/02-requirements/VGG_REQ-WORKBOOK_v0.1_2026-09-04.xlsx / Requirements; </x:v>
      </x:c>
    </x:row>
    <x:row r="43" ht="36" customHeight="1">
      <x:c r="A43" s="3" t="str">
        <x:v>USR-001</x:v>
      </x:c>
      <x:c r="B43" s="3" t="str">
        <x:v>USER</x:v>
      </x:c>
      <x:c r="C43" s="3" t="str">
        <x:v>Chỉ SUPER_ADMIN hoặc quyền admins.* tương ứng được thao tác tài khoản.</x:v>
      </x:c>
      <x:c r="D43" s="3" t="str">
        <x:v>TC_USER_012</x:v>
      </x:c>
      <x:c r="E43" s="3" t="str">
        <x:v>Reset mật khẩu cấp dưới</x:v>
      </x:c>
      <x:c r="F43" s="3" t="str">
        <x:v>Designed — chưa thực thi</x:v>
      </x:c>
      <x:c r="G43" s="3" t="str">
        <x:v>Nguồn: admin/src/app/api/admin/users.  Baseline: docs/ba/02-requirements/VGG_REQ-WORKBOOK_v0.1_2026-09-04.xlsx / Requirements; </x:v>
      </x:c>
    </x:row>
    <x:row r="44" ht="36" customHeight="1">
      <x:c r="A44" s="3" t="str">
        <x:v>USR-001</x:v>
      </x:c>
      <x:c r="B44" s="3" t="str">
        <x:v>USER</x:v>
      </x:c>
      <x:c r="C44" s="3" t="str">
        <x:v>Chỉ SUPER_ADMIN hoặc quyền admins.* tương ứng được thao tác tài khoản.</x:v>
      </x:c>
      <x:c r="D44" s="3" t="str">
        <x:v>TC_USER_013</x:v>
      </x:c>
      <x:c r="E44" s="3" t="str">
        <x:v>Hủy reset mật khẩu</x:v>
      </x:c>
      <x:c r="F44" s="3" t="str">
        <x:v>Designed — chưa thực thi</x:v>
      </x:c>
      <x:c r="G44" s="3" t="str">
        <x:v>Nguồn: admin/src/app/api/admin/users.  Baseline: docs/ba/02-requirements/VGG_REQ-WORKBOOK_v0.1_2026-09-04.xlsx / Requirements; </x:v>
      </x:c>
    </x:row>
    <x:row r="45" ht="36" customHeight="1">
      <x:c r="A45" s="3" t="str">
        <x:v>USR-001</x:v>
      </x:c>
      <x:c r="B45" s="3" t="str">
        <x:v>USER</x:v>
      </x:c>
      <x:c r="C45" s="3" t="str">
        <x:v>Chỉ SUPER_ADMIN hoặc quyền admins.* tương ứng được thao tác tài khoản.</x:v>
      </x:c>
      <x:c r="D45" s="3" t="str">
        <x:v>TC_USER_014</x:v>
      </x:c>
      <x:c r="E45" s="3" t="str">
        <x:v>Xóa tài khoản không tham chiếu</x:v>
      </x:c>
      <x:c r="F45" s="3" t="str">
        <x:v>Designed — chưa thực thi</x:v>
      </x:c>
      <x:c r="G45" s="3" t="str">
        <x:v>Nguồn: admin/src/app/api/admin/users.  Baseline: docs/ba/02-requirements/VGG_REQ-WORKBOOK_v0.1_2026-09-04.xlsx / Requirements; </x:v>
      </x:c>
    </x:row>
    <x:row r="46" ht="36" customHeight="1">
      <x:c r="A46" s="3" t="str">
        <x:v>USR-001</x:v>
      </x:c>
      <x:c r="B46" s="3" t="str">
        <x:v>USER</x:v>
      </x:c>
      <x:c r="C46" s="3" t="str">
        <x:v>Chỉ SUPER_ADMIN hoặc quyền admins.* tương ứng được thao tác tài khoản.</x:v>
      </x:c>
      <x:c r="D46" s="3" t="str">
        <x:v>TC_USER_015</x:v>
      </x:c>
      <x:c r="E46" s="3" t="str">
        <x:v>Từ chối tự xóa</x:v>
      </x:c>
      <x:c r="F46" s="3" t="str">
        <x:v>Designed — chưa thực thi</x:v>
      </x:c>
      <x:c r="G46" s="3" t="str">
        <x:v>Nguồn: admin/src/app/api/admin/users.  Baseline: docs/ba/02-requirements/VGG_REQ-WORKBOOK_v0.1_2026-09-04.xlsx / Requirements; </x:v>
      </x:c>
    </x:row>
    <x:row r="47" ht="36" customHeight="1">
      <x:c r="A47" s="3" t="str">
        <x:v>USR-001</x:v>
      </x:c>
      <x:c r="B47" s="3" t="str">
        <x:v>USER</x:v>
      </x:c>
      <x:c r="C47" s="3" t="str">
        <x:v>Chỉ SUPER_ADMIN hoặc quyền admins.* tương ứng được thao tác tài khoản.</x:v>
      </x:c>
      <x:c r="D47" s="3" t="str">
        <x:v>TC_USER_016</x:v>
      </x:c>
      <x:c r="E47" s="3" t="str">
        <x:v>Danh sách rỗng theo fixture</x:v>
      </x:c>
      <x:c r="F47" s="3" t="str">
        <x:v>Designed — chưa thực thi</x:v>
      </x:c>
      <x:c r="G47" s="3" t="str">
        <x:v>Nguồn: admin/src/app/api/admin/users.  Baseline: docs/ba/02-requirements/VGG_REQ-WORKBOOK_v0.1_2026-09-04.xlsx / Requirements; </x:v>
      </x:c>
    </x:row>
    <x:row r="48" ht="36" customHeight="1">
      <x:c r="A48" s="3" t="str">
        <x:v>USR-001</x:v>
      </x:c>
      <x:c r="B48" s="3" t="str">
        <x:v>USER</x:v>
      </x:c>
      <x:c r="C48" s="3" t="str">
        <x:v>Chỉ SUPER_ADMIN hoặc quyền admins.* tương ứng được thao tác tài khoản.</x:v>
      </x:c>
      <x:c r="D48" s="3" t="str">
        <x:v>TC_USER_017</x:v>
      </x:c>
      <x:c r="E48" s="3" t="str">
        <x:v>Hồ sơ cá nhân</x:v>
      </x:c>
      <x:c r="F48" s="3" t="str">
        <x:v>Designed — chưa thực thi</x:v>
      </x:c>
      <x:c r="G48" s="3" t="str">
        <x:v>Nguồn: admin/src/app/api/admin/auth/me/route.ts.  Baseline: docs/ba/02-requirements/VGG_REQ-WORKBOOK_v0.1_2026-09-04.xlsx / Requirements; </x:v>
      </x:c>
    </x:row>
    <x:row r="49" ht="36" customHeight="1">
      <x:c r="A49" s="3" t="str">
        <x:v>USR-001</x:v>
      </x:c>
      <x:c r="B49" s="3" t="str">
        <x:v>USER</x:v>
      </x:c>
      <x:c r="C49" s="3" t="str">
        <x:v>Chỉ SUPER_ADMIN hoặc quyền admins.* tương ứng được thao tác tài khoản.</x:v>
      </x:c>
      <x:c r="D49" s="3" t="str">
        <x:v>TC_USER_018</x:v>
      </x:c>
      <x:c r="E49" s="3" t="str">
        <x:v>Hủy sửa hồ sơ</x:v>
      </x:c>
      <x:c r="F49" s="3" t="str">
        <x:v>Designed — chưa thực thi</x:v>
      </x:c>
      <x:c r="G49" s="3" t="str">
        <x:v>Nguồn: admin/src/app/api/admin/auth/me/route.ts.  Baseline: docs/ba/02-requirements/VGG_REQ-WORKBOOK_v0.1_2026-09-04.xlsx / Requirements; </x:v>
      </x:c>
    </x:row>
    <x:row r="50" ht="36" customHeight="1">
      <x:c r="A50" s="3" t="str">
        <x:v>NEWS-001</x:v>
      </x:c>
      <x:c r="B50" s="3" t="str">
        <x:v>NEWS</x:v>
      </x:c>
      <x:c r="C50" s="3" t="str">
        <x:v>Người có news.create phải tạo được bài với tiêu đề, slug, locale, danh mục và nội dung hợp lệ.</x:v>
      </x:c>
      <x:c r="D50" s="3" t="str">
        <x:v>TC_NEWS_001</x:v>
      </x:c>
      <x:c r="E50" s="3" t="str">
        <x:v>Tạo bài DRAFT</x:v>
      </x:c>
      <x:c r="F50" s="3" t="str">
        <x:v>Designed — chưa thực thi</x:v>
      </x:c>
      <x:c r="G50" s="3" t="str">
        <x:v>Nguồn: backend/src/modules/cms/cms.routes.ts:63.  Baseline: docs/ba/02-requirements/VGG_REQ-WORKBOOK_v0.1_2026-09-04.xlsx / Requirements; Quy trình duyệt nội dung cần xác nhận</x:v>
      </x:c>
    </x:row>
    <x:row r="51" ht="36" customHeight="1">
      <x:c r="A51" s="3" t="str">
        <x:v>NEWS-004</x:v>
      </x:c>
      <x:c r="B51" s="3" t="str">
        <x:v>NEWS</x:v>
      </x:c>
      <x:c r="C51" s="3" t="str">
        <x:v>Người có news.update phải chuyển bài sang PUBLISHED và thiết lập thời điểm công bố hợp lệ.</x:v>
      </x:c>
      <x:c r="D51" s="3" t="str">
        <x:v>TC_NEWS_002</x:v>
      </x:c>
      <x:c r="E51" s="3" t="str">
        <x:v>Tạo bài PUBLISHED</x:v>
      </x:c>
      <x:c r="F51" s="3" t="str">
        <x:v>Designed — chưa thực thi</x:v>
      </x:c>
      <x:c r="G51" s="3" t="str">
        <x:v>Nguồn: backend/src/modules/cms/cms.routes.ts:63.  Baseline: docs/ba/02-requirements/VGG_REQ-WORKBOOK_v0.1_2026-09-04.xlsx / Requirements; Phân tách người soạn/người duyệt cần xác nhận</x:v>
      </x:c>
    </x:row>
    <x:row r="52" ht="36" customHeight="1">
      <x:c r="A52" s="3" t="str">
        <x:v>NEWS-004</x:v>
      </x:c>
      <x:c r="B52" s="3" t="str">
        <x:v>NEWS</x:v>
      </x:c>
      <x:c r="C52" s="3" t="str">
        <x:v>Người có news.update phải chuyển bài sang PUBLISHED và thiết lập thời điểm công bố hợp lệ.</x:v>
      </x:c>
      <x:c r="D52" s="3" t="str">
        <x:v>TC_NEWS_003</x:v>
      </x:c>
      <x:c r="E52" s="3" t="str">
        <x:v>Tạo bài ARCHIVED</x:v>
      </x:c>
      <x:c r="F52" s="3" t="str">
        <x:v>Designed — chưa thực thi</x:v>
      </x:c>
      <x:c r="G52" s="3" t="str">
        <x:v>Nguồn: backend/src/modules/cms/cms.routes.ts:63.  Baseline: docs/ba/02-requirements/VGG_REQ-WORKBOOK_v0.1_2026-09-04.xlsx / Requirements; Phân tách người soạn/người duyệt cần xác nhận</x:v>
      </x:c>
    </x:row>
    <x:row r="53" ht="36" customHeight="1">
      <x:c r="A53" s="3" t="str">
        <x:v>NEWS-001</x:v>
      </x:c>
      <x:c r="B53" s="3" t="str">
        <x:v>NEWS</x:v>
      </x:c>
      <x:c r="C53" s="3" t="str">
        <x:v>Người có news.create phải tạo được bài với tiêu đề, slug, locale, danh mục và nội dung hợp lệ.</x:v>
      </x:c>
      <x:c r="D53" s="3" t="str">
        <x:v>TC_NEWS_004</x:v>
      </x:c>
      <x:c r="E53" s="3" t="str">
        <x:v>Sửa bài đã lưu</x:v>
      </x:c>
      <x:c r="F53" s="3" t="str">
        <x:v>Designed — chưa thực thi</x:v>
      </x:c>
      <x:c r="G53" s="3" t="str">
        <x:v>Nguồn: admin/src/components/cms/NewsManager.tsx; backend/src/modules/cms/cms.routes.ts.  Baseline: docs/ba/02-requirements/VGG_REQ-WORKBOOK_v0.1_2026-09-04.xlsx / Requirements; Quy trình duyệt nội dung cần xác nhận</x:v>
      </x:c>
    </x:row>
    <x:row r="54" ht="36" customHeight="1">
      <x:c r="A54" s="3" t="str">
        <x:v>NEWS-001</x:v>
      </x:c>
      <x:c r="B54" s="3" t="str">
        <x:v>NEWS</x:v>
      </x:c>
      <x:c r="C54" s="3" t="str">
        <x:v>Người có news.create phải tạo được bài với tiêu đề, slug, locale, danh mục và nội dung hợp lệ.</x:v>
      </x:c>
      <x:c r="D54" s="3" t="str">
        <x:v>TC_NEWS_005</x:v>
      </x:c>
      <x:c r="E54" s="3" t="str">
        <x:v>Slug tự sinh từ tiêu đề</x:v>
      </x:c>
      <x:c r="F54" s="3" t="str">
        <x:v>Designed — chưa thực thi</x:v>
      </x:c>
      <x:c r="G54" s="3" t="str">
        <x:v>Nguồn: admin/src/components/cms/NewsManager.tsx; backend/src/modules/cms/cms.routes.ts.  Baseline: docs/ba/02-requirements/VGG_REQ-WORKBOOK_v0.1_2026-09-04.xlsx / Requirements; Quy trình duyệt nội dung cần xác nhận</x:v>
      </x:c>
    </x:row>
    <x:row r="55" ht="36" customHeight="1">
      <x:c r="A55" s="3" t="str">
        <x:v>NEWS-001</x:v>
      </x:c>
      <x:c r="B55" s="3" t="str">
        <x:v>NEWS</x:v>
      </x:c>
      <x:c r="C55" s="3" t="str">
        <x:v>Người có news.create phải tạo được bài với tiêu đề, slug, locale, danh mục và nội dung hợp lệ.</x:v>
      </x:c>
      <x:c r="D55" s="3" t="str">
        <x:v>TC_NEWS_006</x:v>
      </x:c>
      <x:c r="E55" s="3" t="str">
        <x:v>Slug trùng được thêm hậu tố</x:v>
      </x:c>
      <x:c r="F55" s="3" t="str">
        <x:v>Designed — chưa thực thi</x:v>
      </x:c>
      <x:c r="G55" s="3" t="str">
        <x:v>Nguồn: admin/src/components/cms/NewsManager.tsx; backend/src/modules/cms/cms.routes.ts.  Baseline: docs/ba/02-requirements/VGG_REQ-WORKBOOK_v0.1_2026-09-04.xlsx / Requirements; Quy trình duyệt nội dung cần xác nhận</x:v>
      </x:c>
    </x:row>
    <x:row r="56" ht="36" customHeight="1">
      <x:c r="A56" s="3" t="str">
        <x:v>NEWS-001</x:v>
      </x:c>
      <x:c r="B56" s="3" t="str">
        <x:v>NEWS</x:v>
      </x:c>
      <x:c r="C56" s="3" t="str">
        <x:v>Người có news.create phải tạo được bài với tiêu đề, slug, locale, danh mục và nội dung hợp lệ.</x:v>
      </x:c>
      <x:c r="D56" s="3" t="str">
        <x:v>TC_NEWS_007</x:v>
      </x:c>
      <x:c r="E56" s="3" t="str">
        <x:v>Lưu lại slug của chính bài</x:v>
      </x:c>
      <x:c r="F56" s="3" t="str">
        <x:v>Designed — chưa thực thi</x:v>
      </x:c>
      <x:c r="G56" s="3" t="str">
        <x:v>Nguồn: admin/src/components/cms/NewsManager.tsx; backend/src/modules/cms/cms.routes.ts.  Baseline: docs/ba/02-requirements/VGG_REQ-WORKBOOK_v0.1_2026-09-04.xlsx / Requirements; Quy trình duyệt nội dung cần xác nhận</x:v>
      </x:c>
    </x:row>
    <x:row r="57" ht="49" customHeight="1">
      <x:c r="A57" s="3" t="str">
        <x:v>NEWS-004</x:v>
      </x:c>
      <x:c r="B57" s="3" t="str">
        <x:v>NEWS</x:v>
      </x:c>
      <x:c r="C57" s="3" t="str">
        <x:v>Người có news.update phải chuyển bài sang PUBLISHED và thiết lập thời điểm công bố hợp lệ.</x:v>
      </x:c>
      <x:c r="D57" s="3" t="str">
        <x:v>TC_NEWS_008</x:v>
      </x:c>
      <x:c r="E57" s="3" t="str">
        <x:v>Xuất bản từ nháp</x:v>
      </x:c>
      <x:c r="F57" s="3" t="str">
        <x:v>Designed — chưa thực thi</x:v>
      </x:c>
      <x:c r="G57" s="3" t="str">
        <x:v>Nguồn: admin/src/components/cms/NewsManager.tsx; backend/src/modules/cms/cms.routes.ts.  Baseline: docs/ba/02-requirements/VGG_REQ-WORKBOOK_v0.1_2026-09-04.xlsx / Requirements; Phân tách người soạn/người duyệt cần xác nhận</x:v>
      </x:c>
    </x:row>
    <x:row r="58" ht="36" customHeight="1">
      <x:c r="A58" s="3" t="str">
        <x:v>NEWS-005</x:v>
      </x:c>
      <x:c r="B58" s="3" t="str">
        <x:v>NEWS</x:v>
      </x:c>
      <x:c r="C58" s="3" t="str">
        <x:v>Thao tác xóa tin phải chuyển trạng thái ARCHIVED và ghi audit.</x:v>
      </x:c>
      <x:c r="D58" s="3" t="str">
        <x:v>TC_NEWS_009</x:v>
      </x:c>
      <x:c r="E58" s="3" t="str">
        <x:v>Lưu trữ là xóa mềm</x:v>
      </x:c>
      <x:c r="F58" s="3" t="str">
        <x:v>Designed — chưa thực thi</x:v>
      </x:c>
      <x:c r="G58" s="3" t="str">
        <x:v>Nguồn: admin/src/components/cms/NewsManager.tsx; backend/src/modules/cms/cms.routes.ts.  Baseline: docs/ba/02-requirements/VGG_REQ-WORKBOOK_v0.1_2026-09-04.xlsx / Requirements; </x:v>
      </x:c>
    </x:row>
    <x:row r="59" ht="36" customHeight="1">
      <x:c r="A59" s="3" t="str">
        <x:v>NEWS-005</x:v>
      </x:c>
      <x:c r="B59" s="3" t="str">
        <x:v>NEWS</x:v>
      </x:c>
      <x:c r="C59" s="3" t="str">
        <x:v>Thao tác xóa tin phải chuyển trạng thái ARCHIVED và ghi audit.</x:v>
      </x:c>
      <x:c r="D59" s="3" t="str">
        <x:v>TC_NEWS_010</x:v>
      </x:c>
      <x:c r="E59" s="3" t="str">
        <x:v>Hủy lưu trữ</x:v>
      </x:c>
      <x:c r="F59" s="3" t="str">
        <x:v>Designed — chưa thực thi</x:v>
      </x:c>
      <x:c r="G59" s="3" t="str">
        <x:v>Nguồn: admin/src/components/cms/NewsManager.tsx; backend/src/modules/cms/cms.routes.ts.  Baseline: docs/ba/02-requirements/VGG_REQ-WORKBOOK_v0.1_2026-09-04.xlsx / Requirements; </x:v>
      </x:c>
    </x:row>
    <x:row r="60" ht="36" customHeight="1">
      <x:c r="A60" s="3" t="str">
        <x:v>NEWS-005</x:v>
      </x:c>
      <x:c r="B60" s="3" t="str">
        <x:v>NEWS</x:v>
      </x:c>
      <x:c r="C60" s="3" t="str">
        <x:v>Thao tác xóa tin phải chuyển trạng thái ARCHIVED và ghi audit.</x:v>
      </x:c>
      <x:c r="D60" s="3" t="str">
        <x:v>TC_NEWS_011</x:v>
      </x:c>
      <x:c r="E60" s="3" t="str">
        <x:v>Khôi phục bài lưu trữ bằng sửa</x:v>
      </x:c>
      <x:c r="F60" s="3" t="str">
        <x:v>Designed — chưa thực thi</x:v>
      </x:c>
      <x:c r="G60" s="3" t="str">
        <x:v>Nguồn: admin/src/components/cms/NewsManager.tsx; backend/src/modules/cms/cms.routes.ts.  Baseline: docs/ba/02-requirements/VGG_REQ-WORKBOOK_v0.1_2026-09-04.xlsx / Requirements; </x:v>
      </x:c>
    </x:row>
    <x:row r="61" ht="36" customHeight="1">
      <x:c r="A61" s="3" t="str">
        <x:v>NEWS-001</x:v>
      </x:c>
      <x:c r="B61" s="3" t="str">
        <x:v>NEWS</x:v>
      </x:c>
      <x:c r="C61" s="3" t="str">
        <x:v>Người có news.create phải tạo được bài với tiêu đề, slug, locale, danh mục và nội dung hợp lệ.</x:v>
      </x:c>
      <x:c r="D61" s="3" t="str">
        <x:v>TC_NEWS_012</x:v>
      </x:c>
      <x:c r="E61" s="3" t="str">
        <x:v>Tìm tiêu đề không phân biệt hoa thường</x:v>
      </x:c>
      <x:c r="F61" s="3" t="str">
        <x:v>Designed — chưa thực thi</x:v>
      </x:c>
      <x:c r="G61" s="3" t="str">
        <x:v>Nguồn: admin/src/components/cms/NewsManager.tsx; backend/src/modules/cms/cms.routes.ts.  Baseline: docs/ba/02-requirements/VGG_REQ-WORKBOOK_v0.1_2026-09-04.xlsx / Requirements; Quy trình duyệt nội dung cần xác nhận</x:v>
      </x:c>
    </x:row>
    <x:row r="62" ht="36" customHeight="1">
      <x:c r="A62" s="3" t="str">
        <x:v>NEWS-001</x:v>
      </x:c>
      <x:c r="B62" s="3" t="str">
        <x:v>NEWS</x:v>
      </x:c>
      <x:c r="C62" s="3" t="str">
        <x:v>Người có news.create phải tạo được bài với tiêu đề, slug, locale, danh mục và nội dung hợp lệ.</x:v>
      </x:c>
      <x:c r="D62" s="3" t="str">
        <x:v>TC_NEWS_013</x:v>
      </x:c>
      <x:c r="E62" s="3" t="str">
        <x:v>Lọc trạng thái</x:v>
      </x:c>
      <x:c r="F62" s="3" t="str">
        <x:v>Designed — chưa thực thi</x:v>
      </x:c>
      <x:c r="G62" s="3" t="str">
        <x:v>Nguồn: admin/src/components/cms/NewsManager.tsx; backend/src/modules/cms/cms.routes.ts.  Baseline: docs/ba/02-requirements/VGG_REQ-WORKBOOK_v0.1_2026-09-04.xlsx / Requirements; Quy trình duyệt nội dung cần xác nhận</x:v>
      </x:c>
    </x:row>
    <x:row r="63" ht="36" customHeight="1">
      <x:c r="A63" s="3" t="str">
        <x:v>NEWS-001</x:v>
      </x:c>
      <x:c r="B63" s="3" t="str">
        <x:v>NEWS</x:v>
      </x:c>
      <x:c r="C63" s="3" t="str">
        <x:v>Người có news.create phải tạo được bài với tiêu đề, slug, locale, danh mục và nội dung hợp lệ.</x:v>
      </x:c>
      <x:c r="D63" s="3" t="str">
        <x:v>TC_NEWS_014</x:v>
      </x:c>
      <x:c r="E63" s="3" t="str">
        <x:v>Kết hợp tìm và lọc</x:v>
      </x:c>
      <x:c r="F63" s="3" t="str">
        <x:v>Designed — chưa thực thi</x:v>
      </x:c>
      <x:c r="G63" s="3" t="str">
        <x:v>Nguồn: admin/src/components/cms/NewsManager.tsx; backend/src/modules/cms/cms.routes.ts.  Baseline: docs/ba/02-requirements/VGG_REQ-WORKBOOK_v0.1_2026-09-04.xlsx / Requirements; Quy trình duyệt nội dung cần xác nhận</x:v>
      </x:c>
    </x:row>
    <x:row r="64" ht="49" customHeight="1">
      <x:c r="A64" s="3" t="str">
        <x:v>NEWS-002</x:v>
      </x:c>
      <x:c r="B64" s="3" t="str">
        <x:v>NEWS</x:v>
      </x:c>
      <x:c r="C64" s="3" t="str">
        <x:v>Trình soạn thảo phải hỗ trợ định dạng cho phép và làm sạch HTML trước khi lưu/hiển thị.</x:v>
      </x:c>
      <x:c r="D64" s="3" t="str">
        <x:v>TC_NEWS_015</x:v>
      </x:c>
      <x:c r="E64" s="3" t="str">
        <x:v>Rich text giữ bảng và danh sách</x:v>
      </x:c>
      <x:c r="F64" s="3" t="str">
        <x:v>Designed — chưa thực thi</x:v>
      </x:c>
      <x:c r="G64" s="3" t="str">
        <x:v>Nguồn: admin/src/components/cms/NewsManager.tsx; backend/src/modules/cms/cms.routes.ts.  Baseline: docs/ba/02-requirements/VGG_REQ-WORKBOOK_v0.1_2026-09-04.xlsx / Requirements; Hành vi clipboard mới là quan sát code, chưa phải yêu cầu phê duyệt</x:v>
      </x:c>
    </x:row>
    <x:row r="65" ht="49" customHeight="1">
      <x:c r="A65" s="3" t="str">
        <x:v>NEWS-002</x:v>
      </x:c>
      <x:c r="B65" s="3" t="str">
        <x:v>NEWS</x:v>
      </x:c>
      <x:c r="C65" s="3" t="str">
        <x:v>Trình soạn thảo phải hỗ trợ định dạng cho phép và làm sạch HTML trước khi lưu/hiển thị.</x:v>
      </x:c>
      <x:c r="D65" s="3" t="str">
        <x:v>TC_NEWS_016</x:v>
      </x:c>
      <x:c r="E65" s="3" t="str">
        <x:v>Undo redo trong editor</x:v>
      </x:c>
      <x:c r="F65" s="3" t="str">
        <x:v>Designed — chưa thực thi</x:v>
      </x:c>
      <x:c r="G65" s="3" t="str">
        <x:v>Nguồn: admin/src/components/cms/NewsManager.tsx; backend/src/modules/cms/cms.routes.ts.  Baseline: docs/ba/02-requirements/VGG_REQ-WORKBOOK_v0.1_2026-09-04.xlsx / Requirements; Hành vi clipboard mới là quan sát code, chưa phải yêu cầu phê duyệt</x:v>
      </x:c>
    </x:row>
    <x:row r="66" ht="49" customHeight="1">
      <x:c r="A66" s="3" t="str">
        <x:v>NEWS-002</x:v>
      </x:c>
      <x:c r="B66" s="3" t="str">
        <x:v>NEWS</x:v>
      </x:c>
      <x:c r="C66" s="3" t="str">
        <x:v>Trình soạn thảo phải hỗ trợ định dạng cho phép và làm sạch HTML trước khi lưu/hiển thị.</x:v>
      </x:c>
      <x:c r="D66" s="3" t="str">
        <x:v>TC_NEWS_017</x:v>
      </x:c>
      <x:c r="E66" s="3" t="str">
        <x:v>Dán ảnh clipboard</x:v>
      </x:c>
      <x:c r="F66" s="3" t="str">
        <x:v>Designed — chưa thực thi</x:v>
      </x:c>
      <x:c r="G66" s="3" t="str">
        <x:v>Nguồn: admin/src/components/cms/NewsManager.tsx; backend/src/modules/cms/cms.routes.ts.  Baseline: docs/ba/02-requirements/VGG_REQ-WORKBOOK_v0.1_2026-09-04.xlsx / Requirements; Hành vi clipboard mới là quan sát code, chưa phải yêu cầu phê duyệt</x:v>
      </x:c>
    </x:row>
    <x:row r="67" ht="49" customHeight="1">
      <x:c r="A67" s="3" t="str">
        <x:v>NEWS-002</x:v>
      </x:c>
      <x:c r="B67" s="3" t="str">
        <x:v>NEWS</x:v>
      </x:c>
      <x:c r="C67" s="3" t="str">
        <x:v>Trình soạn thảo phải hỗ trợ định dạng cho phép và làm sạch HTML trước khi lưu/hiển thị.</x:v>
      </x:c>
      <x:c r="D67" s="3" t="str">
        <x:v>TC_NEWS_018</x:v>
      </x:c>
      <x:c r="E67" s="3" t="str">
        <x:v>Dán ảnh khi storage lỗi</x:v>
      </x:c>
      <x:c r="F67" s="3" t="str">
        <x:v>Designed — chưa thực thi</x:v>
      </x:c>
      <x:c r="G67" s="3" t="str">
        <x:v>Nguồn: admin/src/components/cms/NewsManager.tsx; backend/src/modules/cms/cms.routes.ts.  Baseline: docs/ba/02-requirements/VGG_REQ-WORKBOOK_v0.1_2026-09-04.xlsx / Requirements; Hành vi clipboard mới là quan sát code, chưa phải yêu cầu phê duyệt</x:v>
      </x:c>
    </x:row>
    <x:row r="68" ht="36" customHeight="1">
      <x:c r="A68" s="3" t="str">
        <x:v>NEWS-003</x:v>
      </x:c>
      <x:c r="B68" s="3" t="str">
        <x:v>NEWS</x:v>
      </x:c>
      <x:c r="C68" s="3" t="str">
        <x:v>Hệ thống phải nhận JPG/PNG/WebP/AVIF tối đa 8 MB và lưu trong kho đối tượng.</x:v>
      </x:c>
      <x:c r="D68" s="3" t="str">
        <x:v>TC_NEWS_019</x:v>
      </x:c>
      <x:c r="E68" s="3" t="str">
        <x:v>Thay ảnh bìa</x:v>
      </x:c>
      <x:c r="F68" s="3" t="str">
        <x:v>Designed — chưa thực thi</x:v>
      </x:c>
      <x:c r="G68" s="3" t="str">
        <x:v>Nguồn: admin/src/components/cms/NewsManager.tsx; backend/src/modules/cms/cms.routes.ts.  Baseline: docs/ba/02-requirements/VGG_REQ-WORKBOOK_v0.1_2026-09-04.xlsx / Requirements; </x:v>
      </x:c>
    </x:row>
    <x:row r="69" ht="49" customHeight="1">
      <x:c r="A69" s="3" t="str">
        <x:v>NEWS-002</x:v>
      </x:c>
      <x:c r="B69" s="3" t="str">
        <x:v>NEWS</x:v>
      </x:c>
      <x:c r="C69" s="3" t="str">
        <x:v>Trình soạn thảo phải hỗ trợ định dạng cho phép và làm sạch HTML trước khi lưu/hiển thị.</x:v>
      </x:c>
      <x:c r="D69" s="3" t="str">
        <x:v>TC_NEWS_020</x:v>
      </x:c>
      <x:c r="E69" s="3" t="str">
        <x:v>Import Word có hình và bảng</x:v>
      </x:c>
      <x:c r="F69" s="3" t="str">
        <x:v>Designed — chưa thực thi</x:v>
      </x:c>
      <x:c r="G69" s="3" t="str">
        <x:v>Nguồn: admin/src/components/cms/NewsManager.tsx; backend/src/modules/cms/cms.routes.ts.  Baseline: docs/ba/02-requirements/VGG_REQ-WORKBOOK_v0.1_2026-09-04.xlsx / Requirements; Hành vi clipboard mới là quan sát code, chưa phải yêu cầu phê duyệt</x:v>
      </x:c>
    </x:row>
    <x:row r="70" ht="49" customHeight="1">
      <x:c r="A70" s="3" t="str">
        <x:v>NEWS-002</x:v>
      </x:c>
      <x:c r="B70" s="3" t="str">
        <x:v>NEWS</x:v>
      </x:c>
      <x:c r="C70" s="3" t="str">
        <x:v>Trình soạn thảo phải hỗ trợ định dạng cho phép và làm sạch HTML trước khi lưu/hiển thị.</x:v>
      </x:c>
      <x:c r="D70" s="3" t="str">
        <x:v>TC_NEWS_021</x:v>
      </x:c>
      <x:c r="E70" s="3" t="str">
        <x:v>Word không có chữ</x:v>
      </x:c>
      <x:c r="F70" s="3" t="str">
        <x:v>Designed — chưa thực thi</x:v>
      </x:c>
      <x:c r="G70" s="3" t="str">
        <x:v>Nguồn: admin/src/components/cms/NewsManager.tsx; backend/src/modules/cms/cms.routes.ts.  Baseline: docs/ba/02-requirements/VGG_REQ-WORKBOOK_v0.1_2026-09-04.xlsx / Requirements; Hành vi clipboard mới là quan sát code, chưa phải yêu cầu phê duyệt</x:v>
      </x:c>
    </x:row>
    <x:row r="71" ht="36" customHeight="1">
      <x:c r="A71" s="3" t="str">
        <x:v>NEWS-001</x:v>
      </x:c>
      <x:c r="B71" s="3" t="str">
        <x:v>NEWS</x:v>
      </x:c>
      <x:c r="C71" s="3" t="str">
        <x:v>Người có news.create phải tạo được bài với tiêu đề, slug, locale, danh mục và nội dung hợp lệ.</x:v>
      </x:c>
      <x:c r="D71" s="3" t="str">
        <x:v>TC_NEWS_022</x:v>
      </x:c>
      <x:c r="E71" s="3" t="str">
        <x:v>Lỗi lưu giữ nội dung nhập</x:v>
      </x:c>
      <x:c r="F71" s="3" t="str">
        <x:v>Designed — chưa thực thi</x:v>
      </x:c>
      <x:c r="G71" s="3" t="str">
        <x:v>Nguồn: admin/src/components/cms/NewsManager.tsx; backend/src/modules/cms/cms.routes.ts.  Baseline: docs/ba/02-requirements/VGG_REQ-WORKBOOK_v0.1_2026-09-04.xlsx / Requirements; Quy trình duyệt nội dung cần xác nhận</x:v>
      </x:c>
    </x:row>
    <x:row r="72" ht="36" customHeight="1">
      <x:c r="A72" s="3" t="str">
        <x:v>PUB-003</x:v>
      </x:c>
      <x:c r="B72" s="3" t="str">
        <x:v>NEWS</x:v>
      </x:c>
      <x:c r="C72" s="3" t="str">
        <x:v>API công khai chỉ được trả tin trạng thái PUBLISHED và đúng điều kiện thời gian công bố.</x:v>
      </x:c>
      <x:c r="D72" s="3" t="str">
        <x:v>TC_NEWS_023</x:v>
      </x:c>
      <x:c r="E72" s="3" t="str">
        <x:v>Chia sẻ bài</x:v>
      </x:c>
      <x:c r="F72" s="3" t="str">
        <x:v>Designed — chưa thực thi</x:v>
      </x:c>
      <x:c r="G72" s="3" t="str">
        <x:v>Nguồn: admin/src/components/cms/NewsManager.tsx; backend/src/modules/cms/cms.routes.ts.  Baseline: docs/ba/02-requirements/VGG_REQ-WORKBOOK_v0.1_2026-09-04.xlsx / Requirements; </x:v>
      </x:c>
    </x:row>
    <x:row r="73" ht="36" customHeight="1">
      <x:c r="A73" s="3" t="str">
        <x:v>NEWS-004</x:v>
      </x:c>
      <x:c r="B73" s="3" t="str">
        <x:v>NEWS</x:v>
      </x:c>
      <x:c r="C73" s="3" t="str">
        <x:v>Người có news.update phải chuyển bài sang PUBLISHED và thiết lập thời điểm công bố hợp lệ.</x:v>
      </x:c>
      <x:c r="D73" s="3" t="str">
        <x:v>TC_NEWS_024</x:v>
      </x:c>
      <x:c r="E73" s="3" t="str">
        <x:v>Xuất bản danh mục ADMISSIONS</x:v>
      </x:c>
      <x:c r="F73" s="3" t="str">
        <x:v>Designed — chưa thực thi</x:v>
      </x:c>
      <x:c r="G73" s="3" t="str">
        <x:v>Nguồn: backend/src/modules/cms/cms.routes.ts.  Baseline: docs/ba/02-requirements/VGG_REQ-WORKBOOK_v0.1_2026-09-04.xlsx / Requirements; Phân tách người soạn/người duyệt cần xác nhận</x:v>
      </x:c>
    </x:row>
    <x:row r="74" ht="36" customHeight="1">
      <x:c r="A74" s="3" t="str">
        <x:v>NEWS-004</x:v>
      </x:c>
      <x:c r="B74" s="3" t="str">
        <x:v>NEWS</x:v>
      </x:c>
      <x:c r="C74" s="3" t="str">
        <x:v>Người có news.update phải chuyển bài sang PUBLISHED và thiết lập thời điểm công bố hợp lệ.</x:v>
      </x:c>
      <x:c r="D74" s="3" t="str">
        <x:v>TC_NEWS_025</x:v>
      </x:c>
      <x:c r="E74" s="3" t="str">
        <x:v>Xuất bản danh mục VAN_LANG_UNIVERSITY</x:v>
      </x:c>
      <x:c r="F74" s="3" t="str">
        <x:v>Designed — chưa thực thi</x:v>
      </x:c>
      <x:c r="G74" s="3" t="str">
        <x:v>Nguồn: backend/src/modules/cms/cms.routes.ts.  Baseline: docs/ba/02-requirements/VGG_REQ-WORKBOOK_v0.1_2026-09-04.xlsx / Requirements; Phân tách người soạn/người duyệt cần xác nhận</x:v>
      </x:c>
    </x:row>
    <x:row r="75" ht="36" customHeight="1">
      <x:c r="A75" s="3" t="str">
        <x:v>NEWS-004</x:v>
      </x:c>
      <x:c r="B75" s="3" t="str">
        <x:v>NEWS</x:v>
      </x:c>
      <x:c r="C75" s="3" t="str">
        <x:v>Người có news.update phải chuyển bài sang PUBLISHED và thiết lập thời điểm công bố hợp lệ.</x:v>
      </x:c>
      <x:c r="D75" s="3" t="str">
        <x:v>TC_NEWS_026</x:v>
      </x:c>
      <x:c r="E75" s="3" t="str">
        <x:v>Xuất bản danh mục UNIVERSITY_EVENT</x:v>
      </x:c>
      <x:c r="F75" s="3" t="str">
        <x:v>Designed — chưa thực thi</x:v>
      </x:c>
      <x:c r="G75" s="3" t="str">
        <x:v>Nguồn: backend/src/modules/cms/cms.routes.ts.  Baseline: docs/ba/02-requirements/VGG_REQ-WORKBOOK_v0.1_2026-09-04.xlsx / Requirements; Phân tách người soạn/người duyệt cần xác nhận</x:v>
      </x:c>
    </x:row>
    <x:row r="76" ht="36" customHeight="1">
      <x:c r="A76" s="3" t="str">
        <x:v>NEWS-004</x:v>
      </x:c>
      <x:c r="B76" s="3" t="str">
        <x:v>NEWS</x:v>
      </x:c>
      <x:c r="C76" s="3" t="str">
        <x:v>Người có news.update phải chuyển bài sang PUBLISHED và thiết lập thời điểm công bố hợp lệ.</x:v>
      </x:c>
      <x:c r="D76" s="3" t="str">
        <x:v>TC_NEWS_027</x:v>
      </x:c>
      <x:c r="E76" s="3" t="str">
        <x:v>Xuất bản danh mục VAN_LANG_LIFE</x:v>
      </x:c>
      <x:c r="F76" s="3" t="str">
        <x:v>Designed — chưa thực thi</x:v>
      </x:c>
      <x:c r="G76" s="3" t="str">
        <x:v>Nguồn: backend/src/modules/cms/cms.routes.ts.  Baseline: docs/ba/02-requirements/VGG_REQ-WORKBOOK_v0.1_2026-09-04.xlsx / Requirements; Phân tách người soạn/người duyệt cần xác nhận</x:v>
      </x:c>
    </x:row>
    <x:row r="77" ht="36" customHeight="1">
      <x:c r="A77" s="3" t="str">
        <x:v>NEWS-004</x:v>
      </x:c>
      <x:c r="B77" s="3" t="str">
        <x:v>NEWS</x:v>
      </x:c>
      <x:c r="C77" s="3" t="str">
        <x:v>Người có news.update phải chuyển bài sang PUBLISHED và thiết lập thời điểm công bố hợp lệ.</x:v>
      </x:c>
      <x:c r="D77" s="3" t="str">
        <x:v>TC_NEWS_028</x:v>
      </x:c>
      <x:c r="E77" s="3" t="str">
        <x:v>Xuất bản danh mục INTERNATIONAL_COOPERATION</x:v>
      </x:c>
      <x:c r="F77" s="3" t="str">
        <x:v>Designed — chưa thực thi</x:v>
      </x:c>
      <x:c r="G77" s="3" t="str">
        <x:v>Nguồn: backend/src/modules/cms/cms.routes.ts.  Baseline: docs/ba/02-requirements/VGG_REQ-WORKBOOK_v0.1_2026-09-04.xlsx / Requirements; Phân tách người soạn/người duyệt cần xác nhận</x:v>
      </x:c>
    </x:row>
    <x:row r="78" ht="36" customHeight="1">
      <x:c r="A78" s="3" t="str">
        <x:v>NEWS-004</x:v>
      </x:c>
      <x:c r="B78" s="3" t="str">
        <x:v>NEWS</x:v>
      </x:c>
      <x:c r="C78" s="3" t="str">
        <x:v>Người có news.update phải chuyển bài sang PUBLISHED và thiết lập thời điểm công bố hợp lệ.</x:v>
      </x:c>
      <x:c r="D78" s="3" t="str">
        <x:v>TC_NEWS_029</x:v>
      </x:c>
      <x:c r="E78" s="3" t="str">
        <x:v>Xuất bản danh mục RESEARCH_PROJECT</x:v>
      </x:c>
      <x:c r="F78" s="3" t="str">
        <x:v>Designed — chưa thực thi</x:v>
      </x:c>
      <x:c r="G78" s="3" t="str">
        <x:v>Nguồn: backend/src/modules/cms/cms.routes.ts.  Baseline: docs/ba/02-requirements/VGG_REQ-WORKBOOK_v0.1_2026-09-04.xlsx / Requirements; Phân tách người soạn/người duyệt cần xác nhận</x:v>
      </x:c>
    </x:row>
    <x:row r="79" ht="36" customHeight="1">
      <x:c r="A79" s="3" t="str">
        <x:v>NEWS-004</x:v>
      </x:c>
      <x:c r="B79" s="3" t="str">
        <x:v>NEWS</x:v>
      </x:c>
      <x:c r="C79" s="3" t="str">
        <x:v>Người có news.update phải chuyển bài sang PUBLISHED và thiết lập thời điểm công bố hợp lệ.</x:v>
      </x:c>
      <x:c r="D79" s="3" t="str">
        <x:v>TC_NEWS_030</x:v>
      </x:c>
      <x:c r="E79" s="3" t="str">
        <x:v>Xuất bản danh mục RESEARCH_PUBLICATION</x:v>
      </x:c>
      <x:c r="F79" s="3" t="str">
        <x:v>Designed — chưa thực thi</x:v>
      </x:c>
      <x:c r="G79" s="3" t="str">
        <x:v>Nguồn: backend/src/modules/cms/cms.routes.ts.  Baseline: docs/ba/02-requirements/VGG_REQ-WORKBOOK_v0.1_2026-09-04.xlsx / Requirements; Phân tách người soạn/người duyệt cần xác nhận</x:v>
      </x:c>
    </x:row>
    <x:row r="80" ht="49" customHeight="1">
      <x:c r="A80" s="3" t="str">
        <x:v>RES-001</x:v>
      </x:c>
      <x:c r="B80" s="3" t="str">
        <x:v>RESOURCE</x:v>
      </x:c>
      <x:c r="C80" s="3" t="str">
        <x:v>Người có resources.create phải tải tệp được phép và tạo bản ghi gắn danh mục.</x:v>
      </x:c>
      <x:c r="D80" s="3" t="str">
        <x:v>TC_RESOURCE_001</x:v>
      </x:c>
      <x:c r="E80" s="3" t="str">
        <x:v>Tạo loại DIRECTIVE_DOCUMENT</x:v>
      </x:c>
      <x:c r="F80" s="3" t="str">
        <x:v>Designed — chưa thực thi</x:v>
      </x:c>
      <x:c r="G80" s="3" t="str">
        <x:v>Nguồn: backend/src/modules/cms/cms.routes.ts; admin/src/components/cms/ResourceManager.tsx.  Baseline: docs/ba/02-requirements/VGG_REQ-WORKBOOK_v0.1_2026-09-04.xlsx / Requirements; Backend 50 MB, Admin mặc định 25 MB: cần thống nhất</x:v>
      </x:c>
    </x:row>
    <x:row r="81" ht="49" customHeight="1">
      <x:c r="A81" s="3" t="str">
        <x:v>RES-001</x:v>
      </x:c>
      <x:c r="B81" s="3" t="str">
        <x:v>RESOURCE</x:v>
      </x:c>
      <x:c r="C81" s="3" t="str">
        <x:v>Người có resources.create phải tải tệp được phép và tạo bản ghi gắn danh mục.</x:v>
      </x:c>
      <x:c r="D81" s="3" t="str">
        <x:v>TC_RESOURCE_002</x:v>
      </x:c>
      <x:c r="E81" s="3" t="str">
        <x:v>Tạo loại EXECUTION_DOCUMENT</x:v>
      </x:c>
      <x:c r="F81" s="3" t="str">
        <x:v>Designed — chưa thực thi</x:v>
      </x:c>
      <x:c r="G81" s="3" t="str">
        <x:v>Nguồn: backend/src/modules/cms/cms.routes.ts; admin/src/components/cms/ResourceManager.tsx.  Baseline: docs/ba/02-requirements/VGG_REQ-WORKBOOK_v0.1_2026-09-04.xlsx / Requirements; Backend 50 MB, Admin mặc định 25 MB: cần thống nhất</x:v>
      </x:c>
    </x:row>
    <x:row r="82" ht="49" customHeight="1">
      <x:c r="A82" s="3" t="str">
        <x:v>RES-001</x:v>
      </x:c>
      <x:c r="B82" s="3" t="str">
        <x:v>RESOURCE</x:v>
      </x:c>
      <x:c r="C82" s="3" t="str">
        <x:v>Người có resources.create phải tải tệp được phép và tạo bản ghi gắn danh mục.</x:v>
      </x:c>
      <x:c r="D82" s="3" t="str">
        <x:v>TC_RESOURCE_003</x:v>
      </x:c>
      <x:c r="E82" s="3" t="str">
        <x:v>Tạo loại BROCHURE</x:v>
      </x:c>
      <x:c r="F82" s="3" t="str">
        <x:v>Designed — chưa thực thi</x:v>
      </x:c>
      <x:c r="G82" s="3" t="str">
        <x:v>Nguồn: backend/src/modules/cms/cms.routes.ts; admin/src/components/cms/ResourceManager.tsx.  Baseline: docs/ba/02-requirements/VGG_REQ-WORKBOOK_v0.1_2026-09-04.xlsx / Requirements; Backend 50 MB, Admin mặc định 25 MB: cần thống nhất</x:v>
      </x:c>
    </x:row>
    <x:row r="83" ht="49" customHeight="1">
      <x:c r="A83" s="3" t="str">
        <x:v>RES-001</x:v>
      </x:c>
      <x:c r="B83" s="3" t="str">
        <x:v>RESOURCE</x:v>
      </x:c>
      <x:c r="C83" s="3" t="str">
        <x:v>Người có resources.create phải tải tệp được phép và tạo bản ghi gắn danh mục.</x:v>
      </x:c>
      <x:c r="D83" s="3" t="str">
        <x:v>TC_RESOURCE_004</x:v>
      </x:c>
      <x:c r="E83" s="3" t="str">
        <x:v>Tạo loại PDF_DOCUMENT</x:v>
      </x:c>
      <x:c r="F83" s="3" t="str">
        <x:v>Designed — chưa thực thi</x:v>
      </x:c>
      <x:c r="G83" s="3" t="str">
        <x:v>Nguồn: backend/src/modules/cms/cms.routes.ts; admin/src/components/cms/ResourceManager.tsx.  Baseline: docs/ba/02-requirements/VGG_REQ-WORKBOOK_v0.1_2026-09-04.xlsx / Requirements; Backend 50 MB, Admin mặc định 25 MB: cần thống nhất</x:v>
      </x:c>
    </x:row>
    <x:row r="84" ht="49" customHeight="1">
      <x:c r="A84" s="3" t="str">
        <x:v>RES-001</x:v>
      </x:c>
      <x:c r="B84" s="3" t="str">
        <x:v>RESOURCE</x:v>
      </x:c>
      <x:c r="C84" s="3" t="str">
        <x:v>Người có resources.create phải tải tệp được phép và tạo bản ghi gắn danh mục.</x:v>
      </x:c>
      <x:c r="D84" s="3" t="str">
        <x:v>TC_RESOURCE_005</x:v>
      </x:c>
      <x:c r="E84" s="3" t="str">
        <x:v>Sửa tài nguyên</x:v>
      </x:c>
      <x:c r="F84" s="3" t="str">
        <x:v>Designed — chưa thực thi</x:v>
      </x:c>
      <x:c r="G84" s="3" t="str">
        <x:v>Nguồn: admin/src/components/cms/ResourceManager.tsx; backend/src/modules/cms/cms.routes.ts.  Baseline: docs/ba/02-requirements/VGG_REQ-WORKBOOK_v0.1_2026-09-04.xlsx / Requirements; Backend 50 MB, Admin mặc định 25 MB: cần thống nhất</x:v>
      </x:c>
    </x:row>
    <x:row r="85" ht="49" customHeight="1">
      <x:c r="A85" s="3" t="str">
        <x:v>RES-001</x:v>
      </x:c>
      <x:c r="B85" s="3" t="str">
        <x:v>RESOURCE</x:v>
      </x:c>
      <x:c r="C85" s="3" t="str">
        <x:v>Người có resources.create phải tải tệp được phép và tạo bản ghi gắn danh mục.</x:v>
      </x:c>
      <x:c r="D85" s="3" t="str">
        <x:v>TC_RESOURCE_006</x:v>
      </x:c>
      <x:c r="E85" s="3" t="str">
        <x:v>Thay tệp</x:v>
      </x:c>
      <x:c r="F85" s="3" t="str">
        <x:v>Designed — chưa thực thi</x:v>
      </x:c>
      <x:c r="G85" s="3" t="str">
        <x:v>Nguồn: admin/src/components/cms/ResourceManager.tsx; backend/src/modules/cms/cms.routes.ts.  Baseline: docs/ba/02-requirements/VGG_REQ-WORKBOOK_v0.1_2026-09-04.xlsx / Requirements; Backend 50 MB, Admin mặc định 25 MB: cần thống nhất</x:v>
      </x:c>
    </x:row>
    <x:row r="86" ht="36" customHeight="1">
      <x:c r="A86" s="3" t="str">
        <x:v>RES-002</x:v>
      </x:c>
      <x:c r="B86" s="3" t="str">
        <x:v>RESOURCE</x:v>
      </x:c>
      <x:c r="C86" s="3" t="str">
        <x:v>Hệ thống phải bảo toàn ràng buộc khi danh mục còn tài nguyên tham chiếu.</x:v>
      </x:c>
      <x:c r="D86" s="3" t="str">
        <x:v>TC_RESOURCE_007</x:v>
      </x:c>
      <x:c r="E86" s="3" t="str">
        <x:v>Tạo danh mục</x:v>
      </x:c>
      <x:c r="F86" s="3" t="str">
        <x:v>Designed — chưa thực thi</x:v>
      </x:c>
      <x:c r="G86" s="3" t="str">
        <x:v>Nguồn: admin/src/components/cms/ResourceManager.tsx; backend/src/modules/cms/cms.routes.ts.  Baseline: docs/ba/02-requirements/VGG_REQ-WORKBOOK_v0.1_2026-09-04.xlsx / Requirements; </x:v>
      </x:c>
    </x:row>
    <x:row r="87" ht="36" customHeight="1">
      <x:c r="A87" s="3" t="str">
        <x:v>RES-002</x:v>
      </x:c>
      <x:c r="B87" s="3" t="str">
        <x:v>RESOURCE</x:v>
      </x:c>
      <x:c r="C87" s="3" t="str">
        <x:v>Hệ thống phải bảo toàn ràng buộc khi danh mục còn tài nguyên tham chiếu.</x:v>
      </x:c>
      <x:c r="D87" s="3" t="str">
        <x:v>TC_RESOURCE_008</x:v>
      </x:c>
      <x:c r="E87" s="3" t="str">
        <x:v>Sửa danh mục</x:v>
      </x:c>
      <x:c r="F87" s="3" t="str">
        <x:v>Designed — chưa thực thi</x:v>
      </x:c>
      <x:c r="G87" s="3" t="str">
        <x:v>Nguồn: admin/src/components/cms/ResourceManager.tsx; backend/src/modules/cms/cms.routes.ts.  Baseline: docs/ba/02-requirements/VGG_REQ-WORKBOOK_v0.1_2026-09-04.xlsx / Requirements; </x:v>
      </x:c>
    </x:row>
    <x:row r="88" ht="36" customHeight="1">
      <x:c r="A88" s="3" t="str">
        <x:v>RES-002</x:v>
      </x:c>
      <x:c r="B88" s="3" t="str">
        <x:v>RESOURCE</x:v>
      </x:c>
      <x:c r="C88" s="3" t="str">
        <x:v>Hệ thống phải bảo toàn ràng buộc khi danh mục còn tài nguyên tham chiếu.</x:v>
      </x:c>
      <x:c r="D88" s="3" t="str">
        <x:v>TC_RESOURCE_009</x:v>
      </x:c>
      <x:c r="E88" s="3" t="str">
        <x:v>Danh mục trùng không phân biệt hoa thường</x:v>
      </x:c>
      <x:c r="F88" s="3" t="str">
        <x:v>Designed — chưa thực thi</x:v>
      </x:c>
      <x:c r="G88" s="3" t="str">
        <x:v>Nguồn: admin/src/components/cms/ResourceManager.tsx; backend/src/modules/cms/cms.routes.ts.  Baseline: docs/ba/02-requirements/VGG_REQ-WORKBOOK_v0.1_2026-09-04.xlsx / Requirements; </x:v>
      </x:c>
    </x:row>
    <x:row r="89" ht="36" customHeight="1">
      <x:c r="A89" s="3" t="str">
        <x:v>RES-002</x:v>
      </x:c>
      <x:c r="B89" s="3" t="str">
        <x:v>RESOURCE</x:v>
      </x:c>
      <x:c r="C89" s="3" t="str">
        <x:v>Hệ thống phải bảo toàn ràng buộc khi danh mục còn tài nguyên tham chiếu.</x:v>
      </x:c>
      <x:c r="D89" s="3" t="str">
        <x:v>TC_RESOURCE_010</x:v>
      </x:c>
      <x:c r="E89" s="3" t="str">
        <x:v>Xóa danh mục rỗng</x:v>
      </x:c>
      <x:c r="F89" s="3" t="str">
        <x:v>Designed — chưa thực thi</x:v>
      </x:c>
      <x:c r="G89" s="3" t="str">
        <x:v>Nguồn: admin/src/components/cms/ResourceManager.tsx; backend/src/modules/cms/cms.routes.ts.  Baseline: docs/ba/02-requirements/VGG_REQ-WORKBOOK_v0.1_2026-09-04.xlsx / Requirements; </x:v>
      </x:c>
    </x:row>
    <x:row r="90" ht="36" customHeight="1">
      <x:c r="A90" s="3" t="str">
        <x:v>RES-002</x:v>
      </x:c>
      <x:c r="B90" s="3" t="str">
        <x:v>RESOURCE</x:v>
      </x:c>
      <x:c r="C90" s="3" t="str">
        <x:v>Hệ thống phải bảo toàn ràng buộc khi danh mục còn tài nguyên tham chiếu.</x:v>
      </x:c>
      <x:c r="D90" s="3" t="str">
        <x:v>TC_RESOURCE_011</x:v>
      </x:c>
      <x:c r="E90" s="3" t="str">
        <x:v>Chặn xóa danh mục đang dùng</x:v>
      </x:c>
      <x:c r="F90" s="3" t="str">
        <x:v>Designed — chưa thực thi</x:v>
      </x:c>
      <x:c r="G90" s="3" t="str">
        <x:v>Nguồn: admin/src/components/cms/ResourceManager.tsx; backend/src/modules/cms/cms.routes.ts.  Baseline: docs/ba/02-requirements/VGG_REQ-WORKBOOK_v0.1_2026-09-04.xlsx / Requirements; </x:v>
      </x:c>
    </x:row>
    <x:row r="91" ht="49" customHeight="1">
      <x:c r="A91" s="3" t="str">
        <x:v>RES-003</x:v>
      </x:c>
      <x:c r="B91" s="3" t="str">
        <x:v>RESOURCE</x:v>
      </x:c>
      <x:c r="C91" s="3" t="str">
        <x:v>Người có resources.delete có thể xóa bản ghi tài nguyên; tác động lên tệp vật lý phải được xác định.</x:v>
      </x:c>
      <x:c r="D91" s="3" t="str">
        <x:v>TC_RESOURCE_012</x:v>
      </x:c>
      <x:c r="E91" s="3" t="str">
        <x:v>Xóa resource</x:v>
      </x:c>
      <x:c r="F91" s="3" t="str">
        <x:v>Designed — chưa thực thi</x:v>
      </x:c>
      <x:c r="G91" s="3" t="str">
        <x:v>Nguồn: admin/src/components/cms/ResourceManager.tsx; backend/src/modules/cms/cms.routes.ts.  Baseline: docs/ba/02-requirements/VGG_REQ-WORKBOOK_v0.1_2026-09-04.xlsx / Requirements; Code xóa cứng bản ghi; chính sách lưu trữ và xóa object cần xác nhận</x:v>
      </x:c>
    </x:row>
    <x:row r="92" ht="49" customHeight="1">
      <x:c r="A92" s="3" t="str">
        <x:v>RES-003</x:v>
      </x:c>
      <x:c r="B92" s="3" t="str">
        <x:v>RESOURCE</x:v>
      </x:c>
      <x:c r="C92" s="3" t="str">
        <x:v>Người có resources.delete có thể xóa bản ghi tài nguyên; tác động lên tệp vật lý phải được xác định.</x:v>
      </x:c>
      <x:c r="D92" s="3" t="str">
        <x:v>TC_RESOURCE_013</x:v>
      </x:c>
      <x:c r="E92" s="3" t="str">
        <x:v>Hủy xóa resource</x:v>
      </x:c>
      <x:c r="F92" s="3" t="str">
        <x:v>Designed — chưa thực thi</x:v>
      </x:c>
      <x:c r="G92" s="3" t="str">
        <x:v>Nguồn: admin/src/components/cms/ResourceManager.tsx; backend/src/modules/cms/cms.routes.ts.  Baseline: docs/ba/02-requirements/VGG_REQ-WORKBOOK_v0.1_2026-09-04.xlsx / Requirements; Code xóa cứng bản ghi; chính sách lưu trữ và xóa object cần xác nhận</x:v>
      </x:c>
    </x:row>
    <x:row r="93" ht="49" customHeight="1">
      <x:c r="A93" s="3" t="str">
        <x:v>RES-001</x:v>
      </x:c>
      <x:c r="B93" s="3" t="str">
        <x:v>RESOURCE</x:v>
      </x:c>
      <x:c r="C93" s="3" t="str">
        <x:v>Người có resources.create phải tải tệp được phép và tạo bản ghi gắn danh mục.</x:v>
      </x:c>
      <x:c r="D93" s="3" t="str">
        <x:v>TC_RESOURCE_014</x:v>
      </x:c>
      <x:c r="E93" s="3" t="str">
        <x:v>Đóng drawer chưa lưu</x:v>
      </x:c>
      <x:c r="F93" s="3" t="str">
        <x:v>Designed — chưa thực thi</x:v>
      </x:c>
      <x:c r="G93" s="3" t="str">
        <x:v>Nguồn: admin/src/components/cms/ResourceManager.tsx; backend/src/modules/cms/cms.routes.ts.  Baseline: docs/ba/02-requirements/VGG_REQ-WORKBOOK_v0.1_2026-09-04.xlsx / Requirements; Backend 50 MB, Admin mặc định 25 MB: cần thống nhất</x:v>
      </x:c>
    </x:row>
    <x:row r="94" ht="49" customHeight="1">
      <x:c r="A94" s="3" t="str">
        <x:v>RES-001</x:v>
      </x:c>
      <x:c r="B94" s="3" t="str">
        <x:v>RESOURCE</x:v>
      </x:c>
      <x:c r="C94" s="3" t="str">
        <x:v>Người có resources.create phải tải tệp được phép và tạo bản ghi gắn danh mục.</x:v>
      </x:c>
      <x:c r="D94" s="3" t="str">
        <x:v>TC_RESOURCE_015</x:v>
      </x:c>
      <x:c r="E94" s="3" t="str">
        <x:v>Lọc đồng thời loại và danh mục</x:v>
      </x:c>
      <x:c r="F94" s="3" t="str">
        <x:v>Designed — chưa thực thi</x:v>
      </x:c>
      <x:c r="G94" s="3" t="str">
        <x:v>Nguồn: admin/src/components/cms/ResourceManager.tsx; backend/src/modules/cms/cms.routes.ts.  Baseline: docs/ba/02-requirements/VGG_REQ-WORKBOOK_v0.1_2026-09-04.xlsx / Requirements; Backend 50 MB, Admin mặc định 25 MB: cần thống nhất</x:v>
      </x:c>
    </x:row>
    <x:row r="95" ht="49" customHeight="1">
      <x:c r="A95" s="3" t="str">
        <x:v>RES-001</x:v>
      </x:c>
      <x:c r="B95" s="3" t="str">
        <x:v>RESOURCE</x:v>
      </x:c>
      <x:c r="C95" s="3" t="str">
        <x:v>Người có resources.create phải tải tệp được phép và tạo bản ghi gắn danh mục.</x:v>
      </x:c>
      <x:c r="D95" s="3" t="str">
        <x:v>TC_RESOURCE_016</x:v>
      </x:c>
      <x:c r="E95" s="3" t="str">
        <x:v>Lọc documentType</x:v>
      </x:c>
      <x:c r="F95" s="3" t="str">
        <x:v>Designed — chưa thực thi</x:v>
      </x:c>
      <x:c r="G95" s="3" t="str">
        <x:v>Nguồn: admin/src/components/cms/ResourceManager.tsx; backend/src/modules/cms/cms.routes.ts.  Baseline: docs/ba/02-requirements/VGG_REQ-WORKBOOK_v0.1_2026-09-04.xlsx / Requirements; Backend 50 MB, Admin mặc định 25 MB: cần thống nhất</x:v>
      </x:c>
    </x:row>
    <x:row r="96" ht="49" customHeight="1">
      <x:c r="A96" s="3" t="str">
        <x:v>RES-001</x:v>
      </x:c>
      <x:c r="B96" s="3" t="str">
        <x:v>RESOURCE</x:v>
      </x:c>
      <x:c r="C96" s="3" t="str">
        <x:v>Người có resources.create phải tải tệp được phép và tạo bản ghi gắn danh mục.</x:v>
      </x:c>
      <x:c r="D96" s="3" t="str">
        <x:v>TC_RESOURCE_017</x:v>
      </x:c>
      <x:c r="E96" s="3" t="str">
        <x:v>Lọc ở trang cuối</x:v>
      </x:c>
      <x:c r="F96" s="3" t="str">
        <x:v>Designed — chưa thực thi</x:v>
      </x:c>
      <x:c r="G96" s="3" t="str">
        <x:v>Nguồn: admin/src/components/cms/ResourceManager.tsx; backend/src/modules/cms/cms.routes.ts.  Baseline: docs/ba/02-requirements/VGG_REQ-WORKBOOK_v0.1_2026-09-04.xlsx / Requirements; Backend 50 MB, Admin mặc định 25 MB: cần thống nhất</x:v>
      </x:c>
    </x:row>
    <x:row r="97" ht="36" customHeight="1">
      <x:c r="A97" s="3" t="str">
        <x:v>PUB-004</x:v>
      </x:c>
      <x:c r="B97" s="3" t="str">
        <x:v>RESOURCE</x:v>
      </x:c>
      <x:c r="C97" s="3" t="str">
        <x:v>Hệ thống phải liệt kê tài nguyên công khai và phân phối tệp qua proxy nội bộ.</x:v>
      </x:c>
      <x:c r="D97" s="3" t="str">
        <x:v>TC_RESOURCE_018</x:v>
      </x:c>
      <x:c r="E97" s="3" t="str">
        <x:v>Preview PDF desktop</x:v>
      </x:c>
      <x:c r="F97" s="3" t="str">
        <x:v>Designed — chưa thực thi</x:v>
      </x:c>
      <x:c r="G97" s="3" t="str">
        <x:v>Nguồn: admin/src/components/cms/ResourceManager.tsx; backend/src/modules/cms/cms.routes.ts.  Baseline: docs/ba/02-requirements/VGG_REQ-WORKBOOK_v0.1_2026-09-04.xlsx / Requirements; </x:v>
      </x:c>
    </x:row>
    <x:row r="98" ht="36" customHeight="1">
      <x:c r="A98" s="3" t="str">
        <x:v>PUB-004</x:v>
      </x:c>
      <x:c r="B98" s="3" t="str">
        <x:v>RESOURCE</x:v>
      </x:c>
      <x:c r="C98" s="3" t="str">
        <x:v>Hệ thống phải liệt kê tài nguyên công khai và phân phối tệp qua proxy nội bộ.</x:v>
      </x:c>
      <x:c r="D98" s="3" t="str">
        <x:v>TC_RESOURCE_019</x:v>
      </x:c>
      <x:c r="E98" s="3" t="str">
        <x:v>Preview mobile Escape</x:v>
      </x:c>
      <x:c r="F98" s="3" t="str">
        <x:v>Designed — chưa thực thi</x:v>
      </x:c>
      <x:c r="G98" s="3" t="str">
        <x:v>Nguồn: admin/src/components/cms/ResourceManager.tsx; backend/src/modules/cms/cms.routes.ts.  Baseline: docs/ba/02-requirements/VGG_REQ-WORKBOOK_v0.1_2026-09-04.xlsx / Requirements; </x:v>
      </x:c>
    </x:row>
    <x:row r="99" ht="36" customHeight="1">
      <x:c r="A99" s="3" t="str">
        <x:v>PUB-004</x:v>
      </x:c>
      <x:c r="B99" s="3" t="str">
        <x:v>RESOURCE</x:v>
      </x:c>
      <x:c r="C99" s="3" t="str">
        <x:v>Hệ thống phải liệt kê tài nguyên công khai và phân phối tệp qua proxy nội bộ.</x:v>
      </x:c>
      <x:c r="D99" s="3" t="str">
        <x:v>TC_RESOURCE_020</x:v>
      </x:c>
      <x:c r="E99" s="3" t="str">
        <x:v>Tải file tiếng Việt</x:v>
      </x:c>
      <x:c r="F99" s="3" t="str">
        <x:v>Designed — chưa thực thi</x:v>
      </x:c>
      <x:c r="G99" s="3" t="str">
        <x:v>Nguồn: admin/src/components/cms/ResourceManager.tsx; backend/src/modules/cms/cms.routes.ts.  Baseline: docs/ba/02-requirements/VGG_REQ-WORKBOOK_v0.1_2026-09-04.xlsx / Requirements; </x:v>
      </x:c>
    </x:row>
    <x:row r="100" ht="36" customHeight="1">
      <x:c r="A100" s="3" t="str">
        <x:v>PUB-004</x:v>
      </x:c>
      <x:c r="B100" s="3" t="str">
        <x:v>RESOURCE</x:v>
      </x:c>
      <x:c r="C100" s="3" t="str">
        <x:v>Hệ thống phải liệt kê tài nguyên công khai và phân phối tệp qua proxy nội bộ.</x:v>
      </x:c>
      <x:c r="D100" s="3" t="str">
        <x:v>TC_RESOURCE_021</x:v>
      </x:c>
      <x:c r="E100" s="3" t="str">
        <x:v>Tìm theo số văn bản</x:v>
      </x:c>
      <x:c r="F100" s="3" t="str">
        <x:v>Designed — chưa thực thi</x:v>
      </x:c>
      <x:c r="G100" s="3" t="str">
        <x:v>Nguồn: admin/src/components/cms/ResourceManager.tsx; backend/src/modules/cms/cms.routes.ts.  Baseline: docs/ba/02-requirements/VGG_REQ-WORKBOOK_v0.1_2026-09-04.xlsx / Requirements; </x:v>
      </x:c>
    </x:row>
    <x:row r="101" ht="36" customHeight="1">
      <x:c r="A101" s="3" t="str">
        <x:v>PUB-004</x:v>
      </x:c>
      <x:c r="B101" s="3" t="str">
        <x:v>RESOURCE</x:v>
      </x:c>
      <x:c r="C101" s="3" t="str">
        <x:v>Hệ thống phải liệt kê tài nguyên công khai và phân phối tệp qua proxy nội bộ.</x:v>
      </x:c>
      <x:c r="D101" s="3" t="str">
        <x:v>TC_RESOURCE_022</x:v>
      </x:c>
      <x:c r="E101" s="3" t="str">
        <x:v>Không có kết quả</x:v>
      </x:c>
      <x:c r="F101" s="3" t="str">
        <x:v>Designed — chưa thực thi</x:v>
      </x:c>
      <x:c r="G101" s="3" t="str">
        <x:v>Nguồn: admin/src/components/cms/ResourceManager.tsx; backend/src/modules/cms/cms.routes.ts.  Baseline: docs/ba/02-requirements/VGG_REQ-WORKBOOK_v0.1_2026-09-04.xlsx / Requirements; </x:v>
      </x:c>
    </x:row>
    <x:row r="102" ht="49" customHeight="1">
      <x:c r="A102" s="3" t="str">
        <x:v>RES-001</x:v>
      </x:c>
      <x:c r="B102" s="3" t="str">
        <x:v>RESOURCE</x:v>
      </x:c>
      <x:c r="C102" s="3" t="str">
        <x:v>Người có resources.create phải tải tệp được phép và tạo bản ghi gắn danh mục.</x:v>
      </x:c>
      <x:c r="D102" s="3" t="str">
        <x:v>TC_RESOURCE_023</x:v>
      </x:c>
      <x:c r="E102" s="3" t="str">
        <x:v>Upload kéo thả</x:v>
      </x:c>
      <x:c r="F102" s="3" t="str">
        <x:v>Designed — chưa thực thi</x:v>
      </x:c>
      <x:c r="G102" s="3" t="str">
        <x:v>Nguồn: admin/src/components/cms/ResourceManager.tsx; backend/src/modules/cms/cms.routes.ts.  Baseline: docs/ba/02-requirements/VGG_REQ-WORKBOOK_v0.1_2026-09-04.xlsx / Requirements; Backend 50 MB, Admin mặc định 25 MB: cần thống nhất</x:v>
      </x:c>
    </x:row>
    <x:row r="103" ht="36" customHeight="1">
      <x:c r="A103" s="3" t="str">
        <x:v>RES-001</x:v>
      </x:c>
      <x:c r="B103" s="3" t="str">
        <x:v>RESOURCE</x:v>
      </x:c>
      <x:c r="C103" s="3" t="str">
        <x:v>Người có resources.create phải tải tệp được phép và tạo bản ghi gắn danh mục.</x:v>
      </x:c>
      <x:c r="D103" s="3" t="str">
        <x:v>TC_RESOURCE_024</x:v>
      </x:c>
      <x:c r="E103" s="3" t="str">
        <x:v>DIRECTIVE_DOCUMENT thiếu documentNumber</x:v>
      </x:c>
      <x:c r="F103" s="3" t="str">
        <x:v>Designed — chưa thực thi</x:v>
      </x:c>
      <x:c r="G103" s="3" t="str">
        <x:v>Nguồn: backend/src/modules/cms/cms.routes.ts.  Baseline: docs/ba/02-requirements/VGG_REQ-WORKBOOK_v0.1_2026-09-04.xlsx / Requirements; Backend 50 MB, Admin mặc định 25 MB: cần thống nhất</x:v>
      </x:c>
    </x:row>
    <x:row r="104" ht="36" customHeight="1">
      <x:c r="A104" s="3" t="str">
        <x:v>RES-001</x:v>
      </x:c>
      <x:c r="B104" s="3" t="str">
        <x:v>RESOURCE</x:v>
      </x:c>
      <x:c r="C104" s="3" t="str">
        <x:v>Người có resources.create phải tải tệp được phép và tạo bản ghi gắn danh mục.</x:v>
      </x:c>
      <x:c r="D104" s="3" t="str">
        <x:v>TC_RESOURCE_025</x:v>
      </x:c>
      <x:c r="E104" s="3" t="str">
        <x:v>DIRECTIVE_DOCUMENT thiếu issueDate</x:v>
      </x:c>
      <x:c r="F104" s="3" t="str">
        <x:v>Designed — chưa thực thi</x:v>
      </x:c>
      <x:c r="G104" s="3" t="str">
        <x:v>Nguồn: backend/src/modules/cms/cms.routes.ts.  Baseline: docs/ba/02-requirements/VGG_REQ-WORKBOOK_v0.1_2026-09-04.xlsx / Requirements; Backend 50 MB, Admin mặc định 25 MB: cần thống nhất</x:v>
      </x:c>
    </x:row>
    <x:row r="105" ht="36" customHeight="1">
      <x:c r="A105" s="3" t="str">
        <x:v>RES-001</x:v>
      </x:c>
      <x:c r="B105" s="3" t="str">
        <x:v>RESOURCE</x:v>
      </x:c>
      <x:c r="C105" s="3" t="str">
        <x:v>Người có resources.create phải tải tệp được phép và tạo bản ghi gắn danh mục.</x:v>
      </x:c>
      <x:c r="D105" s="3" t="str">
        <x:v>TC_RESOURCE_026</x:v>
      </x:c>
      <x:c r="E105" s="3" t="str">
        <x:v>DIRECTIVE_DOCUMENT thiếu issuingOrganization</x:v>
      </x:c>
      <x:c r="F105" s="3" t="str">
        <x:v>Designed — chưa thực thi</x:v>
      </x:c>
      <x:c r="G105" s="3" t="str">
        <x:v>Nguồn: backend/src/modules/cms/cms.routes.ts.  Baseline: docs/ba/02-requirements/VGG_REQ-WORKBOOK_v0.1_2026-09-04.xlsx / Requirements; Backend 50 MB, Admin mặc định 25 MB: cần thống nhất</x:v>
      </x:c>
    </x:row>
    <x:row r="106" ht="36" customHeight="1">
      <x:c r="A106" s="3" t="str">
        <x:v>RES-001</x:v>
      </x:c>
      <x:c r="B106" s="3" t="str">
        <x:v>RESOURCE</x:v>
      </x:c>
      <x:c r="C106" s="3" t="str">
        <x:v>Người có resources.create phải tải tệp được phép và tạo bản ghi gắn danh mục.</x:v>
      </x:c>
      <x:c r="D106" s="3" t="str">
        <x:v>TC_RESOURCE_027</x:v>
      </x:c>
      <x:c r="E106" s="3" t="str">
        <x:v>EXECUTION_DOCUMENT thiếu documentNumber</x:v>
      </x:c>
      <x:c r="F106" s="3" t="str">
        <x:v>Designed — chưa thực thi</x:v>
      </x:c>
      <x:c r="G106" s="3" t="str">
        <x:v>Nguồn: backend/src/modules/cms/cms.routes.ts.  Baseline: docs/ba/02-requirements/VGG_REQ-WORKBOOK_v0.1_2026-09-04.xlsx / Requirements; Backend 50 MB, Admin mặc định 25 MB: cần thống nhất</x:v>
      </x:c>
    </x:row>
    <x:row r="107" ht="36" customHeight="1">
      <x:c r="A107" s="3" t="str">
        <x:v>RES-001</x:v>
      </x:c>
      <x:c r="B107" s="3" t="str">
        <x:v>RESOURCE</x:v>
      </x:c>
      <x:c r="C107" s="3" t="str">
        <x:v>Người có resources.create phải tải tệp được phép và tạo bản ghi gắn danh mục.</x:v>
      </x:c>
      <x:c r="D107" s="3" t="str">
        <x:v>TC_RESOURCE_028</x:v>
      </x:c>
      <x:c r="E107" s="3" t="str">
        <x:v>EXECUTION_DOCUMENT thiếu issueDate</x:v>
      </x:c>
      <x:c r="F107" s="3" t="str">
        <x:v>Designed — chưa thực thi</x:v>
      </x:c>
      <x:c r="G107" s="3" t="str">
        <x:v>Nguồn: backend/src/modules/cms/cms.routes.ts.  Baseline: docs/ba/02-requirements/VGG_REQ-WORKBOOK_v0.1_2026-09-04.xlsx / Requirements; Backend 50 MB, Admin mặc định 25 MB: cần thống nhất</x:v>
      </x:c>
    </x:row>
    <x:row r="108" ht="36" customHeight="1">
      <x:c r="A108" s="3" t="str">
        <x:v>RES-001</x:v>
      </x:c>
      <x:c r="B108" s="3" t="str">
        <x:v>RESOURCE</x:v>
      </x:c>
      <x:c r="C108" s="3" t="str">
        <x:v>Người có resources.create phải tải tệp được phép và tạo bản ghi gắn danh mục.</x:v>
      </x:c>
      <x:c r="D108" s="3" t="str">
        <x:v>TC_RESOURCE_029</x:v>
      </x:c>
      <x:c r="E108" s="3" t="str">
        <x:v>EXECUTION_DOCUMENT thiếu issuingOrganization</x:v>
      </x:c>
      <x:c r="F108" s="3" t="str">
        <x:v>Designed — chưa thực thi</x:v>
      </x:c>
      <x:c r="G108" s="3" t="str">
        <x:v>Nguồn: backend/src/modules/cms/cms.routes.ts.  Baseline: docs/ba/02-requirements/VGG_REQ-WORKBOOK_v0.1_2026-09-04.xlsx / Requirements; Backend 50 MB, Admin mặc định 25 MB: cần thống nhất</x:v>
      </x:c>
    </x:row>
    <x:row r="109" ht="36" customHeight="1">
      <x:c r="A109" s="3" t="str">
        <x:v>RES-001</x:v>
      </x:c>
      <x:c r="B109" s="3" t="str">
        <x:v>RESOURCE</x:v>
      </x:c>
      <x:c r="C109" s="3" t="str">
        <x:v>Người có resources.create phải tải tệp được phép và tạo bản ghi gắn danh mục.</x:v>
      </x:c>
      <x:c r="D109" s="3" t="str">
        <x:v>TC_RESOURCE_030</x:v>
      </x:c>
      <x:c r="E109" s="3" t="str">
        <x:v>EXECUTION_DOCUMENT thiếu documentType</x:v>
      </x:c>
      <x:c r="F109" s="3" t="str">
        <x:v>Designed — chưa thực thi</x:v>
      </x:c>
      <x:c r="G109" s="3" t="str">
        <x:v>Nguồn: backend/src/modules/cms/cms.routes.ts.  Baseline: docs/ba/02-requirements/VGG_REQ-WORKBOOK_v0.1_2026-09-04.xlsx / Requirements; Backend 50 MB, Admin mặc định 25 MB: cần thống nhất</x:v>
      </x:c>
    </x:row>
    <x:row r="110" ht="36" customHeight="1">
      <x:c r="A110" s="3" t="str">
        <x:v>RES-001</x:v>
      </x:c>
      <x:c r="B110" s="3" t="str">
        <x:v>RESOURCE</x:v>
      </x:c>
      <x:c r="C110" s="3" t="str">
        <x:v>Người có resources.create phải tải tệp được phép và tạo bản ghi gắn danh mục.</x:v>
      </x:c>
      <x:c r="D110" s="3" t="str">
        <x:v>TC_RESOURCE_031</x:v>
      </x:c>
      <x:c r="E110" s="3" t="str">
        <x:v>BROCHURE dùng DOCX</x:v>
      </x:c>
      <x:c r="F110" s="3" t="str">
        <x:v>Designed — chưa thực thi</x:v>
      </x:c>
      <x:c r="G110" s="3" t="str">
        <x:v>Nguồn: backend/src/modules/cms/cms.routes.ts.  Baseline: docs/ba/02-requirements/VGG_REQ-WORKBOOK_v0.1_2026-09-04.xlsx / Requirements; Backend 50 MB, Admin mặc định 25 MB: cần thống nhất</x:v>
      </x:c>
    </x:row>
    <x:row r="111" ht="36" customHeight="1">
      <x:c r="A111" s="3" t="str">
        <x:v>RES-001</x:v>
      </x:c>
      <x:c r="B111" s="3" t="str">
        <x:v>RESOURCE</x:v>
      </x:c>
      <x:c r="C111" s="3" t="str">
        <x:v>Người có resources.create phải tải tệp được phép và tạo bản ghi gắn danh mục.</x:v>
      </x:c>
      <x:c r="D111" s="3" t="str">
        <x:v>TC_RESOURCE_032</x:v>
      </x:c>
      <x:c r="E111" s="3" t="str">
        <x:v>PDF_DOCUMENT dùng DOCX</x:v>
      </x:c>
      <x:c r="F111" s="3" t="str">
        <x:v>Designed — chưa thực thi</x:v>
      </x:c>
      <x:c r="G111" s="3" t="str">
        <x:v>Nguồn: backend/src/modules/cms/cms.routes.ts.  Baseline: docs/ba/02-requirements/VGG_REQ-WORKBOOK_v0.1_2026-09-04.xlsx / Requirements; Backend 50 MB, Admin mặc định 25 MB: cần thống nhất</x:v>
      </x:c>
    </x:row>
    <x:row r="112" ht="49" customHeight="1">
      <x:c r="A112" s="3" t="str">
        <x:v>CON-001</x:v>
      </x:c>
      <x:c r="B112" s="3" t="str">
        <x:v>CONSULT</x:v>
      </x:c>
      <x:c r="C112" s="3" t="str">
        <x:v>Hệ thống phải kiểm tra dữ liệu bắt buộc, chống bot cơ bản và ghi nhận yêu cầu tư vấn.</x:v>
      </x:c>
      <x:c r="D112" s="3" t="str">
        <x:v>TC_CONSULT_001</x:v>
      </x:c>
      <x:c r="E112" s="3" t="str">
        <x:v>Gửi tư vấn từ /vi</x:v>
      </x:c>
      <x:c r="F112" s="3" t="str">
        <x:v>Designed — chưa thực thi</x:v>
      </x:c>
      <x:c r="G112" s="3" t="str">
        <x:v>Nguồn: frontend/src/features/home/components/ResourcesConsultation.tsx; backend/src/modules/consultations/consultations.routes.ts.  Baseline: docs/ba/02-requirements/VGG_REQ-WORKBOOK_v0.1_2026-09-04.xlsx / Requirements; Cơ sở pháp lý/đồng ý xử lý dữ liệu cần xác nhận</x:v>
      </x:c>
    </x:row>
    <x:row r="113" ht="49" customHeight="1">
      <x:c r="A113" s="3" t="str">
        <x:v>CON-001</x:v>
      </x:c>
      <x:c r="B113" s="3" t="str">
        <x:v>CONSULT</x:v>
      </x:c>
      <x:c r="C113" s="3" t="str">
        <x:v>Hệ thống phải kiểm tra dữ liệu bắt buộc, chống bot cơ bản và ghi nhận yêu cầu tư vấn.</x:v>
      </x:c>
      <x:c r="D113" s="3" t="str">
        <x:v>TC_CONSULT_002</x:v>
      </x:c>
      <x:c r="E113" s="3" t="str">
        <x:v>Gửi tư vấn từ /vi/discover</x:v>
      </x:c>
      <x:c r="F113" s="3" t="str">
        <x:v>Designed — chưa thực thi</x:v>
      </x:c>
      <x:c r="G113" s="3" t="str">
        <x:v>Nguồn: frontend/src/features/home/components/ResourcesConsultation.tsx; backend/src/modules/consultations/consultations.routes.ts.  Baseline: docs/ba/02-requirements/VGG_REQ-WORKBOOK_v0.1_2026-09-04.xlsx / Requirements; Cơ sở pháp lý/đồng ý xử lý dữ liệu cần xác nhận</x:v>
      </x:c>
    </x:row>
    <x:row r="114" ht="49" customHeight="1">
      <x:c r="A114" s="3" t="str">
        <x:v>CON-001</x:v>
      </x:c>
      <x:c r="B114" s="3" t="str">
        <x:v>CONSULT</x:v>
      </x:c>
      <x:c r="C114" s="3" t="str">
        <x:v>Hệ thống phải kiểm tra dữ liệu bắt buộc, chống bot cơ bản và ghi nhận yêu cầu tư vấn.</x:v>
      </x:c>
      <x:c r="D114" s="3" t="str">
        <x:v>TC_CONSULT_003</x:v>
      </x:c>
      <x:c r="E114" s="3" t="str">
        <x:v>Gửi tư vấn từ /vi/programmes</x:v>
      </x:c>
      <x:c r="F114" s="3" t="str">
        <x:v>Designed — chưa thực thi</x:v>
      </x:c>
      <x:c r="G114" s="3" t="str">
        <x:v>Nguồn: frontend/src/features/home/components/ResourcesConsultation.tsx; backend/src/modules/consultations/consultations.routes.ts.  Baseline: docs/ba/02-requirements/VGG_REQ-WORKBOOK_v0.1_2026-09-04.xlsx / Requirements; Cơ sở pháp lý/đồng ý xử lý dữ liệu cần xác nhận</x:v>
      </x:c>
    </x:row>
    <x:row r="115" ht="49" customHeight="1">
      <x:c r="A115" s="3" t="str">
        <x:v>CON-001</x:v>
      </x:c>
      <x:c r="B115" s="3" t="str">
        <x:v>CONSULT</x:v>
      </x:c>
      <x:c r="C115" s="3" t="str">
        <x:v>Hệ thống phải kiểm tra dữ liệu bắt buộc, chống bot cơ bản và ghi nhận yêu cầu tư vấn.</x:v>
      </x:c>
      <x:c r="D115" s="3" t="str">
        <x:v>TC_CONSULT_004</x:v>
      </x:c>
      <x:c r="E115" s="3" t="str">
        <x:v>Gửi tư vấn từ /vi/admissions</x:v>
      </x:c>
      <x:c r="F115" s="3" t="str">
        <x:v>Designed — chưa thực thi</x:v>
      </x:c>
      <x:c r="G115" s="3" t="str">
        <x:v>Nguồn: frontend/src/features/home/components/ResourcesConsultation.tsx; backend/src/modules/consultations/consultations.routes.ts.  Baseline: docs/ba/02-requirements/VGG_REQ-WORKBOOK_v0.1_2026-09-04.xlsx / Requirements; Cơ sở pháp lý/đồng ý xử lý dữ liệu cần xác nhận</x:v>
      </x:c>
    </x:row>
    <x:row r="116" ht="49" customHeight="1">
      <x:c r="A116" s="3" t="str">
        <x:v>CON-001</x:v>
      </x:c>
      <x:c r="B116" s="3" t="str">
        <x:v>CONSULT</x:v>
      </x:c>
      <x:c r="C116" s="3" t="str">
        <x:v>Hệ thống phải kiểm tra dữ liệu bắt buộc, chống bot cơ bản và ghi nhận yêu cầu tư vấn.</x:v>
      </x:c>
      <x:c r="D116" s="3" t="str">
        <x:v>TC_CONSULT_005</x:v>
      </x:c>
      <x:c r="E116" s="3" t="str">
        <x:v>Gửi tư vấn từ /vi/research</x:v>
      </x:c>
      <x:c r="F116" s="3" t="str">
        <x:v>Designed — chưa thực thi</x:v>
      </x:c>
      <x:c r="G116" s="3" t="str">
        <x:v>Nguồn: frontend/src/features/home/components/ResourcesConsultation.tsx; backend/src/modules/consultations/consultations.routes.ts.  Baseline: docs/ba/02-requirements/VGG_REQ-WORKBOOK_v0.1_2026-09-04.xlsx / Requirements; Cơ sở pháp lý/đồng ý xử lý dữ liệu cần xác nhận</x:v>
      </x:c>
    </x:row>
    <x:row r="117" ht="49" customHeight="1">
      <x:c r="A117" s="3" t="str">
        <x:v>CON-001</x:v>
      </x:c>
      <x:c r="B117" s="3" t="str">
        <x:v>CONSULT</x:v>
      </x:c>
      <x:c r="C117" s="3" t="str">
        <x:v>Hệ thống phải kiểm tra dữ liệu bắt buộc, chống bot cơ bản và ghi nhận yêu cầu tư vấn.</x:v>
      </x:c>
      <x:c r="D117" s="3" t="str">
        <x:v>TC_CONSULT_006</x:v>
      </x:c>
      <x:c r="E117" s="3" t="str">
        <x:v>Gửi tư vấn từ /vi/resources</x:v>
      </x:c>
      <x:c r="F117" s="3" t="str">
        <x:v>Designed — chưa thực thi</x:v>
      </x:c>
      <x:c r="G117" s="3" t="str">
        <x:v>Nguồn: frontend/src/features/home/components/ResourcesConsultation.tsx; backend/src/modules/consultations/consultations.routes.ts.  Baseline: docs/ba/02-requirements/VGG_REQ-WORKBOOK_v0.1_2026-09-04.xlsx / Requirements; Cơ sở pháp lý/đồng ý xử lý dữ liệu cần xác nhận</x:v>
      </x:c>
    </x:row>
    <x:row r="118" ht="36" customHeight="1">
      <x:c r="A118" s="3" t="str">
        <x:v>CON-001</x:v>
      </x:c>
      <x:c r="B118" s="3" t="str">
        <x:v>CONSULT</x:v>
      </x:c>
      <x:c r="C118" s="3" t="str">
        <x:v>Hệ thống phải kiểm tra dữ liệu bắt buộc, chống bot cơ bản và ghi nhận yêu cầu tư vấn.</x:v>
      </x:c>
      <x:c r="D118" s="3" t="str">
        <x:v>TC_CONSULT_007</x:v>
      </x:c>
      <x:c r="E118" s="3" t="str">
        <x:v>Bỏ trống name</x:v>
      </x:c>
      <x:c r="F118" s="3" t="str">
        <x:v>Designed — chưa thực thi</x:v>
      </x:c>
      <x:c r="G118" s="3" t="str">
        <x:v>Nguồn: frontend/src/features/home/components/ResourcesConsultation.tsx.  Baseline: docs/ba/02-requirements/VGG_REQ-WORKBOOK_v0.1_2026-09-04.xlsx / Requirements; Cơ sở pháp lý/đồng ý xử lý dữ liệu cần xác nhận</x:v>
      </x:c>
    </x:row>
    <x:row r="119" ht="36" customHeight="1">
      <x:c r="A119" s="3" t="str">
        <x:v>CON-001</x:v>
      </x:c>
      <x:c r="B119" s="3" t="str">
        <x:v>CONSULT</x:v>
      </x:c>
      <x:c r="C119" s="3" t="str">
        <x:v>Hệ thống phải kiểm tra dữ liệu bắt buộc, chống bot cơ bản và ghi nhận yêu cầu tư vấn.</x:v>
      </x:c>
      <x:c r="D119" s="3" t="str">
        <x:v>TC_CONSULT_008</x:v>
      </x:c>
      <x:c r="E119" s="3" t="str">
        <x:v>Bỏ trống phone</x:v>
      </x:c>
      <x:c r="F119" s="3" t="str">
        <x:v>Designed — chưa thực thi</x:v>
      </x:c>
      <x:c r="G119" s="3" t="str">
        <x:v>Nguồn: frontend/src/features/home/components/ResourcesConsultation.tsx.  Baseline: docs/ba/02-requirements/VGG_REQ-WORKBOOK_v0.1_2026-09-04.xlsx / Requirements; Cơ sở pháp lý/đồng ý xử lý dữ liệu cần xác nhận</x:v>
      </x:c>
    </x:row>
    <x:row r="120" ht="36" customHeight="1">
      <x:c r="A120" s="3" t="str">
        <x:v>CON-001</x:v>
      </x:c>
      <x:c r="B120" s="3" t="str">
        <x:v>CONSULT</x:v>
      </x:c>
      <x:c r="C120" s="3" t="str">
        <x:v>Hệ thống phải kiểm tra dữ liệu bắt buộc, chống bot cơ bản và ghi nhận yêu cầu tư vấn.</x:v>
      </x:c>
      <x:c r="D120" s="3" t="str">
        <x:v>TC_CONSULT_009</x:v>
      </x:c>
      <x:c r="E120" s="3" t="str">
        <x:v>Bỏ trống email</x:v>
      </x:c>
      <x:c r="F120" s="3" t="str">
        <x:v>Designed — chưa thực thi</x:v>
      </x:c>
      <x:c r="G120" s="3" t="str">
        <x:v>Nguồn: frontend/src/features/home/components/ResourcesConsultation.tsx.  Baseline: docs/ba/02-requirements/VGG_REQ-WORKBOOK_v0.1_2026-09-04.xlsx / Requirements; Cơ sở pháp lý/đồng ý xử lý dữ liệu cần xác nhận</x:v>
      </x:c>
    </x:row>
    <x:row r="121" ht="36" customHeight="1">
      <x:c r="A121" s="3" t="str">
        <x:v>CON-001</x:v>
      </x:c>
      <x:c r="B121" s="3" t="str">
        <x:v>CONSULT</x:v>
      </x:c>
      <x:c r="C121" s="3" t="str">
        <x:v>Hệ thống phải kiểm tra dữ liệu bắt buộc, chống bot cơ bản và ghi nhận yêu cầu tư vấn.</x:v>
      </x:c>
      <x:c r="D121" s="3" t="str">
        <x:v>TC_CONSULT_010</x:v>
      </x:c>
      <x:c r="E121" s="3" t="str">
        <x:v>Bỏ trống programme</x:v>
      </x:c>
      <x:c r="F121" s="3" t="str">
        <x:v>Designed — chưa thực thi</x:v>
      </x:c>
      <x:c r="G121" s="3" t="str">
        <x:v>Nguồn: frontend/src/features/home/components/ResourcesConsultation.tsx.  Baseline: docs/ba/02-requirements/VGG_REQ-WORKBOOK_v0.1_2026-09-04.xlsx / Requirements; Cơ sở pháp lý/đồng ý xử lý dữ liệu cần xác nhận</x:v>
      </x:c>
    </x:row>
    <x:row r="122" ht="49" customHeight="1">
      <x:c r="A122" s="3" t="str">
        <x:v>CON-001</x:v>
      </x:c>
      <x:c r="B122" s="3" t="str">
        <x:v>CONSULT</x:v>
      </x:c>
      <x:c r="C122" s="3" t="str">
        <x:v>Hệ thống phải kiểm tra dữ liệu bắt buộc, chống bot cơ bản và ghi nhận yêu cầu tư vấn.</x:v>
      </x:c>
      <x:c r="D122" s="3" t="str">
        <x:v>TC_CONSULT_011</x:v>
      </x:c>
      <x:c r="E122" s="3" t="str">
        <x:v>Honeypot có giá trị</x:v>
      </x:c>
      <x:c r="F122" s="3" t="str">
        <x:v>Designed — chưa thực thi</x:v>
      </x:c>
      <x:c r="G122" s="3" t="str">
        <x:v>Nguồn: backend/src/modules/consultations/consultations.routes.ts; admin/src/components/consultations/ConsultationManager.tsx.  Baseline: docs/ba/02-requirements/VGG_REQ-WORKBOOK_v0.1_2026-09-04.xlsx / Requirements; Cơ sở pháp lý/đồng ý xử lý dữ liệu cần xác nhận</x:v>
      </x:c>
    </x:row>
    <x:row r="123" ht="49" customHeight="1">
      <x:c r="A123" s="3" t="str">
        <x:v>CON-001</x:v>
      </x:c>
      <x:c r="B123" s="3" t="str">
        <x:v>CONSULT</x:v>
      </x:c>
      <x:c r="C123" s="3" t="str">
        <x:v>Hệ thống phải kiểm tra dữ liệu bắt buộc, chống bot cơ bản và ghi nhận yêu cầu tư vấn.</x:v>
      </x:c>
      <x:c r="D123" s="3" t="str">
        <x:v>TC_CONSULT_012</x:v>
      </x:c>
      <x:c r="E123" s="3" t="str">
        <x:v>Consent false</x:v>
      </x:c>
      <x:c r="F123" s="3" t="str">
        <x:v>Designed — chưa thực thi</x:v>
      </x:c>
      <x:c r="G123" s="3" t="str">
        <x:v>Nguồn: backend/src/modules/consultations/consultations.routes.ts; admin/src/components/consultations/ConsultationManager.tsx.  Baseline: docs/ba/02-requirements/VGG_REQ-WORKBOOK_v0.1_2026-09-04.xlsx / Requirements; Cơ sở pháp lý/đồng ý xử lý dữ liệu cần xác nhận</x:v>
      </x:c>
    </x:row>
    <x:row r="124" ht="49" customHeight="1">
      <x:c r="A124" s="3" t="str">
        <x:v>CON-003</x:v>
      </x:c>
      <x:c r="B124" s="3" t="str">
        <x:v>CONSULT</x:v>
      </x:c>
      <x:c r="C124" s="3" t="str">
        <x:v>Người có consultations.update phải chuyển trạng thái hợp lệ và ghi lịch sử.</x:v>
      </x:c>
      <x:c r="D124" s="3" t="str">
        <x:v>TC_CONSULT_013</x:v>
      </x:c>
      <x:c r="E124" s="3" t="str">
        <x:v>Email không hợp lệ</x:v>
      </x:c>
      <x:c r="F124" s="3" t="str">
        <x:v>Designed — chưa thực thi</x:v>
      </x:c>
      <x:c r="G124" s="3" t="str">
        <x:v>Nguồn: backend/src/modules/consultations/consultations.routes.ts; admin/src/components/consultations/ConsultationManager.tsx.  Baseline: docs/ba/02-requirements/VGG_REQ-WORKBOOK_v0.1_2026-09-04.xlsx / Requirements; Ma trận chuyển trạng thái cần xác nhận</x:v>
      </x:c>
    </x:row>
    <x:row r="125" ht="49" customHeight="1">
      <x:c r="A125" s="3" t="str">
        <x:v>CON-001</x:v>
      </x:c>
      <x:c r="B125" s="3" t="str">
        <x:v>CONSULT</x:v>
      </x:c>
      <x:c r="C125" s="3" t="str">
        <x:v>Hệ thống phải kiểm tra dữ liệu bắt buộc, chống bot cơ bản và ghi nhận yêu cầu tư vấn.</x:v>
      </x:c>
      <x:c r="D125" s="3" t="str">
        <x:v>TC_CONSULT_014</x:v>
      </x:c>
      <x:c r="E125" s="3" t="str">
        <x:v>Mạng ngắt giữ form</x:v>
      </x:c>
      <x:c r="F125" s="3" t="str">
        <x:v>Designed — chưa thực thi</x:v>
      </x:c>
      <x:c r="G125" s="3" t="str">
        <x:v>Nguồn: backend/src/modules/consultations/consultations.routes.ts; admin/src/components/consultations/ConsultationManager.tsx.  Baseline: docs/ba/02-requirements/VGG_REQ-WORKBOOK_v0.1_2026-09-04.xlsx / Requirements; Cơ sở pháp lý/đồng ý xử lý dữ liệu cần xác nhận</x:v>
      </x:c>
    </x:row>
    <x:row r="126" ht="49" customHeight="1">
      <x:c r="A126" s="3" t="str">
        <x:v>CON-003</x:v>
      </x:c>
      <x:c r="B126" s="3" t="str">
        <x:v>CONSULT</x:v>
      </x:c>
      <x:c r="C126" s="3" t="str">
        <x:v>Người có consultations.update phải chuyển trạng thái hợp lệ và ghi lịch sử.</x:v>
      </x:c>
      <x:c r="D126" s="3" t="str">
        <x:v>TC_CONSULT_015</x:v>
      </x:c>
      <x:c r="E126" s="3" t="str">
        <x:v>Thử lại sau lỗi</x:v>
      </x:c>
      <x:c r="F126" s="3" t="str">
        <x:v>Designed — chưa thực thi</x:v>
      </x:c>
      <x:c r="G126" s="3" t="str">
        <x:v>Nguồn: backend/src/modules/consultations/consultations.routes.ts; admin/src/components/consultations/ConsultationManager.tsx.  Baseline: docs/ba/02-requirements/VGG_REQ-WORKBOOK_v0.1_2026-09-04.xlsx / Requirements; Ma trận chuyển trạng thái cần xác nhận</x:v>
      </x:c>
    </x:row>
    <x:row r="127" ht="49" customHeight="1">
      <x:c r="A127" s="3" t="str">
        <x:v>CON-001</x:v>
      </x:c>
      <x:c r="B127" s="3" t="str">
        <x:v>CONSULT</x:v>
      </x:c>
      <x:c r="C127" s="3" t="str">
        <x:v>Hệ thống phải kiểm tra dữ liệu bắt buộc, chống bot cơ bản và ghi nhận yêu cầu tư vấn.</x:v>
      </x:c>
      <x:c r="D127" s="3" t="str">
        <x:v>TC_CONSULT_016</x:v>
      </x:c>
      <x:c r="E127" s="3" t="str">
        <x:v>Nhấn gửi liên tục</x:v>
      </x:c>
      <x:c r="F127" s="3" t="str">
        <x:v>Designed — chưa thực thi</x:v>
      </x:c>
      <x:c r="G127" s="3" t="str">
        <x:v>Nguồn: backend/src/modules/consultations/consultations.routes.ts; admin/src/components/consultations/ConsultationManager.tsx.  Baseline: docs/ba/02-requirements/VGG_REQ-WORKBOOK_v0.1_2026-09-04.xlsx / Requirements; Cơ sở pháp lý/đồng ý xử lý dữ liệu cần xác nhận</x:v>
      </x:c>
    </x:row>
    <x:row r="128" ht="49" customHeight="1">
      <x:c r="A128" s="3" t="str">
        <x:v>CON-003</x:v>
      </x:c>
      <x:c r="B128" s="3" t="str">
        <x:v>CONSULT</x:v>
      </x:c>
      <x:c r="C128" s="3" t="str">
        <x:v>Người có consultations.update phải chuyển trạng thái hợp lệ và ghi lịch sử.</x:v>
      </x:c>
      <x:c r="D128" s="3" t="str">
        <x:v>TC_CONSULT_017</x:v>
      </x:c>
      <x:c r="E128" s="3" t="str">
        <x:v>Danh sách tư vấn mới nhất</x:v>
      </x:c>
      <x:c r="F128" s="3" t="str">
        <x:v>Designed — chưa thực thi</x:v>
      </x:c>
      <x:c r="G128" s="3" t="str">
        <x:v>Nguồn: backend/src/modules/consultations/consultations.routes.ts; admin/src/components/consultations/ConsultationManager.tsx.  Baseline: docs/ba/02-requirements/VGG_REQ-WORKBOOK_v0.1_2026-09-04.xlsx / Requirements; Ma trận chuyển trạng thái cần xác nhận</x:v>
      </x:c>
    </x:row>
    <x:row r="129" ht="49" customHeight="1">
      <x:c r="A129" s="3" t="str">
        <x:v>CON-003</x:v>
      </x:c>
      <x:c r="B129" s="3" t="str">
        <x:v>CONSULT</x:v>
      </x:c>
      <x:c r="C129" s="3" t="str">
        <x:v>Người có consultations.update phải chuyển trạng thái hợp lệ và ghi lịch sử.</x:v>
      </x:c>
      <x:c r="D129" s="3" t="str">
        <x:v>TC_CONSULT_018</x:v>
      </x:c>
      <x:c r="E129" s="3" t="str">
        <x:v>Polling tư vấn</x:v>
      </x:c>
      <x:c r="F129" s="3" t="str">
        <x:v>Designed — chưa thực thi</x:v>
      </x:c>
      <x:c r="G129" s="3" t="str">
        <x:v>Nguồn: backend/src/modules/consultations/consultations.routes.ts; admin/src/components/consultations/ConsultationManager.tsx.  Baseline: docs/ba/02-requirements/VGG_REQ-WORKBOOK_v0.1_2026-09-04.xlsx / Requirements; Ma trận chuyển trạng thái cần xác nhận</x:v>
      </x:c>
    </x:row>
    <x:row r="130" ht="49" customHeight="1">
      <x:c r="A130" s="3" t="str">
        <x:v>CON-003</x:v>
      </x:c>
      <x:c r="B130" s="3" t="str">
        <x:v>CONSULT</x:v>
      </x:c>
      <x:c r="C130" s="3" t="str">
        <x:v>Người có consultations.update phải chuyển trạng thái hợp lệ và ghi lịch sử.</x:v>
      </x:c>
      <x:c r="D130" s="3" t="str">
        <x:v>TC_CONSULT_019</x:v>
      </x:c>
      <x:c r="E130" s="3" t="str">
        <x:v>Rollback optimistic khi PATCH lỗi</x:v>
      </x:c>
      <x:c r="F130" s="3" t="str">
        <x:v>Designed — chưa thực thi</x:v>
      </x:c>
      <x:c r="G130" s="3" t="str">
        <x:v>Nguồn: backend/src/modules/consultations/consultations.routes.ts; admin/src/components/consultations/ConsultationManager.tsx.  Baseline: docs/ba/02-requirements/VGG_REQ-WORKBOOK_v0.1_2026-09-04.xlsx / Requirements; Ma trận chuyển trạng thái cần xác nhận</x:v>
      </x:c>
    </x:row>
    <x:row r="131" ht="49" customHeight="1">
      <x:c r="A131" s="3" t="str">
        <x:v>CON-003</x:v>
      </x:c>
      <x:c r="B131" s="3" t="str">
        <x:v>CONSULT</x:v>
      </x:c>
      <x:c r="C131" s="3" t="str">
        <x:v>Người có consultations.update phải chuyển trạng thái hợp lệ và ghi lịch sử.</x:v>
      </x:c>
      <x:c r="D131" s="3" t="str">
        <x:v>TC_CONSULT_020</x:v>
      </x:c>
      <x:c r="E131" s="3" t="str">
        <x:v>Polling lỗi giữ dữ liệu</x:v>
      </x:c>
      <x:c r="F131" s="3" t="str">
        <x:v>Designed — chưa thực thi</x:v>
      </x:c>
      <x:c r="G131" s="3" t="str">
        <x:v>Nguồn: backend/src/modules/consultations/consultations.routes.ts; admin/src/components/consultations/ConsultationManager.tsx.  Baseline: docs/ba/02-requirements/VGG_REQ-WORKBOOK_v0.1_2026-09-04.xlsx / Requirements; Ma trận chuyển trạng thái cần xác nhận</x:v>
      </x:c>
    </x:row>
    <x:row r="132" ht="49" customHeight="1">
      <x:c r="A132" s="3" t="str">
        <x:v>CON-003</x:v>
      </x:c>
      <x:c r="B132" s="3" t="str">
        <x:v>CONSULT</x:v>
      </x:c>
      <x:c r="C132" s="3" t="str">
        <x:v>Người có consultations.update phải chuyển trạng thái hợp lệ và ghi lịch sử.</x:v>
      </x:c>
      <x:c r="D132" s="3" t="str">
        <x:v>TC_CONSULT_021</x:v>
      </x:c>
      <x:c r="E132" s="3" t="str">
        <x:v>Trạng thái sai enum</x:v>
      </x:c>
      <x:c r="F132" s="3" t="str">
        <x:v>Designed — chưa thực thi</x:v>
      </x:c>
      <x:c r="G132" s="3" t="str">
        <x:v>Nguồn: backend/src/modules/consultations/consultations.routes.ts; admin/src/components/consultations/ConsultationManager.tsx.  Baseline: docs/ba/02-requirements/VGG_REQ-WORKBOOK_v0.1_2026-09-04.xlsx / Requirements; Ma trận chuyển trạng thái cần xác nhận</x:v>
      </x:c>
    </x:row>
    <x:row r="133" ht="49" customHeight="1">
      <x:c r="A133" s="3" t="str">
        <x:v>CON-003</x:v>
      </x:c>
      <x:c r="B133" s="3" t="str">
        <x:v>CONSULT</x:v>
      </x:c>
      <x:c r="C133" s="3" t="str">
        <x:v>Người có consultations.update phải chuyển trạng thái hợp lệ và ghi lịch sử.</x:v>
      </x:c>
      <x:c r="D133" s="3" t="str">
        <x:v>TC_CONSULT_022</x:v>
      </x:c>
      <x:c r="E133" s="3" t="str">
        <x:v>ID lead không tồn tại</x:v>
      </x:c>
      <x:c r="F133" s="3" t="str">
        <x:v>Designed — chưa thực thi</x:v>
      </x:c>
      <x:c r="G133" s="3" t="str">
        <x:v>Nguồn: backend/src/modules/consultations/consultations.routes.ts; admin/src/components/consultations/ConsultationManager.tsx.  Baseline: docs/ba/02-requirements/VGG_REQ-WORKBOOK_v0.1_2026-09-04.xlsx / Requirements; Ma trận chuyển trạng thái cần xác nhận</x:v>
      </x:c>
    </x:row>
    <x:row r="134" ht="36" customHeight="1">
      <x:c r="A134" s="3" t="str">
        <x:v>CON-003</x:v>
      </x:c>
      <x:c r="B134" s="3" t="str">
        <x:v>CONSULT</x:v>
      </x:c>
      <x:c r="C134" s="3" t="str">
        <x:v>Người có consultations.update phải chuyển trạng thái hợp lệ và ghi lịch sử.</x:v>
      </x:c>
      <x:c r="D134" s="3" t="str">
        <x:v>TC_CONSULT_023</x:v>
      </x:c>
      <x:c r="E134" s="3" t="str">
        <x:v>NEW → NEW</x:v>
      </x:c>
      <x:c r="F134" s="3" t="str">
        <x:v>Designed — chưa thực thi</x:v>
      </x:c>
      <x:c r="G134" s="3" t="str">
        <x:v>Nguồn: backend/src/modules/consultations/consultations.routes.ts.  Baseline: docs/ba/02-requirements/VGG_REQ-WORKBOOK_v0.1_2026-09-04.xlsx / Requirements; Ma trận chuyển trạng thái cần xác nhận</x:v>
      </x:c>
    </x:row>
    <x:row r="135" ht="36" customHeight="1">
      <x:c r="A135" s="3" t="str">
        <x:v>CON-003</x:v>
      </x:c>
      <x:c r="B135" s="3" t="str">
        <x:v>CONSULT</x:v>
      </x:c>
      <x:c r="C135" s="3" t="str">
        <x:v>Người có consultations.update phải chuyển trạng thái hợp lệ và ghi lịch sử.</x:v>
      </x:c>
      <x:c r="D135" s="3" t="str">
        <x:v>TC_CONSULT_024</x:v>
      </x:c>
      <x:c r="E135" s="3" t="str">
        <x:v>NEW → CONTACTING</x:v>
      </x:c>
      <x:c r="F135" s="3" t="str">
        <x:v>Designed — chưa thực thi</x:v>
      </x:c>
      <x:c r="G135" s="3" t="str">
        <x:v>Nguồn: backend/src/modules/consultations/consultations.routes.ts.  Baseline: docs/ba/02-requirements/VGG_REQ-WORKBOOK_v0.1_2026-09-04.xlsx / Requirements; Ma trận chuyển trạng thái cần xác nhận</x:v>
      </x:c>
    </x:row>
    <x:row r="136" ht="36" customHeight="1">
      <x:c r="A136" s="3" t="str">
        <x:v>CON-003</x:v>
      </x:c>
      <x:c r="B136" s="3" t="str">
        <x:v>CONSULT</x:v>
      </x:c>
      <x:c r="C136" s="3" t="str">
        <x:v>Người có consultations.update phải chuyển trạng thái hợp lệ và ghi lịch sử.</x:v>
      </x:c>
      <x:c r="D136" s="3" t="str">
        <x:v>TC_CONSULT_025</x:v>
      </x:c>
      <x:c r="E136" s="3" t="str">
        <x:v>NEW → COMPLETED</x:v>
      </x:c>
      <x:c r="F136" s="3" t="str">
        <x:v>Designed — chưa thực thi</x:v>
      </x:c>
      <x:c r="G136" s="3" t="str">
        <x:v>Nguồn: backend/src/modules/consultations/consultations.routes.ts.  Baseline: docs/ba/02-requirements/VGG_REQ-WORKBOOK_v0.1_2026-09-04.xlsx / Requirements; Ma trận chuyển trạng thái cần xác nhận</x:v>
      </x:c>
    </x:row>
    <x:row r="137" ht="36" customHeight="1">
      <x:c r="A137" s="3" t="str">
        <x:v>CON-003</x:v>
      </x:c>
      <x:c r="B137" s="3" t="str">
        <x:v>CONSULT</x:v>
      </x:c>
      <x:c r="C137" s="3" t="str">
        <x:v>Người có consultations.update phải chuyển trạng thái hợp lệ và ghi lịch sử.</x:v>
      </x:c>
      <x:c r="D137" s="3" t="str">
        <x:v>TC_CONSULT_026</x:v>
      </x:c>
      <x:c r="E137" s="3" t="str">
        <x:v>CONTACTING → NEW</x:v>
      </x:c>
      <x:c r="F137" s="3" t="str">
        <x:v>Designed — chưa thực thi</x:v>
      </x:c>
      <x:c r="G137" s="3" t="str">
        <x:v>Nguồn: backend/src/modules/consultations/consultations.routes.ts.  Baseline: docs/ba/02-requirements/VGG_REQ-WORKBOOK_v0.1_2026-09-04.xlsx / Requirements; Ma trận chuyển trạng thái cần xác nhận</x:v>
      </x:c>
    </x:row>
    <x:row r="138" ht="36" customHeight="1">
      <x:c r="A138" s="3" t="str">
        <x:v>CON-003</x:v>
      </x:c>
      <x:c r="B138" s="3" t="str">
        <x:v>CONSULT</x:v>
      </x:c>
      <x:c r="C138" s="3" t="str">
        <x:v>Người có consultations.update phải chuyển trạng thái hợp lệ và ghi lịch sử.</x:v>
      </x:c>
      <x:c r="D138" s="3" t="str">
        <x:v>TC_CONSULT_027</x:v>
      </x:c>
      <x:c r="E138" s="3" t="str">
        <x:v>CONTACTING → CONTACTING</x:v>
      </x:c>
      <x:c r="F138" s="3" t="str">
        <x:v>Designed — chưa thực thi</x:v>
      </x:c>
      <x:c r="G138" s="3" t="str">
        <x:v>Nguồn: backend/src/modules/consultations/consultations.routes.ts.  Baseline: docs/ba/02-requirements/VGG_REQ-WORKBOOK_v0.1_2026-09-04.xlsx / Requirements; Ma trận chuyển trạng thái cần xác nhận</x:v>
      </x:c>
    </x:row>
    <x:row r="139" ht="36" customHeight="1">
      <x:c r="A139" s="3" t="str">
        <x:v>CON-003</x:v>
      </x:c>
      <x:c r="B139" s="3" t="str">
        <x:v>CONSULT</x:v>
      </x:c>
      <x:c r="C139" s="3" t="str">
        <x:v>Người có consultations.update phải chuyển trạng thái hợp lệ và ghi lịch sử.</x:v>
      </x:c>
      <x:c r="D139" s="3" t="str">
        <x:v>TC_CONSULT_028</x:v>
      </x:c>
      <x:c r="E139" s="3" t="str">
        <x:v>CONTACTING → COMPLETED</x:v>
      </x:c>
      <x:c r="F139" s="3" t="str">
        <x:v>Designed — chưa thực thi</x:v>
      </x:c>
      <x:c r="G139" s="3" t="str">
        <x:v>Nguồn: backend/src/modules/consultations/consultations.routes.ts.  Baseline: docs/ba/02-requirements/VGG_REQ-WORKBOOK_v0.1_2026-09-04.xlsx / Requirements; Ma trận chuyển trạng thái cần xác nhận</x:v>
      </x:c>
    </x:row>
    <x:row r="140" ht="36" customHeight="1">
      <x:c r="A140" s="3" t="str">
        <x:v>CON-003</x:v>
      </x:c>
      <x:c r="B140" s="3" t="str">
        <x:v>CONSULT</x:v>
      </x:c>
      <x:c r="C140" s="3" t="str">
        <x:v>Người có consultations.update phải chuyển trạng thái hợp lệ và ghi lịch sử.</x:v>
      </x:c>
      <x:c r="D140" s="3" t="str">
        <x:v>TC_CONSULT_029</x:v>
      </x:c>
      <x:c r="E140" s="3" t="str">
        <x:v>COMPLETED → NEW</x:v>
      </x:c>
      <x:c r="F140" s="3" t="str">
        <x:v>Designed — chưa thực thi</x:v>
      </x:c>
      <x:c r="G140" s="3" t="str">
        <x:v>Nguồn: backend/src/modules/consultations/consultations.routes.ts.  Baseline: docs/ba/02-requirements/VGG_REQ-WORKBOOK_v0.1_2026-09-04.xlsx / Requirements; Ma trận chuyển trạng thái cần xác nhận</x:v>
      </x:c>
    </x:row>
    <x:row r="141" ht="36" customHeight="1">
      <x:c r="A141" s="3" t="str">
        <x:v>CON-003</x:v>
      </x:c>
      <x:c r="B141" s="3" t="str">
        <x:v>CONSULT</x:v>
      </x:c>
      <x:c r="C141" s="3" t="str">
        <x:v>Người có consultations.update phải chuyển trạng thái hợp lệ và ghi lịch sử.</x:v>
      </x:c>
      <x:c r="D141" s="3" t="str">
        <x:v>TC_CONSULT_030</x:v>
      </x:c>
      <x:c r="E141" s="3" t="str">
        <x:v>COMPLETED → CONTACTING</x:v>
      </x:c>
      <x:c r="F141" s="3" t="str">
        <x:v>Designed — chưa thực thi</x:v>
      </x:c>
      <x:c r="G141" s="3" t="str">
        <x:v>Nguồn: backend/src/modules/consultations/consultations.routes.ts.  Baseline: docs/ba/02-requirements/VGG_REQ-WORKBOOK_v0.1_2026-09-04.xlsx / Requirements; Ma trận chuyển trạng thái cần xác nhận</x:v>
      </x:c>
    </x:row>
    <x:row r="142" ht="36" customHeight="1">
      <x:c r="A142" s="3" t="str">
        <x:v>CON-003</x:v>
      </x:c>
      <x:c r="B142" s="3" t="str">
        <x:v>CONSULT</x:v>
      </x:c>
      <x:c r="C142" s="3" t="str">
        <x:v>Người có consultations.update phải chuyển trạng thái hợp lệ và ghi lịch sử.</x:v>
      </x:c>
      <x:c r="D142" s="3" t="str">
        <x:v>TC_CONSULT_031</x:v>
      </x:c>
      <x:c r="E142" s="3" t="str">
        <x:v>COMPLETED → COMPLETED</x:v>
      </x:c>
      <x:c r="F142" s="3" t="str">
        <x:v>Designed — chưa thực thi</x:v>
      </x:c>
      <x:c r="G142" s="3" t="str">
        <x:v>Nguồn: backend/src/modules/consultations/consultations.routes.ts.  Baseline: docs/ba/02-requirements/VGG_REQ-WORKBOOK_v0.1_2026-09-04.xlsx / Requirements; Ma trận chuyển trạng thái cần xác nhận</x:v>
      </x:c>
    </x:row>
    <x:row r="143" ht="49" customHeight="1">
      <x:c r="A143" s="3" t="str">
        <x:v>CON-003</x:v>
      </x:c>
      <x:c r="B143" s="3" t="str">
        <x:v>CONSULT</x:v>
      </x:c>
      <x:c r="C143" s="3" t="str">
        <x:v>Người có consultations.update phải chuyển trạng thái hợp lệ và ghi lịch sử.</x:v>
      </x:c>
      <x:c r="D143" s="3" t="str">
        <x:v>TC_CONSULT_032</x:v>
      </x:c>
      <x:c r="E143" s="3" t="str">
        <x:v>RECEIVED trên UI</x:v>
      </x:c>
      <x:c r="F143" s="3" t="str">
        <x:v>Partial — Need Confirmation</x:v>
      </x:c>
      <x:c r="G143" s="3" t="str">
        <x:v>Nguồn: admin/src/components/consultations/ConsultationManager.tsx. Need Confirmation: Có chấp nhận ánh xạ RECEIVED thành CONTACTING không? Baseline: docs/ba/02-requirements/VGG_REQ-WORKBOOK_v0.1_2026-09-04.xlsx / Requirements; Ma trận chuyển trạng thái cần xác nhận</x:v>
      </x:c>
    </x:row>
    <x:row r="144" ht="49" customHeight="1">
      <x:c r="A144" s="3" t="str">
        <x:v>CON-003</x:v>
      </x:c>
      <x:c r="B144" s="3" t="str">
        <x:v>CONSULT</x:v>
      </x:c>
      <x:c r="C144" s="3" t="str">
        <x:v>Người có consultations.update phải chuyển trạng thái hợp lệ và ghi lịch sử.</x:v>
      </x:c>
      <x:c r="D144" s="3" t="str">
        <x:v>TC_CONSULT_033</x:v>
      </x:c>
      <x:c r="E144" s="3" t="str">
        <x:v>CONSULTED trên UI</x:v>
      </x:c>
      <x:c r="F144" s="3" t="str">
        <x:v>Partial — Need Confirmation</x:v>
      </x:c>
      <x:c r="G144" s="3" t="str">
        <x:v>Nguồn: admin/src/components/consultations/ConsultationManager.tsx. Need Confirmation: Có chấp nhận ánh xạ CONSULTED thành COMPLETED không? Baseline: docs/ba/02-requirements/VGG_REQ-WORKBOOK_v0.1_2026-09-04.xlsx / Requirements; Ma trận chuyển trạng thái cần xác nhận</x:v>
      </x:c>
    </x:row>
    <x:row r="145" ht="49" customHeight="1">
      <x:c r="A145" s="3" t="str">
        <x:v>CON-003</x:v>
      </x:c>
      <x:c r="B145" s="3" t="str">
        <x:v>CONSULT</x:v>
      </x:c>
      <x:c r="C145" s="3" t="str">
        <x:v>Người có consultations.update phải chuyển trạng thái hợp lệ và ghi lịch sử.</x:v>
      </x:c>
      <x:c r="D145" s="3" t="str">
        <x:v>TC_CONSULT_034</x:v>
      </x:c>
      <x:c r="E145" s="3" t="str">
        <x:v>UNREACHABLE trên UI</x:v>
      </x:c>
      <x:c r="F145" s="3" t="str">
        <x:v>Partial — Need Confirmation</x:v>
      </x:c>
      <x:c r="G145" s="3" t="str">
        <x:v>Nguồn: admin/src/components/consultations/ConsultationManager.tsx. Need Confirmation: Có chấp nhận ánh xạ UNREACHABLE thành NEW không? Baseline: docs/ba/02-requirements/VGG_REQ-WORKBOOK_v0.1_2026-09-04.xlsx / Requirements; Ma trận chuyển trạng thái cần xác nhận</x:v>
      </x:c>
    </x:row>
    <x:row r="146" ht="49" customHeight="1">
      <x:c r="A146" s="3" t="str">
        <x:v>CON-003</x:v>
      </x:c>
      <x:c r="B146" s="3" t="str">
        <x:v>CONSULT</x:v>
      </x:c>
      <x:c r="C146" s="3" t="str">
        <x:v>Người có consultations.update phải chuyển trạng thái hợp lệ và ghi lịch sử.</x:v>
      </x:c>
      <x:c r="D146" s="3" t="str">
        <x:v>TC_CONSULT_035</x:v>
      </x:c>
      <x:c r="E146" s="3" t="str">
        <x:v>CANCELLED trên UI</x:v>
      </x:c>
      <x:c r="F146" s="3" t="str">
        <x:v>Partial — Need Confirmation</x:v>
      </x:c>
      <x:c r="G146" s="3" t="str">
        <x:v>Nguồn: admin/src/components/consultations/ConsultationManager.tsx. Need Confirmation: Có chấp nhận ánh xạ CANCELLED thành NEW không? Baseline: docs/ba/02-requirements/VGG_REQ-WORKBOOK_v0.1_2026-09-04.xlsx / Requirements; Ma trận chuyển trạng thái cần xác nhận</x:v>
      </x:c>
    </x:row>
    <x:row r="147" ht="36" customHeight="1">
      <x:c r="A147" s="3" t="str">
        <x:v>PUB-001</x:v>
      </x:c>
      <x:c r="B147" s="3" t="str">
        <x:v>PUBLIC</x:v>
      </x:c>
      <x:c r="C147" s="3" t="str">
        <x:v>Hệ thống phải cung cấp tuyến /vi và /en và duy trì locale khi điều hướng.</x:v>
      </x:c>
      <x:c r="D147" s="3" t="str">
        <x:v>TC_PUBLIC_001</x:v>
      </x:c>
      <x:c r="E147" s="3" t="str">
        <x:v>Mở /discover/gioi-thieu</x:v>
      </x:c>
      <x:c r="F147" s="3" t="str">
        <x:v>Designed — chưa thực thi</x:v>
      </x:c>
      <x:c r="G147" s="3" t="str">
        <x:v>Nguồn: frontend/src/app/(public)/discover/[slug]/page.tsx.  Baseline: docs/ba/02-requirements/VGG_REQ-WORKBOOK_v0.1_2026-09-04.xlsx / Requirements; Phạm vi dịch thuật đầy đủ cần xác nhận</x:v>
      </x:c>
    </x:row>
    <x:row r="148" ht="36" customHeight="1">
      <x:c r="A148" s="3" t="str">
        <x:v>PUB-001</x:v>
      </x:c>
      <x:c r="B148" s="3" t="str">
        <x:v>PUBLIC</x:v>
      </x:c>
      <x:c r="C148" s="3" t="str">
        <x:v>Hệ thống phải cung cấp tuyến /vi và /en và duy trì locale khi điều hướng.</x:v>
      </x:c>
      <x:c r="D148" s="3" t="str">
        <x:v>TC_PUBLIC_002</x:v>
      </x:c>
      <x:c r="E148" s="3" t="str">
        <x:v>Mở /discover/tam-nhin-su-menh</x:v>
      </x:c>
      <x:c r="F148" s="3" t="str">
        <x:v>Designed — chưa thực thi</x:v>
      </x:c>
      <x:c r="G148" s="3" t="str">
        <x:v>Nguồn: frontend/src/app/(public)/discover/[slug]/page.tsx.  Baseline: docs/ba/02-requirements/VGG_REQ-WORKBOOK_v0.1_2026-09-04.xlsx / Requirements; Phạm vi dịch thuật đầy đủ cần xác nhận</x:v>
      </x:c>
    </x:row>
    <x:row r="149" ht="36" customHeight="1">
      <x:c r="A149" s="3" t="str">
        <x:v>PUB-001</x:v>
      </x:c>
      <x:c r="B149" s="3" t="str">
        <x:v>PUBLIC</x:v>
      </x:c>
      <x:c r="C149" s="3" t="str">
        <x:v>Hệ thống phải cung cấp tuyến /vi và /en và duy trì locale khi điều hướng.</x:v>
      </x:c>
      <x:c r="D149" s="3" t="str">
        <x:v>TC_PUBLIC_003</x:v>
      </x:c>
      <x:c r="E149" s="3" t="str">
        <x:v>Mở /discover/lanh-dao</x:v>
      </x:c>
      <x:c r="F149" s="3" t="str">
        <x:v>Designed — chưa thực thi</x:v>
      </x:c>
      <x:c r="G149" s="3" t="str">
        <x:v>Nguồn: frontend/src/app/(public)/discover/[slug]/page.tsx.  Baseline: docs/ba/02-requirements/VGG_REQ-WORKBOOK_v0.1_2026-09-04.xlsx / Requirements; Phạm vi dịch thuật đầy đủ cần xác nhận</x:v>
      </x:c>
    </x:row>
    <x:row r="150" ht="36" customHeight="1">
      <x:c r="A150" s="3" t="str">
        <x:v>PUB-001</x:v>
      </x:c>
      <x:c r="B150" s="3" t="str">
        <x:v>PUBLIC</x:v>
      </x:c>
      <x:c r="C150" s="3" t="str">
        <x:v>Hệ thống phải cung cấp tuyến /vi và /en và duy trì locale khi điều hướng.</x:v>
      </x:c>
      <x:c r="D150" s="3" t="str">
        <x:v>TC_PUBLIC_004</x:v>
      </x:c>
      <x:c r="E150" s="3" t="str">
        <x:v>Mở /discover/xep-hang-thanh-tuu</x:v>
      </x:c>
      <x:c r="F150" s="3" t="str">
        <x:v>Designed — chưa thực thi</x:v>
      </x:c>
      <x:c r="G150" s="3" t="str">
        <x:v>Nguồn: frontend/src/app/(public)/discover/[slug]/page.tsx.  Baseline: docs/ba/02-requirements/VGG_REQ-WORKBOOK_v0.1_2026-09-04.xlsx / Requirements; Phạm vi dịch thuật đầy đủ cần xác nhận</x:v>
      </x:c>
    </x:row>
    <x:row r="151" ht="36" customHeight="1">
      <x:c r="A151" s="3" t="str">
        <x:v>PUB-001</x:v>
      </x:c>
      <x:c r="B151" s="3" t="str">
        <x:v>PUBLIC</x:v>
      </x:c>
      <x:c r="C151" s="3" t="str">
        <x:v>Hệ thống phải cung cấp tuyến /vi và /en và duy trì locale khi điều hướng.</x:v>
      </x:c>
      <x:c r="D151" s="3" t="str">
        <x:v>TC_PUBLIC_005</x:v>
      </x:c>
      <x:c r="E151" s="3" t="str">
        <x:v>Mở /discover/lien-he</x:v>
      </x:c>
      <x:c r="F151" s="3" t="str">
        <x:v>Designed — chưa thực thi</x:v>
      </x:c>
      <x:c r="G151" s="3" t="str">
        <x:v>Nguồn: frontend/src/app/(public)/discover/[slug]/page.tsx.  Baseline: docs/ba/02-requirements/VGG_REQ-WORKBOOK_v0.1_2026-09-04.xlsx / Requirements; Phạm vi dịch thuật đầy đủ cần xác nhận</x:v>
      </x:c>
    </x:row>
    <x:row r="152" ht="36" customHeight="1">
      <x:c r="A152" s="3" t="str">
        <x:v>PUB-001</x:v>
      </x:c>
      <x:c r="B152" s="3" t="str">
        <x:v>PUBLIC</x:v>
      </x:c>
      <x:c r="C152" s="3" t="str">
        <x:v>Hệ thống phải cung cấp tuyến /vi và /en và duy trì locale khi điều hướng.</x:v>
      </x:c>
      <x:c r="D152" s="3" t="str">
        <x:v>TC_PUBLIC_006</x:v>
      </x:c>
      <x:c r="E152" s="3" t="str">
        <x:v>Mở /programmes/flagship</x:v>
      </x:c>
      <x:c r="F152" s="3" t="str">
        <x:v>Designed — chưa thực thi</x:v>
      </x:c>
      <x:c r="G152" s="3" t="str">
        <x:v>Nguồn: frontend/src/app/(public)/programmes/[slug]/page.tsx.  Baseline: docs/ba/02-requirements/VGG_REQ-WORKBOOK_v0.1_2026-09-04.xlsx / Requirements; Phạm vi dịch thuật đầy đủ cần xác nhận</x:v>
      </x:c>
    </x:row>
    <x:row r="153" ht="36" customHeight="1">
      <x:c r="A153" s="3" t="str">
        <x:v>PUB-001</x:v>
      </x:c>
      <x:c r="B153" s="3" t="str">
        <x:v>PUBLIC</x:v>
      </x:c>
      <x:c r="C153" s="3" t="str">
        <x:v>Hệ thống phải cung cấp tuyến /vi và /en và duy trì locale khi điều hướng.</x:v>
      </x:c>
      <x:c r="D153" s="3" t="str">
        <x:v>TC_PUBLIC_007</x:v>
      </x:c>
      <x:c r="E153" s="3" t="str">
        <x:v>Mở /programmes/thac-si</x:v>
      </x:c>
      <x:c r="F153" s="3" t="str">
        <x:v>Designed — chưa thực thi</x:v>
      </x:c>
      <x:c r="G153" s="3" t="str">
        <x:v>Nguồn: frontend/src/app/(public)/programmes/[slug]/page.tsx.  Baseline: docs/ba/02-requirements/VGG_REQ-WORKBOOK_v0.1_2026-09-04.xlsx / Requirements; Phạm vi dịch thuật đầy đủ cần xác nhận</x:v>
      </x:c>
    </x:row>
    <x:row r="154" ht="36" customHeight="1">
      <x:c r="A154" s="3" t="str">
        <x:v>PUB-001</x:v>
      </x:c>
      <x:c r="B154" s="3" t="str">
        <x:v>PUBLIC</x:v>
      </x:c>
      <x:c r="C154" s="3" t="str">
        <x:v>Hệ thống phải cung cấp tuyến /vi và /en và duy trì locale khi điều hướng.</x:v>
      </x:c>
      <x:c r="D154" s="3" t="str">
        <x:v>TC_PUBLIC_008</x:v>
      </x:c>
      <x:c r="E154" s="3" t="str">
        <x:v>Mở /programmes/tien-si</x:v>
      </x:c>
      <x:c r="F154" s="3" t="str">
        <x:v>Designed — chưa thực thi</x:v>
      </x:c>
      <x:c r="G154" s="3" t="str">
        <x:v>Nguồn: frontend/src/app/(public)/programmes/[slug]/page.tsx.  Baseline: docs/ba/02-requirements/VGG_REQ-WORKBOOK_v0.1_2026-09-04.xlsx / Requirements; Phạm vi dịch thuật đầy đủ cần xác nhận</x:v>
      </x:c>
    </x:row>
    <x:row r="155" ht="36" customHeight="1">
      <x:c r="A155" s="3" t="str">
        <x:v>PUB-001</x:v>
      </x:c>
      <x:c r="B155" s="3" t="str">
        <x:v>PUBLIC</x:v>
      </x:c>
      <x:c r="C155" s="3" t="str">
        <x:v>Hệ thống phải cung cấp tuyến /vi và /en và duy trì locale khi điều hướng.</x:v>
      </x:c>
      <x:c r="D155" s="3" t="str">
        <x:v>TC_PUBLIC_009</x:v>
      </x:c>
      <x:c r="E155" s="3" t="str">
        <x:v>Mở /programmes/executive-education</x:v>
      </x:c>
      <x:c r="F155" s="3" t="str">
        <x:v>Designed — chưa thực thi</x:v>
      </x:c>
      <x:c r="G155" s="3" t="str">
        <x:v>Nguồn: frontend/src/app/(public)/programmes/[slug]/page.tsx.  Baseline: docs/ba/02-requirements/VGG_REQ-WORKBOOK_v0.1_2026-09-04.xlsx / Requirements; Phạm vi dịch thuật đầy đủ cần xác nhận</x:v>
      </x:c>
    </x:row>
    <x:row r="156" ht="36" customHeight="1">
      <x:c r="A156" s="3" t="str">
        <x:v>PUB-001</x:v>
      </x:c>
      <x:c r="B156" s="3" t="str">
        <x:v>PUBLIC</x:v>
      </x:c>
      <x:c r="C156" s="3" t="str">
        <x:v>Hệ thống phải cung cấp tuyến /vi và /en và duy trì locale khi điều hướng.</x:v>
      </x:c>
      <x:c r="D156" s="3" t="str">
        <x:v>TC_PUBLIC_010</x:v>
      </x:c>
      <x:c r="E156" s="3" t="str">
        <x:v>Mở /programmes/quoc-te</x:v>
      </x:c>
      <x:c r="F156" s="3" t="str">
        <x:v>Designed — chưa thực thi</x:v>
      </x:c>
      <x:c r="G156" s="3" t="str">
        <x:v>Nguồn: frontend/src/app/(public)/programmes/[slug]/page.tsx.  Baseline: docs/ba/02-requirements/VGG_REQ-WORKBOOK_v0.1_2026-09-04.xlsx / Requirements; Phạm vi dịch thuật đầy đủ cần xác nhận</x:v>
      </x:c>
    </x:row>
    <x:row r="157" ht="36" customHeight="1">
      <x:c r="A157" s="3" t="str">
        <x:v>PUB-001</x:v>
      </x:c>
      <x:c r="B157" s="3" t="str">
        <x:v>PUBLIC</x:v>
      </x:c>
      <x:c r="C157" s="3" t="str">
        <x:v>Hệ thống phải cung cấp tuyến /vi và /en và duy trì locale khi điều hướng.</x:v>
      </x:c>
      <x:c r="D157" s="3" t="str">
        <x:v>TC_PUBLIC_011</x:v>
      </x:c>
      <x:c r="E157" s="3" t="str">
        <x:v>Mở /admissions/yeu-cau</x:v>
      </x:c>
      <x:c r="F157" s="3" t="str">
        <x:v>Designed — chưa thực thi</x:v>
      </x:c>
      <x:c r="G157" s="3" t="str">
        <x:v>Nguồn: frontend/src/app/(public)/admissions/[slug]/page.tsx.  Baseline: docs/ba/02-requirements/VGG_REQ-WORKBOOK_v0.1_2026-09-04.xlsx / Requirements; Phạm vi dịch thuật đầy đủ cần xác nhận</x:v>
      </x:c>
    </x:row>
    <x:row r="158" ht="36" customHeight="1">
      <x:c r="A158" s="3" t="str">
        <x:v>PUB-001</x:v>
      </x:c>
      <x:c r="B158" s="3" t="str">
        <x:v>PUBLIC</x:v>
      </x:c>
      <x:c r="C158" s="3" t="str">
        <x:v>Hệ thống phải cung cấp tuyến /vi và /en và duy trì locale khi điều hướng.</x:v>
      </x:c>
      <x:c r="D158" s="3" t="str">
        <x:v>TC_PUBLIC_012</x:v>
      </x:c>
      <x:c r="E158" s="3" t="str">
        <x:v>Mở /admissions/hoc-phi</x:v>
      </x:c>
      <x:c r="F158" s="3" t="str">
        <x:v>Designed — chưa thực thi</x:v>
      </x:c>
      <x:c r="G158" s="3" t="str">
        <x:v>Nguồn: frontend/src/app/(public)/admissions/[slug]/page.tsx.  Baseline: docs/ba/02-requirements/VGG_REQ-WORKBOOK_v0.1_2026-09-04.xlsx / Requirements; Phạm vi dịch thuật đầy đủ cần xác nhận</x:v>
      </x:c>
    </x:row>
    <x:row r="159" ht="36" customHeight="1">
      <x:c r="A159" s="3" t="str">
        <x:v>PUB-001</x:v>
      </x:c>
      <x:c r="B159" s="3" t="str">
        <x:v>PUBLIC</x:v>
      </x:c>
      <x:c r="C159" s="3" t="str">
        <x:v>Hệ thống phải cung cấp tuyến /vi và /en và duy trì locale khi điều hướng.</x:v>
      </x:c>
      <x:c r="D159" s="3" t="str">
        <x:v>TC_PUBLIC_013</x:v>
      </x:c>
      <x:c r="E159" s="3" t="str">
        <x:v>Mở /admissions/hoc-bong</x:v>
      </x:c>
      <x:c r="F159" s="3" t="str">
        <x:v>Designed — chưa thực thi</x:v>
      </x:c>
      <x:c r="G159" s="3" t="str">
        <x:v>Nguồn: frontend/src/app/(public)/admissions/[slug]/page.tsx.  Baseline: docs/ba/02-requirements/VGG_REQ-WORKBOOK_v0.1_2026-09-04.xlsx / Requirements; Phạm vi dịch thuật đầy đủ cần xác nhận</x:v>
      </x:c>
    </x:row>
    <x:row r="160" ht="36" customHeight="1">
      <x:c r="A160" s="3" t="str">
        <x:v>PUB-001</x:v>
      </x:c>
      <x:c r="B160" s="3" t="str">
        <x:v>PUBLIC</x:v>
      </x:c>
      <x:c r="C160" s="3" t="str">
        <x:v>Hệ thống phải cung cấp tuyến /vi và /en và duy trì locale khi điều hướng.</x:v>
      </x:c>
      <x:c r="D160" s="3" t="str">
        <x:v>TC_PUBLIC_014</x:v>
      </x:c>
      <x:c r="E160" s="3" t="str">
        <x:v>Mở /admissions/nop-ho-so</x:v>
      </x:c>
      <x:c r="F160" s="3" t="str">
        <x:v>Designed — chưa thực thi</x:v>
      </x:c>
      <x:c r="G160" s="3" t="str">
        <x:v>Nguồn: frontend/src/app/(public)/admissions/[slug]/page.tsx.  Baseline: docs/ba/02-requirements/VGG_REQ-WORKBOOK_v0.1_2026-09-04.xlsx / Requirements; Phạm vi dịch thuật đầy đủ cần xác nhận</x:v>
      </x:c>
    </x:row>
    <x:row r="161" ht="36" customHeight="1">
      <x:c r="A161" s="3" t="str">
        <x:v>PUB-001</x:v>
      </x:c>
      <x:c r="B161" s="3" t="str">
        <x:v>PUBLIC</x:v>
      </x:c>
      <x:c r="C161" s="3" t="str">
        <x:v>Hệ thống phải cung cấp tuyến /vi và /en và duy trì locale khi điều hướng.</x:v>
      </x:c>
      <x:c r="D161" s="3" t="str">
        <x:v>TC_PUBLIC_015</x:v>
      </x:c>
      <x:c r="E161" s="3" t="str">
        <x:v>Mở /admissions/moc-thoi-gian</x:v>
      </x:c>
      <x:c r="F161" s="3" t="str">
        <x:v>Designed — chưa thực thi</x:v>
      </x:c>
      <x:c r="G161" s="3" t="str">
        <x:v>Nguồn: frontend/src/app/(public)/admissions/[slug]/page.tsx.  Baseline: docs/ba/02-requirements/VGG_REQ-WORKBOOK_v0.1_2026-09-04.xlsx / Requirements; Phạm vi dịch thuật đầy đủ cần xác nhận</x:v>
      </x:c>
    </x:row>
    <x:row r="162" ht="36" customHeight="1">
      <x:c r="A162" s="3" t="str">
        <x:v>PUB-001</x:v>
      </x:c>
      <x:c r="B162" s="3" t="str">
        <x:v>PUBLIC</x:v>
      </x:c>
      <x:c r="C162" s="3" t="str">
        <x:v>Hệ thống phải cung cấp tuyến /vi và /en và duy trì locale khi điều hướng.</x:v>
      </x:c>
      <x:c r="D162" s="3" t="str">
        <x:v>TC_PUBLIC_016</x:v>
      </x:c>
      <x:c r="E162" s="3" t="str">
        <x:v>Mở /research/cum-nghien-cuu</x:v>
      </x:c>
      <x:c r="F162" s="3" t="str">
        <x:v>Designed — chưa thực thi</x:v>
      </x:c>
      <x:c r="G162" s="3" t="str">
        <x:v>Nguồn: frontend/src/app/(public)/research/[slug]/page.tsx.  Baseline: docs/ba/02-requirements/VGG_REQ-WORKBOOK_v0.1_2026-09-04.xlsx / Requirements; Phạm vi dịch thuật đầy đủ cần xác nhận</x:v>
      </x:c>
    </x:row>
    <x:row r="163" ht="36" customHeight="1">
      <x:c r="A163" s="3" t="str">
        <x:v>PUB-001</x:v>
      </x:c>
      <x:c r="B163" s="3" t="str">
        <x:v>PUBLIC</x:v>
      </x:c>
      <x:c r="C163" s="3" t="str">
        <x:v>Hệ thống phải cung cấp tuyến /vi và /en và duy trì locale khi điều hướng.</x:v>
      </x:c>
      <x:c r="D163" s="3" t="str">
        <x:v>TC_PUBLIC_017</x:v>
      </x:c>
      <x:c r="E163" s="3" t="str">
        <x:v>Mở /research/du-an</x:v>
      </x:c>
      <x:c r="F163" s="3" t="str">
        <x:v>Designed — chưa thực thi</x:v>
      </x:c>
      <x:c r="G163" s="3" t="str">
        <x:v>Nguồn: frontend/src/app/(public)/research/[slug]/page.tsx.  Baseline: docs/ba/02-requirements/VGG_REQ-WORKBOOK_v0.1_2026-09-04.xlsx / Requirements; Phạm vi dịch thuật đầy đủ cần xác nhận</x:v>
      </x:c>
    </x:row>
    <x:row r="164" ht="36" customHeight="1">
      <x:c r="A164" s="3" t="str">
        <x:v>PUB-001</x:v>
      </x:c>
      <x:c r="B164" s="3" t="str">
        <x:v>PUBLIC</x:v>
      </x:c>
      <x:c r="C164" s="3" t="str">
        <x:v>Hệ thống phải cung cấp tuyến /vi và /en và duy trì locale khi điều hướng.</x:v>
      </x:c>
      <x:c r="D164" s="3" t="str">
        <x:v>TC_PUBLIC_018</x:v>
      </x:c>
      <x:c r="E164" s="3" t="str">
        <x:v>Mở /research/cong-bo</x:v>
      </x:c>
      <x:c r="F164" s="3" t="str">
        <x:v>Designed — chưa thực thi</x:v>
      </x:c>
      <x:c r="G164" s="3" t="str">
        <x:v>Nguồn: frontend/src/app/(public)/research/[slug]/page.tsx.  Baseline: docs/ba/02-requirements/VGG_REQ-WORKBOOK_v0.1_2026-09-04.xlsx / Requirements; Phạm vi dịch thuật đầy đủ cần xác nhận</x:v>
      </x:c>
    </x:row>
    <x:row r="165" ht="36" customHeight="1">
      <x:c r="A165" s="3" t="str">
        <x:v>PUB-001</x:v>
      </x:c>
      <x:c r="B165" s="3" t="str">
        <x:v>PUBLIC</x:v>
      </x:c>
      <x:c r="C165" s="3" t="str">
        <x:v>Hệ thống phải cung cấp tuyến /vi và /en và duy trì locale khi điều hướng.</x:v>
      </x:c>
      <x:c r="D165" s="3" t="str">
        <x:v>TC_PUBLIC_019</x:v>
      </x:c>
      <x:c r="E165" s="3" t="str">
        <x:v>Mở /research/hoi-thao</x:v>
      </x:c>
      <x:c r="F165" s="3" t="str">
        <x:v>Designed — chưa thực thi</x:v>
      </x:c>
      <x:c r="G165" s="3" t="str">
        <x:v>Nguồn: frontend/src/app/(public)/research/[slug]/page.tsx.  Baseline: docs/ba/02-requirements/VGG_REQ-WORKBOOK_v0.1_2026-09-04.xlsx / Requirements; Phạm vi dịch thuật đầy đủ cần xác nhận</x:v>
      </x:c>
    </x:row>
    <x:row r="166" ht="36" customHeight="1">
      <x:c r="A166" s="3" t="str">
        <x:v>PUB-001</x:v>
      </x:c>
      <x:c r="B166" s="3" t="str">
        <x:v>PUBLIC</x:v>
      </x:c>
      <x:c r="C166" s="3" t="str">
        <x:v>Hệ thống phải cung cấp tuyến /vi và /en và duy trì locale khi điều hướng.</x:v>
      </x:c>
      <x:c r="D166" s="3" t="str">
        <x:v>TC_PUBLIC_020</x:v>
      </x:c>
      <x:c r="E166" s="3" t="str">
        <x:v>Mở /research/doi-moi-sang-tao</x:v>
      </x:c>
      <x:c r="F166" s="3" t="str">
        <x:v>Designed — chưa thực thi</x:v>
      </x:c>
      <x:c r="G166" s="3" t="str">
        <x:v>Nguồn: frontend/src/app/(public)/research/[slug]/page.tsx.  Baseline: docs/ba/02-requirements/VGG_REQ-WORKBOOK_v0.1_2026-09-04.xlsx / Requirements; Phạm vi dịch thuật đầy đủ cần xác nhận</x:v>
      </x:c>
    </x:row>
    <x:row r="167" ht="36" customHeight="1">
      <x:c r="A167" s="3" t="str">
        <x:v>PUB-001</x:v>
      </x:c>
      <x:c r="B167" s="3" t="str">
        <x:v>PUBLIC</x:v>
      </x:c>
      <x:c r="C167" s="3" t="str">
        <x:v>Hệ thống phải cung cấp tuyến /vi và /en và duy trì locale khi điều hướng.</x:v>
      </x:c>
      <x:c r="D167" s="3" t="str">
        <x:v>TC_PUBLIC_021</x:v>
      </x:c>
      <x:c r="E167" s="3" t="str">
        <x:v>Mở /research/hop-tac-doanh-nghiep</x:v>
      </x:c>
      <x:c r="F167" s="3" t="str">
        <x:v>Designed — chưa thực thi</x:v>
      </x:c>
      <x:c r="G167" s="3" t="str">
        <x:v>Nguồn: frontend/src/app/(public)/research/[slug]/page.tsx.  Baseline: docs/ba/02-requirements/VGG_REQ-WORKBOOK_v0.1_2026-09-04.xlsx / Requirements; Phạm vi dịch thuật đầy đủ cần xác nhận</x:v>
      </x:c>
    </x:row>
    <x:row r="168" ht="36" customHeight="1">
      <x:c r="A168" s="3" t="str">
        <x:v>PUB-001</x:v>
      </x:c>
      <x:c r="B168" s="3" t="str">
        <x:v>PUBLIC</x:v>
      </x:c>
      <x:c r="C168" s="3" t="str">
        <x:v>Hệ thống phải cung cấp tuyến /vi và /en và duy trì locale khi điều hướng.</x:v>
      </x:c>
      <x:c r="D168" s="3" t="str">
        <x:v>TC_PUBLIC_022</x:v>
      </x:c>
      <x:c r="E168" s="3" t="str">
        <x:v>Mở /research/trao-doi</x:v>
      </x:c>
      <x:c r="F168" s="3" t="str">
        <x:v>Designed — chưa thực thi</x:v>
      </x:c>
      <x:c r="G168" s="3" t="str">
        <x:v>Nguồn: frontend/src/app/(public)/research/[slug]/page.tsx.  Baseline: docs/ba/02-requirements/VGG_REQ-WORKBOOK_v0.1_2026-09-04.xlsx / Requirements; Phạm vi dịch thuật đầy đủ cần xác nhận</x:v>
      </x:c>
    </x:row>
    <x:row r="169" ht="36" customHeight="1">
      <x:c r="A169" s="3" t="str">
        <x:v>PUB-001</x:v>
      </x:c>
      <x:c r="B169" s="3" t="str">
        <x:v>PUBLIC</x:v>
      </x:c>
      <x:c r="C169" s="3" t="str">
        <x:v>Hệ thống phải cung cấp tuyến /vi và /en và duy trì locale khi điều hướng.</x:v>
      </x:c>
      <x:c r="D169" s="3" t="str">
        <x:v>TC_PUBLIC_023</x:v>
      </x:c>
      <x:c r="E169" s="3" t="str">
        <x:v>Mở /research/dual-degree</x:v>
      </x:c>
      <x:c r="F169" s="3" t="str">
        <x:v>Designed — chưa thực thi</x:v>
      </x:c>
      <x:c r="G169" s="3" t="str">
        <x:v>Nguồn: frontend/src/app/(public)/research/[slug]/page.tsx.  Baseline: docs/ba/02-requirements/VGG_REQ-WORKBOOK_v0.1_2026-09-04.xlsx / Requirements; Phạm vi dịch thuật đầy đủ cần xác nhận</x:v>
      </x:c>
    </x:row>
    <x:row r="170" ht="36" customHeight="1">
      <x:c r="A170" s="3" t="str">
        <x:v>PUB-001</x:v>
      </x:c>
      <x:c r="B170" s="3" t="str">
        <x:v>PUBLIC</x:v>
      </x:c>
      <x:c r="C170" s="3" t="str">
        <x:v>Hệ thống phải cung cấp tuyến /vi và /en và duy trì locale khi điều hướng.</x:v>
      </x:c>
      <x:c r="D170" s="3" t="str">
        <x:v>TC_PUBLIC_024</x:v>
      </x:c>
      <x:c r="E170" s="3" t="str">
        <x:v>Mở /research/thuc-tap</x:v>
      </x:c>
      <x:c r="F170" s="3" t="str">
        <x:v>Designed — chưa thực thi</x:v>
      </x:c>
      <x:c r="G170" s="3" t="str">
        <x:v>Nguồn: frontend/src/app/(public)/research/[slug]/page.tsx.  Baseline: docs/ba/02-requirements/VGG_REQ-WORKBOOK_v0.1_2026-09-04.xlsx / Requirements; Phạm vi dịch thuật đầy đủ cần xác nhận</x:v>
      </x:c>
    </x:row>
    <x:row r="171" ht="36" customHeight="1">
      <x:c r="A171" s="3" t="str">
        <x:v>PUB-001</x:v>
      </x:c>
      <x:c r="B171" s="3" t="str">
        <x:v>PUBLIC</x:v>
      </x:c>
      <x:c r="C171" s="3" t="str">
        <x:v>Hệ thống phải cung cấp tuyến /vi và /en và duy trì locale khi điều hướng.</x:v>
      </x:c>
      <x:c r="D171" s="3" t="str">
        <x:v>TC_PUBLIC_025</x:v>
      </x:c>
      <x:c r="E171" s="3" t="str">
        <x:v>Mở /research/study-tour</x:v>
      </x:c>
      <x:c r="F171" s="3" t="str">
        <x:v>Designed — chưa thực thi</x:v>
      </x:c>
      <x:c r="G171" s="3" t="str">
        <x:v>Nguồn: frontend/src/app/(public)/research/[slug]/page.tsx.  Baseline: docs/ba/02-requirements/VGG_REQ-WORKBOOK_v0.1_2026-09-04.xlsx / Requirements; Phạm vi dịch thuật đầy đủ cần xác nhận</x:v>
      </x:c>
    </x:row>
    <x:row r="172" ht="36" customHeight="1">
      <x:c r="A172" s="3" t="str">
        <x:v>PUB-001</x:v>
      </x:c>
      <x:c r="B172" s="3" t="str">
        <x:v>PUBLIC</x:v>
      </x:c>
      <x:c r="C172" s="3" t="str">
        <x:v>Hệ thống phải cung cấp tuyến /vi và /en và duy trì locale khi điều hướng.</x:v>
      </x:c>
      <x:c r="D172" s="3" t="str">
        <x:v>TC_PUBLIC_026</x:v>
      </x:c>
      <x:c r="E172" s="3" t="str">
        <x:v>Mở /research/overseas-immersion</x:v>
      </x:c>
      <x:c r="F172" s="3" t="str">
        <x:v>Designed — chưa thực thi</x:v>
      </x:c>
      <x:c r="G172" s="3" t="str">
        <x:v>Nguồn: frontend/src/app/(public)/research/[slug]/page.tsx.  Baseline: docs/ba/02-requirements/VGG_REQ-WORKBOOK_v0.1_2026-09-04.xlsx / Requirements; Phạm vi dịch thuật đầy đủ cần xác nhận</x:v>
      </x:c>
    </x:row>
    <x:row r="173" ht="36" customHeight="1">
      <x:c r="A173" s="3" t="str">
        <x:v>PUB-001</x:v>
      </x:c>
      <x:c r="B173" s="3" t="str">
        <x:v>PUBLIC</x:v>
      </x:c>
      <x:c r="C173" s="3" t="str">
        <x:v>Hệ thống phải cung cấp tuyến /vi và /en và duy trì locale khi điều hướng.</x:v>
      </x:c>
      <x:c r="D173" s="3" t="str">
        <x:v>TC_PUBLIC_027</x:v>
      </x:c>
      <x:c r="E173" s="3" t="str">
        <x:v>Mở /research/doi-tac</x:v>
      </x:c>
      <x:c r="F173" s="3" t="str">
        <x:v>Designed — chưa thực thi</x:v>
      </x:c>
      <x:c r="G173" s="3" t="str">
        <x:v>Nguồn: frontend/src/app/(public)/research/[slug]/page.tsx.  Baseline: docs/ba/02-requirements/VGG_REQ-WORKBOOK_v0.1_2026-09-04.xlsx / Requirements; Phạm vi dịch thuật đầy đủ cần xác nhận</x:v>
      </x:c>
    </x:row>
    <x:row r="174" ht="36" customHeight="1">
      <x:c r="A174" s="3" t="str">
        <x:v>PUB-001</x:v>
      </x:c>
      <x:c r="B174" s="3" t="str">
        <x:v>PUBLIC</x:v>
      </x:c>
      <x:c r="C174" s="3" t="str">
        <x:v>Hệ thống phải cung cấp tuyến /vi và /en và duy trì locale khi điều hướng.</x:v>
      </x:c>
      <x:c r="D174" s="3" t="str">
        <x:v>TC_PUBLIC_028</x:v>
      </x:c>
      <x:c r="E174" s="3" t="str">
        <x:v>Mở /global/trao-doi</x:v>
      </x:c>
      <x:c r="F174" s="3" t="str">
        <x:v>Designed — chưa thực thi</x:v>
      </x:c>
      <x:c r="G174" s="3" t="str">
        <x:v>Nguồn: frontend/src/app/(public)/global/[slug]/page.tsx.  Baseline: docs/ba/02-requirements/VGG_REQ-WORKBOOK_v0.1_2026-09-04.xlsx / Requirements; Phạm vi dịch thuật đầy đủ cần xác nhận</x:v>
      </x:c>
    </x:row>
    <x:row r="175" ht="36" customHeight="1">
      <x:c r="A175" s="3" t="str">
        <x:v>PUB-001</x:v>
      </x:c>
      <x:c r="B175" s="3" t="str">
        <x:v>PUBLIC</x:v>
      </x:c>
      <x:c r="C175" s="3" t="str">
        <x:v>Hệ thống phải cung cấp tuyến /vi và /en và duy trì locale khi điều hướng.</x:v>
      </x:c>
      <x:c r="D175" s="3" t="str">
        <x:v>TC_PUBLIC_029</x:v>
      </x:c>
      <x:c r="E175" s="3" t="str">
        <x:v>Mở /global/dual-degree</x:v>
      </x:c>
      <x:c r="F175" s="3" t="str">
        <x:v>Designed — chưa thực thi</x:v>
      </x:c>
      <x:c r="G175" s="3" t="str">
        <x:v>Nguồn: frontend/src/app/(public)/global/[slug]/page.tsx.  Baseline: docs/ba/02-requirements/VGG_REQ-WORKBOOK_v0.1_2026-09-04.xlsx / Requirements; Phạm vi dịch thuật đầy đủ cần xác nhận</x:v>
      </x:c>
    </x:row>
    <x:row r="176" ht="36" customHeight="1">
      <x:c r="A176" s="3" t="str">
        <x:v>PUB-001</x:v>
      </x:c>
      <x:c r="B176" s="3" t="str">
        <x:v>PUBLIC</x:v>
      </x:c>
      <x:c r="C176" s="3" t="str">
        <x:v>Hệ thống phải cung cấp tuyến /vi và /en và duy trì locale khi điều hướng.</x:v>
      </x:c>
      <x:c r="D176" s="3" t="str">
        <x:v>TC_PUBLIC_030</x:v>
      </x:c>
      <x:c r="E176" s="3" t="str">
        <x:v>Mở /global/thuc-tap</x:v>
      </x:c>
      <x:c r="F176" s="3" t="str">
        <x:v>Designed — chưa thực thi</x:v>
      </x:c>
      <x:c r="G176" s="3" t="str">
        <x:v>Nguồn: frontend/src/app/(public)/global/[slug]/page.tsx.  Baseline: docs/ba/02-requirements/VGG_REQ-WORKBOOK_v0.1_2026-09-04.xlsx / Requirements; Phạm vi dịch thuật đầy đủ cần xác nhận</x:v>
      </x:c>
    </x:row>
    <x:row r="177" ht="36" customHeight="1">
      <x:c r="A177" s="3" t="str">
        <x:v>PUB-001</x:v>
      </x:c>
      <x:c r="B177" s="3" t="str">
        <x:v>PUBLIC</x:v>
      </x:c>
      <x:c r="C177" s="3" t="str">
        <x:v>Hệ thống phải cung cấp tuyến /vi và /en và duy trì locale khi điều hướng.</x:v>
      </x:c>
      <x:c r="D177" s="3" t="str">
        <x:v>TC_PUBLIC_031</x:v>
      </x:c>
      <x:c r="E177" s="3" t="str">
        <x:v>Mở /global/study-tour</x:v>
      </x:c>
      <x:c r="F177" s="3" t="str">
        <x:v>Designed — chưa thực thi</x:v>
      </x:c>
      <x:c r="G177" s="3" t="str">
        <x:v>Nguồn: frontend/src/app/(public)/global/[slug]/page.tsx.  Baseline: docs/ba/02-requirements/VGG_REQ-WORKBOOK_v0.1_2026-09-04.xlsx / Requirements; Phạm vi dịch thuật đầy đủ cần xác nhận</x:v>
      </x:c>
    </x:row>
    <x:row r="178" ht="36" customHeight="1">
      <x:c r="A178" s="3" t="str">
        <x:v>PUB-001</x:v>
      </x:c>
      <x:c r="B178" s="3" t="str">
        <x:v>PUBLIC</x:v>
      </x:c>
      <x:c r="C178" s="3" t="str">
        <x:v>Hệ thống phải cung cấp tuyến /vi và /en và duy trì locale khi điều hướng.</x:v>
      </x:c>
      <x:c r="D178" s="3" t="str">
        <x:v>TC_PUBLIC_032</x:v>
      </x:c>
      <x:c r="E178" s="3" t="str">
        <x:v>Mở /global/overseas-immersion</x:v>
      </x:c>
      <x:c r="F178" s="3" t="str">
        <x:v>Designed — chưa thực thi</x:v>
      </x:c>
      <x:c r="G178" s="3" t="str">
        <x:v>Nguồn: frontend/src/app/(public)/global/[slug]/page.tsx.  Baseline: docs/ba/02-requirements/VGG_REQ-WORKBOOK_v0.1_2026-09-04.xlsx / Requirements; Phạm vi dịch thuật đầy đủ cần xác nhận</x:v>
      </x:c>
    </x:row>
    <x:row r="179" ht="36" customHeight="1">
      <x:c r="A179" s="3" t="str">
        <x:v>PUB-001</x:v>
      </x:c>
      <x:c r="B179" s="3" t="str">
        <x:v>PUBLIC</x:v>
      </x:c>
      <x:c r="C179" s="3" t="str">
        <x:v>Hệ thống phải cung cấp tuyến /vi và /en và duy trì locale khi điều hướng.</x:v>
      </x:c>
      <x:c r="D179" s="3" t="str">
        <x:v>TC_PUBLIC_033</x:v>
      </x:c>
      <x:c r="E179" s="3" t="str">
        <x:v>Mở /global/doi-tac</x:v>
      </x:c>
      <x:c r="F179" s="3" t="str">
        <x:v>Designed — chưa thực thi</x:v>
      </x:c>
      <x:c r="G179" s="3" t="str">
        <x:v>Nguồn: frontend/src/app/(public)/global/[slug]/page.tsx.  Baseline: docs/ba/02-requirements/VGG_REQ-WORKBOOK_v0.1_2026-09-04.xlsx / Requirements; Phạm vi dịch thuật đầy đủ cần xác nhận</x:v>
      </x:c>
    </x:row>
    <x:row r="180" ht="36" customHeight="1">
      <x:c r="A180" s="3" t="str">
        <x:v>PUB-001</x:v>
      </x:c>
      <x:c r="B180" s="3" t="str">
        <x:v>PUBLIC</x:v>
      </x:c>
      <x:c r="C180" s="3" t="str">
        <x:v>Hệ thống phải cung cấp tuyến /vi và /en và duy trì locale khi điều hướng.</x:v>
      </x:c>
      <x:c r="D180" s="3" t="str">
        <x:v>TC_PUBLIC_034</x:v>
      </x:c>
      <x:c r="E180" s="3" t="str">
        <x:v>Mở /student-success/ho-tro-hoc-vien</x:v>
      </x:c>
      <x:c r="F180" s="3" t="str">
        <x:v>Designed — chưa thực thi</x:v>
      </x:c>
      <x:c r="G180" s="3" t="str">
        <x:v>Nguồn: frontend/src/app/(public)/student-success/[slug]/page.tsx.  Baseline: docs/ba/02-requirements/VGG_REQ-WORKBOOK_v0.1_2026-09-04.xlsx / Requirements; Phạm vi dịch thuật đầy đủ cần xác nhận</x:v>
      </x:c>
    </x:row>
    <x:row r="181" ht="36" customHeight="1">
      <x:c r="A181" s="3" t="str">
        <x:v>PUB-001</x:v>
      </x:c>
      <x:c r="B181" s="3" t="str">
        <x:v>PUBLIC</x:v>
      </x:c>
      <x:c r="C181" s="3" t="str">
        <x:v>Hệ thống phải cung cấp tuyến /vi và /en và duy trì locale khi điều hướng.</x:v>
      </x:c>
      <x:c r="D181" s="3" t="str">
        <x:v>TC_PUBLIC_035</x:v>
      </x:c>
      <x:c r="E181" s="3" t="str">
        <x:v>Mở /student-success/phat-trien-su-nghiep</x:v>
      </x:c>
      <x:c r="F181" s="3" t="str">
        <x:v>Designed — chưa thực thi</x:v>
      </x:c>
      <x:c r="G181" s="3" t="str">
        <x:v>Nguồn: frontend/src/app/(public)/student-success/[slug]/page.tsx.  Baseline: docs/ba/02-requirements/VGG_REQ-WORKBOOK_v0.1_2026-09-04.xlsx / Requirements; Phạm vi dịch thuật đầy đủ cần xác nhận</x:v>
      </x:c>
    </x:row>
    <x:row r="182" ht="36" customHeight="1">
      <x:c r="A182" s="3" t="str">
        <x:v>PUB-001</x:v>
      </x:c>
      <x:c r="B182" s="3" t="str">
        <x:v>PUBLIC</x:v>
      </x:c>
      <x:c r="C182" s="3" t="str">
        <x:v>Hệ thống phải cung cấp tuyến /vi và /en và duy trì locale khi điều hướng.</x:v>
      </x:c>
      <x:c r="D182" s="3" t="str">
        <x:v>TC_PUBLIC_036</x:v>
      </x:c>
      <x:c r="E182" s="3" t="str">
        <x:v>Mở /student-success/tai-nguyen-hoc-tap</x:v>
      </x:c>
      <x:c r="F182" s="3" t="str">
        <x:v>Designed — chưa thực thi</x:v>
      </x:c>
      <x:c r="G182" s="3" t="str">
        <x:v>Nguồn: frontend/src/app/(public)/student-success/[slug]/page.tsx.  Baseline: docs/ba/02-requirements/VGG_REQ-WORKBOOK_v0.1_2026-09-04.xlsx / Requirements; Phạm vi dịch thuật đầy đủ cần xác nhận</x:v>
      </x:c>
    </x:row>
    <x:row r="183" ht="36" customHeight="1">
      <x:c r="A183" s="3" t="str">
        <x:v>PUB-001</x:v>
      </x:c>
      <x:c r="B183" s="3" t="str">
        <x:v>PUBLIC</x:v>
      </x:c>
      <x:c r="C183" s="3" t="str">
        <x:v>Hệ thống phải cung cấp tuyến /vi và /en và duy trì locale khi điều hướng.</x:v>
      </x:c>
      <x:c r="D183" s="3" t="str">
        <x:v>TC_PUBLIC_037</x:v>
      </x:c>
      <x:c r="E183" s="3" t="str">
        <x:v>Mở /student-success/cuu-hoc-vien</x:v>
      </x:c>
      <x:c r="F183" s="3" t="str">
        <x:v>Designed — chưa thực thi</x:v>
      </x:c>
      <x:c r="G183" s="3" t="str">
        <x:v>Nguồn: frontend/src/app/(public)/student-success/[slug]/page.tsx.  Baseline: docs/ba/02-requirements/VGG_REQ-WORKBOOK_v0.1_2026-09-04.xlsx / Requirements; Phạm vi dịch thuật đầy đủ cần xác nhận</x:v>
      </x:c>
    </x:row>
    <x:row r="184" ht="36" customHeight="1">
      <x:c r="A184" s="3" t="str">
        <x:v>PUB-001</x:v>
      </x:c>
      <x:c r="B184" s="3" t="str">
        <x:v>PUBLIC</x:v>
      </x:c>
      <x:c r="C184" s="3" t="str">
        <x:v>Hệ thống phải cung cấp tuyến /vi và /en và duy trì locale khi điều hướng.</x:v>
      </x:c>
      <x:c r="D184" s="3" t="str">
        <x:v>TC_PUBLIC_038</x:v>
      </x:c>
      <x:c r="E184" s="3" t="str">
        <x:v>Mở /student-success/cau-chuyen-thanh-cong</x:v>
      </x:c>
      <x:c r="F184" s="3" t="str">
        <x:v>Designed — chưa thực thi</x:v>
      </x:c>
      <x:c r="G184" s="3" t="str">
        <x:v>Nguồn: frontend/src/app/(public)/student-success/[slug]/page.tsx.  Baseline: docs/ba/02-requirements/VGG_REQ-WORKBOOK_v0.1_2026-09-04.xlsx / Requirements; Phạm vi dịch thuật đầy đủ cần xác nhận</x:v>
      </x:c>
    </x:row>
    <x:row r="185" ht="36" customHeight="1">
      <x:c r="A185" s="3" t="str">
        <x:v>PUB-001</x:v>
      </x:c>
      <x:c r="B185" s="3" t="str">
        <x:v>PUBLIC</x:v>
      </x:c>
      <x:c r="C185" s="3" t="str">
        <x:v>Hệ thống phải cung cấp tuyến /vi và /en và duy trì locale khi điều hướng.</x:v>
      </x:c>
      <x:c r="D185" s="3" t="str">
        <x:v>TC_PUBLIC_039</x:v>
      </x:c>
      <x:c r="E185" s="3" t="str">
        <x:v>Mở /resources/bieu-mau</x:v>
      </x:c>
      <x:c r="F185" s="3" t="str">
        <x:v>Designed — chưa thực thi</x:v>
      </x:c>
      <x:c r="G185" s="3" t="str">
        <x:v>Nguồn: frontend/src/app/(public)/resources/[slug]/page.tsx.  Baseline: docs/ba/02-requirements/VGG_REQ-WORKBOOK_v0.1_2026-09-04.xlsx / Requirements; Phạm vi dịch thuật đầy đủ cần xác nhận</x:v>
      </x:c>
    </x:row>
    <x:row r="186" ht="36" customHeight="1">
      <x:c r="A186" s="3" t="str">
        <x:v>PUB-001</x:v>
      </x:c>
      <x:c r="B186" s="3" t="str">
        <x:v>PUBLIC</x:v>
      </x:c>
      <x:c r="C186" s="3" t="str">
        <x:v>Hệ thống phải cung cấp tuyến /vi và /en và duy trì locale khi điều hướng.</x:v>
      </x:c>
      <x:c r="D186" s="3" t="str">
        <x:v>TC_PUBLIC_040</x:v>
      </x:c>
      <x:c r="E186" s="3" t="str">
        <x:v>Mở /resources/chinh-sach-quy-dinh</x:v>
      </x:c>
      <x:c r="F186" s="3" t="str">
        <x:v>Designed — chưa thực thi</x:v>
      </x:c>
      <x:c r="G186" s="3" t="str">
        <x:v>Nguồn: frontend/src/app/(public)/resources/[slug]/page.tsx.  Baseline: docs/ba/02-requirements/VGG_REQ-WORKBOOK_v0.1_2026-09-04.xlsx / Requirements; Phạm vi dịch thuật đầy đủ cần xác nhận</x:v>
      </x:c>
    </x:row>
    <x:row r="187" ht="36" customHeight="1">
      <x:c r="A187" s="3" t="str">
        <x:v>PUB-001</x:v>
      </x:c>
      <x:c r="B187" s="3" t="str">
        <x:v>PUBLIC</x:v>
      </x:c>
      <x:c r="C187" s="3" t="str">
        <x:v>Hệ thống phải cung cấp tuyến /vi và /en và duy trì locale khi điều hướng.</x:v>
      </x:c>
      <x:c r="D187" s="3" t="str">
        <x:v>TC_PUBLIC_041</x:v>
      </x:c>
      <x:c r="E187" s="3" t="str">
        <x:v>Mở /resources/tai-lieu</x:v>
      </x:c>
      <x:c r="F187" s="3" t="str">
        <x:v>Designed — chưa thực thi</x:v>
      </x:c>
      <x:c r="G187" s="3" t="str">
        <x:v>Nguồn: frontend/src/app/(public)/resources/[slug]/page.tsx.  Baseline: docs/ba/02-requirements/VGG_REQ-WORKBOOK_v0.1_2026-09-04.xlsx / Requirements; Phạm vi dịch thuật đầy đủ cần xác nhận</x:v>
      </x:c>
    </x:row>
    <x:row r="188" ht="36" customHeight="1">
      <x:c r="A188" s="3" t="str">
        <x:v>PUB-001</x:v>
      </x:c>
      <x:c r="B188" s="3" t="str">
        <x:v>PUBLIC</x:v>
      </x:c>
      <x:c r="C188" s="3" t="str">
        <x:v>Hệ thống phải cung cấp tuyến /vi và /en và duy trì locale khi điều hướng.</x:v>
      </x:c>
      <x:c r="D188" s="3" t="str">
        <x:v>TC_PUBLIC_042</x:v>
      </x:c>
      <x:c r="E188" s="3" t="str">
        <x:v>Mở /resources/lich-hoc-thuat</x:v>
      </x:c>
      <x:c r="F188" s="3" t="str">
        <x:v>Designed — chưa thực thi</x:v>
      </x:c>
      <x:c r="G188" s="3" t="str">
        <x:v>Nguồn: frontend/src/app/(public)/resources/[slug]/page.tsx.  Baseline: docs/ba/02-requirements/VGG_REQ-WORKBOOK_v0.1_2026-09-04.xlsx / Requirements; Phạm vi dịch thuật đầy đủ cần xác nhận</x:v>
      </x:c>
    </x:row>
    <x:row r="189" ht="36" customHeight="1">
      <x:c r="A189" s="3" t="str">
        <x:v>PUB-001</x:v>
      </x:c>
      <x:c r="B189" s="3" t="str">
        <x:v>PUBLIC</x:v>
      </x:c>
      <x:c r="C189" s="3" t="str">
        <x:v>Hệ thống phải cung cấp tuyến /vi và /en và duy trì locale khi điều hướng.</x:v>
      </x:c>
      <x:c r="D189" s="3" t="str">
        <x:v>TC_PUBLIC_043</x:v>
      </x:c>
      <x:c r="E189" s="3" t="str">
        <x:v>Mở /resources/faq</x:v>
      </x:c>
      <x:c r="F189" s="3" t="str">
        <x:v>Designed — chưa thực thi</x:v>
      </x:c>
      <x:c r="G189" s="3" t="str">
        <x:v>Nguồn: frontend/src/app/(public)/resources/[slug]/page.tsx.  Baseline: docs/ba/02-requirements/VGG_REQ-WORKBOOK_v0.1_2026-09-04.xlsx / Requirements; Phạm vi dịch thuật đầy đủ cần xác nhận</x:v>
      </x:c>
    </x:row>
    <x:row r="190" ht="36" customHeight="1">
      <x:c r="A190" s="3" t="str">
        <x:v>PUB-001</x:v>
      </x:c>
      <x:c r="B190" s="3" t="str">
        <x:v>PUBLIC</x:v>
      </x:c>
      <x:c r="C190" s="3" t="str">
        <x:v>Hệ thống phải cung cấp tuyến /vi và /en và duy trì locale khi điều hướng.</x:v>
      </x:c>
      <x:c r="D190" s="3" t="str">
        <x:v>TC_PUBLIC_044</x:v>
      </x:c>
      <x:c r="E190" s="3" t="str">
        <x:v>Landing /</x:v>
      </x:c>
      <x:c r="F190" s="3" t="str">
        <x:v>Designed — chưa thực thi</x:v>
      </x:c>
      <x:c r="G190" s="3" t="str">
        <x:v>Nguồn: frontend/src/app/(public)/page.tsx.  Baseline: docs/ba/02-requirements/VGG_REQ-WORKBOOK_v0.1_2026-09-04.xlsx / Requirements; Phạm vi dịch thuật đầy đủ cần xác nhận</x:v>
      </x:c>
    </x:row>
    <x:row r="191" ht="36" customHeight="1">
      <x:c r="A191" s="3" t="str">
        <x:v>PUB-001</x:v>
      </x:c>
      <x:c r="B191" s="3" t="str">
        <x:v>PUBLIC</x:v>
      </x:c>
      <x:c r="C191" s="3" t="str">
        <x:v>Hệ thống phải cung cấp tuyến /vi và /en và duy trì locale khi điều hướng.</x:v>
      </x:c>
      <x:c r="D191" s="3" t="str">
        <x:v>TC_PUBLIC_045</x:v>
      </x:c>
      <x:c r="E191" s="3" t="str">
        <x:v>Landing /discover</x:v>
      </x:c>
      <x:c r="F191" s="3" t="str">
        <x:v>Designed — chưa thực thi</x:v>
      </x:c>
      <x:c r="G191" s="3" t="str">
        <x:v>Nguồn: frontend/src/app/(public)/discover/page.tsx.  Baseline: docs/ba/02-requirements/VGG_REQ-WORKBOOK_v0.1_2026-09-04.xlsx / Requirements; Phạm vi dịch thuật đầy đủ cần xác nhận</x:v>
      </x:c>
    </x:row>
    <x:row r="192" ht="36" customHeight="1">
      <x:c r="A192" s="3" t="str">
        <x:v>PUB-001</x:v>
      </x:c>
      <x:c r="B192" s="3" t="str">
        <x:v>PUBLIC</x:v>
      </x:c>
      <x:c r="C192" s="3" t="str">
        <x:v>Hệ thống phải cung cấp tuyến /vi và /en và duy trì locale khi điều hướng.</x:v>
      </x:c>
      <x:c r="D192" s="3" t="str">
        <x:v>TC_PUBLIC_046</x:v>
      </x:c>
      <x:c r="E192" s="3" t="str">
        <x:v>Landing /programmes</x:v>
      </x:c>
      <x:c r="F192" s="3" t="str">
        <x:v>Designed — chưa thực thi</x:v>
      </x:c>
      <x:c r="G192" s="3" t="str">
        <x:v>Nguồn: frontend/src/app/(public)/programmes/page.tsx.  Baseline: docs/ba/02-requirements/VGG_REQ-WORKBOOK_v0.1_2026-09-04.xlsx / Requirements; Phạm vi dịch thuật đầy đủ cần xác nhận</x:v>
      </x:c>
    </x:row>
    <x:row r="193" ht="36" customHeight="1">
      <x:c r="A193" s="3" t="str">
        <x:v>PUB-001</x:v>
      </x:c>
      <x:c r="B193" s="3" t="str">
        <x:v>PUBLIC</x:v>
      </x:c>
      <x:c r="C193" s="3" t="str">
        <x:v>Hệ thống phải cung cấp tuyến /vi và /en và duy trì locale khi điều hướng.</x:v>
      </x:c>
      <x:c r="D193" s="3" t="str">
        <x:v>TC_PUBLIC_047</x:v>
      </x:c>
      <x:c r="E193" s="3" t="str">
        <x:v>Landing /admissions</x:v>
      </x:c>
      <x:c r="F193" s="3" t="str">
        <x:v>Designed — chưa thực thi</x:v>
      </x:c>
      <x:c r="G193" s="3" t="str">
        <x:v>Nguồn: frontend/src/app/(public)/admissions/page.tsx.  Baseline: docs/ba/02-requirements/VGG_REQ-WORKBOOK_v0.1_2026-09-04.xlsx / Requirements; Phạm vi dịch thuật đầy đủ cần xác nhận</x:v>
      </x:c>
    </x:row>
    <x:row r="194" ht="36" customHeight="1">
      <x:c r="A194" s="3" t="str">
        <x:v>PUB-001</x:v>
      </x:c>
      <x:c r="B194" s="3" t="str">
        <x:v>PUBLIC</x:v>
      </x:c>
      <x:c r="C194" s="3" t="str">
        <x:v>Hệ thống phải cung cấp tuyến /vi và /en và duy trì locale khi điều hướng.</x:v>
      </x:c>
      <x:c r="D194" s="3" t="str">
        <x:v>TC_PUBLIC_048</x:v>
      </x:c>
      <x:c r="E194" s="3" t="str">
        <x:v>Landing /research</x:v>
      </x:c>
      <x:c r="F194" s="3" t="str">
        <x:v>Designed — chưa thực thi</x:v>
      </x:c>
      <x:c r="G194" s="3" t="str">
        <x:v>Nguồn: frontend/src/app/(public)/research/page.tsx.  Baseline: docs/ba/02-requirements/VGG_REQ-WORKBOOK_v0.1_2026-09-04.xlsx / Requirements; Phạm vi dịch thuật đầy đủ cần xác nhận</x:v>
      </x:c>
    </x:row>
    <x:row r="195" ht="36" customHeight="1">
      <x:c r="A195" s="3" t="str">
        <x:v>PUB-001</x:v>
      </x:c>
      <x:c r="B195" s="3" t="str">
        <x:v>PUBLIC</x:v>
      </x:c>
      <x:c r="C195" s="3" t="str">
        <x:v>Hệ thống phải cung cấp tuyến /vi và /en và duy trì locale khi điều hướng.</x:v>
      </x:c>
      <x:c r="D195" s="3" t="str">
        <x:v>TC_PUBLIC_049</x:v>
      </x:c>
      <x:c r="E195" s="3" t="str">
        <x:v>Landing /student-success</x:v>
      </x:c>
      <x:c r="F195" s="3" t="str">
        <x:v>Designed — chưa thực thi</x:v>
      </x:c>
      <x:c r="G195" s="3" t="str">
        <x:v>Nguồn: frontend/src/app/(public)/student-success/page.tsx.  Baseline: docs/ba/02-requirements/VGG_REQ-WORKBOOK_v0.1_2026-09-04.xlsx / Requirements; Phạm vi dịch thuật đầy đủ cần xác nhận</x:v>
      </x:c>
    </x:row>
    <x:row r="196" ht="36" customHeight="1">
      <x:c r="A196" s="3" t="str">
        <x:v>PUB-001</x:v>
      </x:c>
      <x:c r="B196" s="3" t="str">
        <x:v>PUBLIC</x:v>
      </x:c>
      <x:c r="C196" s="3" t="str">
        <x:v>Hệ thống phải cung cấp tuyến /vi và /en và duy trì locale khi điều hướng.</x:v>
      </x:c>
      <x:c r="D196" s="3" t="str">
        <x:v>TC_PUBLIC_050</x:v>
      </x:c>
      <x:c r="E196" s="3" t="str">
        <x:v>Landing /news</x:v>
      </x:c>
      <x:c r="F196" s="3" t="str">
        <x:v>Designed — chưa thực thi</x:v>
      </x:c>
      <x:c r="G196" s="3" t="str">
        <x:v>Nguồn: frontend/src/app/(public)/news/page.tsx.  Baseline: docs/ba/02-requirements/VGG_REQ-WORKBOOK_v0.1_2026-09-04.xlsx / Requirements; Phạm vi dịch thuật đầy đủ cần xác nhận</x:v>
      </x:c>
    </x:row>
    <x:row r="197" ht="36" customHeight="1">
      <x:c r="A197" s="3" t="str">
        <x:v>PUB-001</x:v>
      </x:c>
      <x:c r="B197" s="3" t="str">
        <x:v>PUBLIC</x:v>
      </x:c>
      <x:c r="C197" s="3" t="str">
        <x:v>Hệ thống phải cung cấp tuyến /vi và /en và duy trì locale khi điều hướng.</x:v>
      </x:c>
      <x:c r="D197" s="3" t="str">
        <x:v>TC_PUBLIC_051</x:v>
      </x:c>
      <x:c r="E197" s="3" t="str">
        <x:v>Landing /resources</x:v>
      </x:c>
      <x:c r="F197" s="3" t="str">
        <x:v>Designed — chưa thực thi</x:v>
      </x:c>
      <x:c r="G197" s="3" t="str">
        <x:v>Nguồn: frontend/src/app/(public)/resources/page.tsx.  Baseline: docs/ba/02-requirements/VGG_REQ-WORKBOOK_v0.1_2026-09-04.xlsx / Requirements; Phạm vi dịch thuật đầy đủ cần xác nhận</x:v>
      </x:c>
    </x:row>
    <x:row r="198" ht="36" customHeight="1">
      <x:c r="A198" s="3" t="str">
        <x:v>PUB-001</x:v>
      </x:c>
      <x:c r="B198" s="3" t="str">
        <x:v>PUBLIC</x:v>
      </x:c>
      <x:c r="C198" s="3" t="str">
        <x:v>Hệ thống phải cung cấp tuyến /vi và /en và duy trì locale khi điều hướng.</x:v>
      </x:c>
      <x:c r="D198" s="3" t="str">
        <x:v>TC_PUBLIC_052</x:v>
      </x:c>
      <x:c r="E198" s="3" t="str">
        <x:v>Slug không tồn tại discover</x:v>
      </x:c>
      <x:c r="F198" s="3" t="str">
        <x:v>Designed — chưa thực thi</x:v>
      </x:c>
      <x:c r="G198" s="3" t="str">
        <x:v>Nguồn: frontend/src/app/(public)/discover/[slug]/page.tsx.  Baseline: docs/ba/02-requirements/VGG_REQ-WORKBOOK_v0.1_2026-09-04.xlsx / Requirements; Phạm vi dịch thuật đầy đủ cần xác nhận</x:v>
      </x:c>
    </x:row>
    <x:row r="199" ht="36" customHeight="1">
      <x:c r="A199" s="3" t="str">
        <x:v>PUB-001</x:v>
      </x:c>
      <x:c r="B199" s="3" t="str">
        <x:v>PUBLIC</x:v>
      </x:c>
      <x:c r="C199" s="3" t="str">
        <x:v>Hệ thống phải cung cấp tuyến /vi và /en và duy trì locale khi điều hướng.</x:v>
      </x:c>
      <x:c r="D199" s="3" t="str">
        <x:v>TC_PUBLIC_053</x:v>
      </x:c>
      <x:c r="E199" s="3" t="str">
        <x:v>Slug không tồn tại programmes</x:v>
      </x:c>
      <x:c r="F199" s="3" t="str">
        <x:v>Designed — chưa thực thi</x:v>
      </x:c>
      <x:c r="G199" s="3" t="str">
        <x:v>Nguồn: frontend/src/app/(public)/programmes/[slug]/page.tsx.  Baseline: docs/ba/02-requirements/VGG_REQ-WORKBOOK_v0.1_2026-09-04.xlsx / Requirements; Phạm vi dịch thuật đầy đủ cần xác nhận</x:v>
      </x:c>
    </x:row>
    <x:row r="200" ht="36" customHeight="1">
      <x:c r="A200" s="3" t="str">
        <x:v>PUB-001</x:v>
      </x:c>
      <x:c r="B200" s="3" t="str">
        <x:v>PUBLIC</x:v>
      </x:c>
      <x:c r="C200" s="3" t="str">
        <x:v>Hệ thống phải cung cấp tuyến /vi và /en và duy trì locale khi điều hướng.</x:v>
      </x:c>
      <x:c r="D200" s="3" t="str">
        <x:v>TC_PUBLIC_054</x:v>
      </x:c>
      <x:c r="E200" s="3" t="str">
        <x:v>Slug không tồn tại admissions</x:v>
      </x:c>
      <x:c r="F200" s="3" t="str">
        <x:v>Designed — chưa thực thi</x:v>
      </x:c>
      <x:c r="G200" s="3" t="str">
        <x:v>Nguồn: frontend/src/app/(public)/admissions/[slug]/page.tsx.  Baseline: docs/ba/02-requirements/VGG_REQ-WORKBOOK_v0.1_2026-09-04.xlsx / Requirements; Phạm vi dịch thuật đầy đủ cần xác nhận</x:v>
      </x:c>
    </x:row>
    <x:row r="201" ht="36" customHeight="1">
      <x:c r="A201" s="3" t="str">
        <x:v>PUB-001</x:v>
      </x:c>
      <x:c r="B201" s="3" t="str">
        <x:v>PUBLIC</x:v>
      </x:c>
      <x:c r="C201" s="3" t="str">
        <x:v>Hệ thống phải cung cấp tuyến /vi và /en và duy trì locale khi điều hướng.</x:v>
      </x:c>
      <x:c r="D201" s="3" t="str">
        <x:v>TC_PUBLIC_055</x:v>
      </x:c>
      <x:c r="E201" s="3" t="str">
        <x:v>Slug không tồn tại research</x:v>
      </x:c>
      <x:c r="F201" s="3" t="str">
        <x:v>Designed — chưa thực thi</x:v>
      </x:c>
      <x:c r="G201" s="3" t="str">
        <x:v>Nguồn: frontend/src/app/(public)/research/[slug]/page.tsx.  Baseline: docs/ba/02-requirements/VGG_REQ-WORKBOOK_v0.1_2026-09-04.xlsx / Requirements; Phạm vi dịch thuật đầy đủ cần xác nhận</x:v>
      </x:c>
    </x:row>
    <x:row r="202" ht="36" customHeight="1">
      <x:c r="A202" s="3" t="str">
        <x:v>PUB-001</x:v>
      </x:c>
      <x:c r="B202" s="3" t="str">
        <x:v>PUBLIC</x:v>
      </x:c>
      <x:c r="C202" s="3" t="str">
        <x:v>Hệ thống phải cung cấp tuyến /vi và /en và duy trì locale khi điều hướng.</x:v>
      </x:c>
      <x:c r="D202" s="3" t="str">
        <x:v>TC_PUBLIC_056</x:v>
      </x:c>
      <x:c r="E202" s="3" t="str">
        <x:v>Slug không tồn tại news</x:v>
      </x:c>
      <x:c r="F202" s="3" t="str">
        <x:v>Designed — chưa thực thi</x:v>
      </x:c>
      <x:c r="G202" s="3" t="str">
        <x:v>Nguồn: frontend/src/app/(public)/news/[slug]/page.tsx.  Baseline: docs/ba/02-requirements/VGG_REQ-WORKBOOK_v0.1_2026-09-04.xlsx / Requirements; Phạm vi dịch thuật đầy đủ cần xác nhận</x:v>
      </x:c>
    </x:row>
    <x:row r="203" ht="36" customHeight="1">
      <x:c r="A203" s="3" t="str">
        <x:v>PUB-001</x:v>
      </x:c>
      <x:c r="B203" s="3" t="str">
        <x:v>PUBLIC</x:v>
      </x:c>
      <x:c r="C203" s="3" t="str">
        <x:v>Hệ thống phải cung cấp tuyến /vi và /en và duy trì locale khi điều hướng.</x:v>
      </x:c>
      <x:c r="D203" s="3" t="str">
        <x:v>TC_PUBLIC_057</x:v>
      </x:c>
      <x:c r="E203" s="3" t="str">
        <x:v>Menu desktop</x:v>
      </x:c>
      <x:c r="F203" s="3" t="str">
        <x:v>Designed — chưa thực thi</x:v>
      </x:c>
      <x:c r="G203" s="3" t="str">
        <x:v>Nguồn: frontend/src/shared/components/layout; frontend/src/features/home/components.  Baseline: docs/ba/02-requirements/VGG_REQ-WORKBOOK_v0.1_2026-09-04.xlsx / Requirements; Phạm vi dịch thuật đầy đủ cần xác nhận</x:v>
      </x:c>
    </x:row>
    <x:row r="204" ht="36" customHeight="1">
      <x:c r="A204" s="3" t="str">
        <x:v>PUB-001</x:v>
      </x:c>
      <x:c r="B204" s="3" t="str">
        <x:v>PUBLIC</x:v>
      </x:c>
      <x:c r="C204" s="3" t="str">
        <x:v>Hệ thống phải cung cấp tuyến /vi và /en và duy trì locale khi điều hướng.</x:v>
      </x:c>
      <x:c r="D204" s="3" t="str">
        <x:v>TC_PUBLIC_058</x:v>
      </x:c>
      <x:c r="E204" s="3" t="str">
        <x:v>Menu mobile</x:v>
      </x:c>
      <x:c r="F204" s="3" t="str">
        <x:v>Designed — chưa thực thi</x:v>
      </x:c>
      <x:c r="G204" s="3" t="str">
        <x:v>Nguồn: frontend/src/shared/components/layout; frontend/src/features/home/components.  Baseline: docs/ba/02-requirements/VGG_REQ-WORKBOOK_v0.1_2026-09-04.xlsx / Requirements; Phạm vi dịch thuật đầy đủ cần xác nhận</x:v>
      </x:c>
    </x:row>
    <x:row r="205" ht="36" customHeight="1">
      <x:c r="A205" s="3" t="str">
        <x:v>PUB-001</x:v>
      </x:c>
      <x:c r="B205" s="3" t="str">
        <x:v>PUBLIC</x:v>
      </x:c>
      <x:c r="C205" s="3" t="str">
        <x:v>Hệ thống phải cung cấp tuyến /vi và /en và duy trì locale khi điều hướng.</x:v>
      </x:c>
      <x:c r="D205" s="3" t="str">
        <x:v>TC_PUBLIC_059</x:v>
      </x:c>
      <x:c r="E205" s="3" t="str">
        <x:v>Logo về trang chủ</x:v>
      </x:c>
      <x:c r="F205" s="3" t="str">
        <x:v>Designed — chưa thực thi</x:v>
      </x:c>
      <x:c r="G205" s="3" t="str">
        <x:v>Nguồn: frontend/src/shared/components/layout; frontend/src/features/home/components.  Baseline: docs/ba/02-requirements/VGG_REQ-WORKBOOK_v0.1_2026-09-04.xlsx / Requirements; Phạm vi dịch thuật đầy đủ cần xác nhận</x:v>
      </x:c>
    </x:row>
    <x:row r="206" ht="36" customHeight="1">
      <x:c r="A206" s="3" t="str">
        <x:v>PUB-001</x:v>
      </x:c>
      <x:c r="B206" s="3" t="str">
        <x:v>PUBLIC</x:v>
      </x:c>
      <x:c r="C206" s="3" t="str">
        <x:v>Hệ thống phải cung cấp tuyến /vi và /en và duy trì locale khi điều hướng.</x:v>
      </x:c>
      <x:c r="D206" s="3" t="str">
        <x:v>TC_PUBLIC_060</x:v>
      </x:c>
      <x:c r="E206" s="3" t="str">
        <x:v>Footer liên hệ</x:v>
      </x:c>
      <x:c r="F206" s="3" t="str">
        <x:v>Designed — chưa thực thi</x:v>
      </x:c>
      <x:c r="G206" s="3" t="str">
        <x:v>Nguồn: frontend/src/shared/components/layout; frontend/src/features/home/components.  Baseline: docs/ba/02-requirements/VGG_REQ-WORKBOOK_v0.1_2026-09-04.xlsx / Requirements; Phạm vi dịch thuật đầy đủ cần xác nhận</x:v>
      </x:c>
    </x:row>
    <x:row r="207" ht="36" customHeight="1">
      <x:c r="A207" s="3" t="str">
        <x:v>PUB-001</x:v>
      </x:c>
      <x:c r="B207" s="3" t="str">
        <x:v>PUBLIC</x:v>
      </x:c>
      <x:c r="C207" s="3" t="str">
        <x:v>Hệ thống phải cung cấp tuyến /vi và /en và duy trì locale khi điều hướng.</x:v>
      </x:c>
      <x:c r="D207" s="3" t="str">
        <x:v>TC_PUBLIC_061</x:v>
      </x:c>
      <x:c r="E207" s="3" t="str">
        <x:v>Accordion nội dung</x:v>
      </x:c>
      <x:c r="F207" s="3" t="str">
        <x:v>Designed — chưa thực thi</x:v>
      </x:c>
      <x:c r="G207" s="3" t="str">
        <x:v>Nguồn: frontend/src/shared/components/layout; frontend/src/features/home/components.  Baseline: docs/ba/02-requirements/VGG_REQ-WORKBOOK_v0.1_2026-09-04.xlsx / Requirements; Phạm vi dịch thuật đầy đủ cần xác nhận</x:v>
      </x:c>
    </x:row>
    <x:row r="208" ht="36" customHeight="1">
      <x:c r="A208" s="3" t="str">
        <x:v>PUB-001</x:v>
      </x:c>
      <x:c r="B208" s="3" t="str">
        <x:v>PUBLIC</x:v>
      </x:c>
      <x:c r="C208" s="3" t="str">
        <x:v>Hệ thống phải cung cấp tuyến /vi và /en và duy trì locale khi điều hướng.</x:v>
      </x:c>
      <x:c r="D208" s="3" t="str">
        <x:v>TC_PUBLIC_062</x:v>
      </x:c>
      <x:c r="E208" s="3" t="str">
        <x:v>Carousel đối tác</x:v>
      </x:c>
      <x:c r="F208" s="3" t="str">
        <x:v>Designed — chưa thực thi</x:v>
      </x:c>
      <x:c r="G208" s="3" t="str">
        <x:v>Nguồn: frontend/src/shared/components/layout; frontend/src/features/home/components.  Baseline: docs/ba/02-requirements/VGG_REQ-WORKBOOK_v0.1_2026-09-04.xlsx / Requirements; Phạm vi dịch thuật đầy đủ cần xác nhận</x:v>
      </x:c>
    </x:row>
    <x:row r="209" ht="36" customHeight="1">
      <x:c r="A209" s="3" t="str">
        <x:v>PUB-001</x:v>
      </x:c>
      <x:c r="B209" s="3" t="str">
        <x:v>PUBLIC</x:v>
      </x:c>
      <x:c r="C209" s="3" t="str">
        <x:v>Hệ thống phải cung cấp tuyến /vi và /en và duy trì locale khi điều hướng.</x:v>
      </x:c>
      <x:c r="D209" s="3" t="str">
        <x:v>TC_PUBLIC_063</x:v>
      </x:c>
      <x:c r="E209" s="3" t="str">
        <x:v>Video hero</x:v>
      </x:c>
      <x:c r="F209" s="3" t="str">
        <x:v>Designed — chưa thực thi</x:v>
      </x:c>
      <x:c r="G209" s="3" t="str">
        <x:v>Nguồn: frontend/src/shared/components/layout; frontend/src/features/home/components.  Baseline: docs/ba/02-requirements/VGG_REQ-WORKBOOK_v0.1_2026-09-04.xlsx / Requirements; Phạm vi dịch thuật đầy đủ cần xác nhận</x:v>
      </x:c>
    </x:row>
    <x:row r="210" ht="36" customHeight="1">
      <x:c r="A210" s="3" t="str">
        <x:v>PUB-002</x:v>
      </x:c>
      <x:c r="B210" s="3" t="str">
        <x:v>PROGRAMME</x:v>
      </x:c>
      <x:c r="C210" s="3" t="str">
        <x:v>Hệ thống phải hiển thị danh mục chương trình và hỗ trợ tìm/lọc theo dữ liệu hiện có.</x:v>
      </x:c>
      <x:c r="D210" s="3" t="str">
        <x:v>TC_PROGRAMME_001</x:v>
      </x:c>
      <x:c r="E210" s="3" t="str">
        <x:v>Tìm/lọc theo từ khóa</x:v>
      </x:c>
      <x:c r="F210" s="3" t="str">
        <x:v>Designed — chưa thực thi</x:v>
      </x:c>
      <x:c r="G210" s="3" t="str">
        <x:v>Nguồn: frontend/src/features/programmes/components/ProgrammeSearch.tsx.  Baseline: docs/ba/02-requirements/VGG_REQ-WORKBOOK_v0.1_2026-09-04.xlsx / Requirements; Dữ liệu hiện phần lớn tĩnh</x:v>
      </x:c>
    </x:row>
    <x:row r="211" ht="36" customHeight="1">
      <x:c r="A211" s="3" t="str">
        <x:v>PUB-002</x:v>
      </x:c>
      <x:c r="B211" s="3" t="str">
        <x:v>PROGRAMME</x:v>
      </x:c>
      <x:c r="C211" s="3" t="str">
        <x:v>Hệ thống phải hiển thị danh mục chương trình và hỗ trợ tìm/lọc theo dữ liệu hiện có.</x:v>
      </x:c>
      <x:c r="D211" s="3" t="str">
        <x:v>TC_PROGRAMME_002</x:v>
      </x:c>
      <x:c r="E211" s="3" t="str">
        <x:v>Tìm/lọc theo bậc học</x:v>
      </x:c>
      <x:c r="F211" s="3" t="str">
        <x:v>Designed — chưa thực thi</x:v>
      </x:c>
      <x:c r="G211" s="3" t="str">
        <x:v>Nguồn: frontend/src/features/programmes/components/ProgrammeSearch.tsx.  Baseline: docs/ba/02-requirements/VGG_REQ-WORKBOOK_v0.1_2026-09-04.xlsx / Requirements; Dữ liệu hiện phần lớn tĩnh</x:v>
      </x:c>
    </x:row>
    <x:row r="212" ht="36" customHeight="1">
      <x:c r="A212" s="3" t="str">
        <x:v>PUB-002</x:v>
      </x:c>
      <x:c r="B212" s="3" t="str">
        <x:v>PROGRAMME</x:v>
      </x:c>
      <x:c r="C212" s="3" t="str">
        <x:v>Hệ thống phải hiển thị danh mục chương trình và hỗ trợ tìm/lọc theo dữ liệu hiện có.</x:v>
      </x:c>
      <x:c r="D212" s="3" t="str">
        <x:v>TC_PROGRAMME_003</x:v>
      </x:c>
      <x:c r="E212" s="3" t="str">
        <x:v>Tìm/lọc theo lĩnh vực</x:v>
      </x:c>
      <x:c r="F212" s="3" t="str">
        <x:v>Designed — chưa thực thi</x:v>
      </x:c>
      <x:c r="G212" s="3" t="str">
        <x:v>Nguồn: frontend/src/features/programmes/components/ProgrammeSearch.tsx.  Baseline: docs/ba/02-requirements/VGG_REQ-WORKBOOK_v0.1_2026-09-04.xlsx / Requirements; Dữ liệu hiện phần lớn tĩnh</x:v>
      </x:c>
    </x:row>
    <x:row r="213" ht="36" customHeight="1">
      <x:c r="A213" s="3" t="str">
        <x:v>PUB-002</x:v>
      </x:c>
      <x:c r="B213" s="3" t="str">
        <x:v>PROGRAMME</x:v>
      </x:c>
      <x:c r="C213" s="3" t="str">
        <x:v>Hệ thống phải hiển thị danh mục chương trình và hỗ trợ tìm/lọc theo dữ liệu hiện có.</x:v>
      </x:c>
      <x:c r="D213" s="3" t="str">
        <x:v>TC_PROGRAMME_004</x:v>
      </x:c>
      <x:c r="E213" s="3" t="str">
        <x:v>Không kết quả</x:v>
      </x:c>
      <x:c r="F213" s="3" t="str">
        <x:v>Designed — chưa thực thi</x:v>
      </x:c>
      <x:c r="G213" s="3" t="str">
        <x:v>Nguồn: frontend/src/features/programmes/components/ProgrammeSearch.tsx.  Baseline: docs/ba/02-requirements/VGG_REQ-WORKBOOK_v0.1_2026-09-04.xlsx / Requirements; Dữ liệu hiện phần lớn tĩnh</x:v>
      </x:c>
    </x:row>
    <x:row r="214" ht="36" customHeight="1">
      <x:c r="A214" s="3" t="str">
        <x:v>PUB-002</x:v>
      </x:c>
      <x:c r="B214" s="3" t="str">
        <x:v>PROGRAMME</x:v>
      </x:c>
      <x:c r="C214" s="3" t="str">
        <x:v>Hệ thống phải hiển thị danh mục chương trình và hỗ trợ tìm/lọc theo dữ liệu hiện có.</x:v>
      </x:c>
      <x:c r="D214" s="3" t="str">
        <x:v>TC_PROGRAMME_005</x:v>
      </x:c>
      <x:c r="E214" s="3" t="str">
        <x:v>Xóa bộ lọc</x:v>
      </x:c>
      <x:c r="F214" s="3" t="str">
        <x:v>Designed — chưa thực thi</x:v>
      </x:c>
      <x:c r="G214" s="3" t="str">
        <x:v>Nguồn: frontend/src/features/programmes/components/ProgrammeSearch.tsx.  Baseline: docs/ba/02-requirements/VGG_REQ-WORKBOOK_v0.1_2026-09-04.xlsx / Requirements; Dữ liệu hiện phần lớn tĩnh</x:v>
      </x:c>
    </x:row>
    <x:row r="215" ht="36" customHeight="1">
      <x:c r="A215" s="3" t="str">
        <x:v>PUB-002</x:v>
      </x:c>
      <x:c r="B215" s="3" t="str">
        <x:v>PROGRAMME</x:v>
      </x:c>
      <x:c r="C215" s="3" t="str">
        <x:v>Hệ thống phải hiển thị danh mục chương trình và hỗ trợ tìm/lọc theo dữ liệu hiện có.</x:v>
      </x:c>
      <x:c r="D215" s="3" t="str">
        <x:v>TC_PROGRAMME_006</x:v>
      </x:c>
      <x:c r="E215" s="3" t="str">
        <x:v>Unicode và khoảng trắng</x:v>
      </x:c>
      <x:c r="F215" s="3" t="str">
        <x:v>Designed — chưa thực thi</x:v>
      </x:c>
      <x:c r="G215" s="3" t="str">
        <x:v>Nguồn: frontend/src/features/programmes/components/ProgrammeSearch.tsx.  Baseline: docs/ba/02-requirements/VGG_REQ-WORKBOOK_v0.1_2026-09-04.xlsx / Requirements; Dữ liệu hiện phần lớn tĩnh</x:v>
      </x:c>
    </x:row>
    <x:row r="216" ht="36" customHeight="1">
      <x:c r="A216" s="3" t="str">
        <x:v>PUB-002</x:v>
      </x:c>
      <x:c r="B216" s="3" t="str">
        <x:v>PROGRAMME</x:v>
      </x:c>
      <x:c r="C216" s="3" t="str">
        <x:v>Hệ thống phải hiển thị danh mục chương trình và hỗ trợ tìm/lọc theo dữ liệu hiện có.</x:v>
      </x:c>
      <x:c r="D216" s="3" t="str">
        <x:v>TC_PROGRAMME_007</x:v>
      </x:c>
      <x:c r="E216" s="3" t="str">
        <x:v>Kết hợp bộ lọc</x:v>
      </x:c>
      <x:c r="F216" s="3" t="str">
        <x:v>Designed — chưa thực thi</x:v>
      </x:c>
      <x:c r="G216" s="3" t="str">
        <x:v>Nguồn: frontend/src/features/programmes/components/ProgrammeSearch.tsx.  Baseline: docs/ba/02-requirements/VGG_REQ-WORKBOOK_v0.1_2026-09-04.xlsx / Requirements; Dữ liệu hiện phần lớn tĩnh</x:v>
      </x:c>
    </x:row>
    <x:row r="217" ht="36" customHeight="1">
      <x:c r="A217" s="3" t="str">
        <x:v>OBS-RESEARCH</x:v>
      </x:c>
      <x:c r="B217" s="3" t="str">
        <x:v>RESEARCH</x:v>
      </x:c>
      <x:c r="C217" s="3" t="str">
        <x:v>Tra cứu</x:v>
      </x:c>
      <x:c r="D217" s="3" t="str">
        <x:v>TC_RESEARCH_001</x:v>
      </x:c>
      <x:c r="E217" s="3" t="str">
        <x:v>Tìm/lọc theo từ khóa</x:v>
      </x:c>
      <x:c r="F217" s="3" t="str">
        <x:v>Designed — chưa thực thi</x:v>
      </x:c>
      <x:c r="G217" s="3" t="str">
        <x:v>Nguồn: frontend/src/features/research/components/PublicationsSearch.tsx.  Baseline: frontend/src/features/research/components/PublicationsSearch.tsx; Yêu cầu suy ra từ code, chưa phải baseline đã phê duyệt.</x:v>
      </x:c>
    </x:row>
    <x:row r="218" ht="36" customHeight="1">
      <x:c r="A218" s="3" t="str">
        <x:v>OBS-RESEARCH</x:v>
      </x:c>
      <x:c r="B218" s="3" t="str">
        <x:v>RESEARCH</x:v>
      </x:c>
      <x:c r="C218" s="3" t="str">
        <x:v>Tra cứu</x:v>
      </x:c>
      <x:c r="D218" s="3" t="str">
        <x:v>TC_RESEARCH_002</x:v>
      </x:c>
      <x:c r="E218" s="3" t="str">
        <x:v>Tìm/lọc theo lĩnh vực</x:v>
      </x:c>
      <x:c r="F218" s="3" t="str">
        <x:v>Designed — chưa thực thi</x:v>
      </x:c>
      <x:c r="G218" s="3" t="str">
        <x:v>Nguồn: frontend/src/features/research/components/PublicationsSearch.tsx.  Baseline: frontend/src/features/research/components/PublicationsSearch.tsx; Yêu cầu suy ra từ code, chưa phải baseline đã phê duyệt.</x:v>
      </x:c>
    </x:row>
    <x:row r="219" ht="36" customHeight="1">
      <x:c r="A219" s="3" t="str">
        <x:v>OBS-RESEARCH</x:v>
      </x:c>
      <x:c r="B219" s="3" t="str">
        <x:v>RESEARCH</x:v>
      </x:c>
      <x:c r="C219" s="3" t="str">
        <x:v>Tra cứu</x:v>
      </x:c>
      <x:c r="D219" s="3" t="str">
        <x:v>TC_RESEARCH_003</x:v>
      </x:c>
      <x:c r="E219" s="3" t="str">
        <x:v>Tìm/lọc theo tác giả</x:v>
      </x:c>
      <x:c r="F219" s="3" t="str">
        <x:v>Designed — chưa thực thi</x:v>
      </x:c>
      <x:c r="G219" s="3" t="str">
        <x:v>Nguồn: frontend/src/features/research/components/PublicationsSearch.tsx.  Baseline: frontend/src/features/research/components/PublicationsSearch.tsx; Yêu cầu suy ra từ code, chưa phải baseline đã phê duyệt.</x:v>
      </x:c>
    </x:row>
    <x:row r="220" ht="36" customHeight="1">
      <x:c r="A220" s="3" t="str">
        <x:v>OBS-RESEARCH</x:v>
      </x:c>
      <x:c r="B220" s="3" t="str">
        <x:v>RESEARCH</x:v>
      </x:c>
      <x:c r="C220" s="3" t="str">
        <x:v>Tra cứu</x:v>
      </x:c>
      <x:c r="D220" s="3" t="str">
        <x:v>TC_RESEARCH_004</x:v>
      </x:c>
      <x:c r="E220" s="3" t="str">
        <x:v>Tìm/lọc theo năm</x:v>
      </x:c>
      <x:c r="F220" s="3" t="str">
        <x:v>Designed — chưa thực thi</x:v>
      </x:c>
      <x:c r="G220" s="3" t="str">
        <x:v>Nguồn: frontend/src/features/research/components/PublicationsSearch.tsx.  Baseline: frontend/src/features/research/components/PublicationsSearch.tsx; Yêu cầu suy ra từ code, chưa phải baseline đã phê duyệt.</x:v>
      </x:c>
    </x:row>
    <x:row r="221" ht="36" customHeight="1">
      <x:c r="A221" s="3" t="str">
        <x:v>OBS-RESEARCH</x:v>
      </x:c>
      <x:c r="B221" s="3" t="str">
        <x:v>RESEARCH</x:v>
      </x:c>
      <x:c r="C221" s="3" t="str">
        <x:v>Tra cứu</x:v>
      </x:c>
      <x:c r="D221" s="3" t="str">
        <x:v>TC_RESEARCH_005</x:v>
      </x:c>
      <x:c r="E221" s="3" t="str">
        <x:v>Không kết quả</x:v>
      </x:c>
      <x:c r="F221" s="3" t="str">
        <x:v>Designed — chưa thực thi</x:v>
      </x:c>
      <x:c r="G221" s="3" t="str">
        <x:v>Nguồn: frontend/src/features/research/components/PublicationsSearch.tsx.  Baseline: frontend/src/features/research/components/PublicationsSearch.tsx; Yêu cầu suy ra từ code, chưa phải baseline đã phê duyệt.</x:v>
      </x:c>
    </x:row>
    <x:row r="222" ht="36" customHeight="1">
      <x:c r="A222" s="3" t="str">
        <x:v>OBS-RESEARCH</x:v>
      </x:c>
      <x:c r="B222" s="3" t="str">
        <x:v>RESEARCH</x:v>
      </x:c>
      <x:c r="C222" s="3" t="str">
        <x:v>Tra cứu</x:v>
      </x:c>
      <x:c r="D222" s="3" t="str">
        <x:v>TC_RESEARCH_006</x:v>
      </x:c>
      <x:c r="E222" s="3" t="str">
        <x:v>Xóa bộ lọc</x:v>
      </x:c>
      <x:c r="F222" s="3" t="str">
        <x:v>Designed — chưa thực thi</x:v>
      </x:c>
      <x:c r="G222" s="3" t="str">
        <x:v>Nguồn: frontend/src/features/research/components/PublicationsSearch.tsx.  Baseline: frontend/src/features/research/components/PublicationsSearch.tsx; Yêu cầu suy ra từ code, chưa phải baseline đã phê duyệt.</x:v>
      </x:c>
    </x:row>
    <x:row r="223" ht="36" customHeight="1">
      <x:c r="A223" s="3" t="str">
        <x:v>OBS-RESEARCH</x:v>
      </x:c>
      <x:c r="B223" s="3" t="str">
        <x:v>RESEARCH</x:v>
      </x:c>
      <x:c r="C223" s="3" t="str">
        <x:v>Tra cứu</x:v>
      </x:c>
      <x:c r="D223" s="3" t="str">
        <x:v>TC_RESEARCH_007</x:v>
      </x:c>
      <x:c r="E223" s="3" t="str">
        <x:v>Unicode và khoảng trắng</x:v>
      </x:c>
      <x:c r="F223" s="3" t="str">
        <x:v>Designed — chưa thực thi</x:v>
      </x:c>
      <x:c r="G223" s="3" t="str">
        <x:v>Nguồn: frontend/src/features/research/components/PublicationsSearch.tsx.  Baseline: frontend/src/features/research/components/PublicationsSearch.tsx; Yêu cầu suy ra từ code, chưa phải baseline đã phê duyệt.</x:v>
      </x:c>
    </x:row>
    <x:row r="224" ht="36" customHeight="1">
      <x:c r="A224" s="3" t="str">
        <x:v>OBS-RESEARCH</x:v>
      </x:c>
      <x:c r="B224" s="3" t="str">
        <x:v>RESEARCH</x:v>
      </x:c>
      <x:c r="C224" s="3" t="str">
        <x:v>Tra cứu</x:v>
      </x:c>
      <x:c r="D224" s="3" t="str">
        <x:v>TC_RESEARCH_008</x:v>
      </x:c>
      <x:c r="E224" s="3" t="str">
        <x:v>Kết hợp bộ lọc</x:v>
      </x:c>
      <x:c r="F224" s="3" t="str">
        <x:v>Designed — chưa thực thi</x:v>
      </x:c>
      <x:c r="G224" s="3" t="str">
        <x:v>Nguồn: frontend/src/features/research/components/PublicationsSearch.tsx.  Baseline: frontend/src/features/research/components/PublicationsSearch.tsx; Yêu cầu suy ra từ code, chưa phải baseline đã phê duyệt.</x:v>
      </x:c>
    </x:row>
    <x:row r="225" ht="49" customHeight="1">
      <x:c r="A225" s="3" t="str">
        <x:v>AUTH-001</x:v>
      </x:c>
      <x:c r="B225" s="3" t="str">
        <x:v>AUTH</x:v>
      </x:c>
      <x:c r="C225" s="3" t="str">
        <x:v>Hệ thống phải xác thực tài khoản, trạng thái và tạo phiên bằng cookie HttpOnly.</x:v>
      </x:c>
      <x:c r="D225" s="3" t="str">
        <x:v>TC_AUTH_031</x:v>
      </x:c>
      <x:c r="E225" s="3" t="str">
        <x:v>POST ADMIN /api/admin/auth/login: username Min−1 (2)</x:v>
      </x:c>
      <x:c r="F225" s="3" t="str">
        <x:v>Designed — chưa thực thi</x:v>
      </x:c>
      <x:c r="G225" s="3" t="str">
        <x:v>Nguồn: admin/src/lib/auth/schemas.ts:21. Độ dài JS/Zod dùng UTF-16; fixture ASCII để cô lập boundary. Optional min=0: Min−1 không áp dụng vì không có độ dài âm. Baseline: docs/ba/02-requirements/VGG_REQ-WORKBOOK_v0.1_2026-09-04.xlsx / Requirements; </x:v>
      </x:c>
    </x:row>
    <x:row r="226" ht="49" customHeight="1">
      <x:c r="A226" s="3" t="str">
        <x:v>AUTH-001</x:v>
      </x:c>
      <x:c r="B226" s="3" t="str">
        <x:v>AUTH</x:v>
      </x:c>
      <x:c r="C226" s="3" t="str">
        <x:v>Hệ thống phải xác thực tài khoản, trạng thái và tạo phiên bằng cookie HttpOnly.</x:v>
      </x:c>
      <x:c r="D226" s="3" t="str">
        <x:v>TC_AUTH_032</x:v>
      </x:c>
      <x:c r="E226" s="3" t="str">
        <x:v>POST ADMIN /api/admin/auth/login: username Min (3)</x:v>
      </x:c>
      <x:c r="F226" s="3" t="str">
        <x:v>Designed — chưa thực thi</x:v>
      </x:c>
      <x:c r="G226" s="3" t="str">
        <x:v>Nguồn: admin/src/lib/auth/schemas.ts:21. Độ dài JS/Zod dùng UTF-16; fixture ASCII để cô lập boundary. Optional min=0: Min−1 không áp dụng vì không có độ dài âm. Baseline: docs/ba/02-requirements/VGG_REQ-WORKBOOK_v0.1_2026-09-04.xlsx / Requirements; </x:v>
      </x:c>
    </x:row>
    <x:row r="227" ht="49" customHeight="1">
      <x:c r="A227" s="3" t="str">
        <x:v>AUTH-001</x:v>
      </x:c>
      <x:c r="B227" s="3" t="str">
        <x:v>AUTH</x:v>
      </x:c>
      <x:c r="C227" s="3" t="str">
        <x:v>Hệ thống phải xác thực tài khoản, trạng thái và tạo phiên bằng cookie HttpOnly.</x:v>
      </x:c>
      <x:c r="D227" s="3" t="str">
        <x:v>TC_AUTH_033</x:v>
      </x:c>
      <x:c r="E227" s="3" t="str">
        <x:v>POST ADMIN /api/admin/auth/login: username Min+1 (4)</x:v>
      </x:c>
      <x:c r="F227" s="3" t="str">
        <x:v>Designed — chưa thực thi</x:v>
      </x:c>
      <x:c r="G227" s="3" t="str">
        <x:v>Nguồn: admin/src/lib/auth/schemas.ts:21. Độ dài JS/Zod dùng UTF-16; fixture ASCII để cô lập boundary. Optional min=0: Min−1 không áp dụng vì không có độ dài âm. Baseline: docs/ba/02-requirements/VGG_REQ-WORKBOOK_v0.1_2026-09-04.xlsx / Requirements; </x:v>
      </x:c>
    </x:row>
    <x:row r="228" ht="49" customHeight="1">
      <x:c r="A228" s="3" t="str">
        <x:v>AUTH-001</x:v>
      </x:c>
      <x:c r="B228" s="3" t="str">
        <x:v>AUTH</x:v>
      </x:c>
      <x:c r="C228" s="3" t="str">
        <x:v>Hệ thống phải xác thực tài khoản, trạng thái và tạo phiên bằng cookie HttpOnly.</x:v>
      </x:c>
      <x:c r="D228" s="3" t="str">
        <x:v>TC_AUTH_034</x:v>
      </x:c>
      <x:c r="E228" s="3" t="str">
        <x:v>POST ADMIN /api/admin/auth/login: username Max−1 (189)</x:v>
      </x:c>
      <x:c r="F228" s="3" t="str">
        <x:v>Designed — chưa thực thi</x:v>
      </x:c>
      <x:c r="G228" s="3" t="str">
        <x:v>Nguồn: admin/src/lib/auth/schemas.ts:21. Độ dài JS/Zod dùng UTF-16; fixture ASCII để cô lập boundary. Optional min=0: Min−1 không áp dụng vì không có độ dài âm. Baseline: docs/ba/02-requirements/VGG_REQ-WORKBOOK_v0.1_2026-09-04.xlsx / Requirements; </x:v>
      </x:c>
    </x:row>
    <x:row r="229" ht="49" customHeight="1">
      <x:c r="A229" s="3" t="str">
        <x:v>AUTH-001</x:v>
      </x:c>
      <x:c r="B229" s="3" t="str">
        <x:v>AUTH</x:v>
      </x:c>
      <x:c r="C229" s="3" t="str">
        <x:v>Hệ thống phải xác thực tài khoản, trạng thái và tạo phiên bằng cookie HttpOnly.</x:v>
      </x:c>
      <x:c r="D229" s="3" t="str">
        <x:v>TC_AUTH_035</x:v>
      </x:c>
      <x:c r="E229" s="3" t="str">
        <x:v>POST ADMIN /api/admin/auth/login: username Max (190)</x:v>
      </x:c>
      <x:c r="F229" s="3" t="str">
        <x:v>Designed — chưa thực thi</x:v>
      </x:c>
      <x:c r="G229" s="3" t="str">
        <x:v>Nguồn: admin/src/lib/auth/schemas.ts:21. Độ dài JS/Zod dùng UTF-16; fixture ASCII để cô lập boundary. Optional min=0: Min−1 không áp dụng vì không có độ dài âm. Baseline: docs/ba/02-requirements/VGG_REQ-WORKBOOK_v0.1_2026-09-04.xlsx / Requirements; </x:v>
      </x:c>
    </x:row>
    <x:row r="230" ht="49" customHeight="1">
      <x:c r="A230" s="3" t="str">
        <x:v>AUTH-001</x:v>
      </x:c>
      <x:c r="B230" s="3" t="str">
        <x:v>AUTH</x:v>
      </x:c>
      <x:c r="C230" s="3" t="str">
        <x:v>Hệ thống phải xác thực tài khoản, trạng thái và tạo phiên bằng cookie HttpOnly.</x:v>
      </x:c>
      <x:c r="D230" s="3" t="str">
        <x:v>TC_AUTH_036</x:v>
      </x:c>
      <x:c r="E230" s="3" t="str">
        <x:v>POST ADMIN /api/admin/auth/login: username Max+1 (191)</x:v>
      </x:c>
      <x:c r="F230" s="3" t="str">
        <x:v>Designed — chưa thực thi</x:v>
      </x:c>
      <x:c r="G230" s="3" t="str">
        <x:v>Nguồn: admin/src/lib/auth/schemas.ts:21. Độ dài JS/Zod dùng UTF-16; fixture ASCII để cô lập boundary. Optional min=0: Min−1 không áp dụng vì không có độ dài âm. Baseline: docs/ba/02-requirements/VGG_REQ-WORKBOOK_v0.1_2026-09-04.xlsx / Requirements; </x:v>
      </x:c>
    </x:row>
    <x:row r="231" ht="49" customHeight="1">
      <x:c r="A231" s="3" t="str">
        <x:v>AUTH-001</x:v>
      </x:c>
      <x:c r="B231" s="3" t="str">
        <x:v>AUTH</x:v>
      </x:c>
      <x:c r="C231" s="3" t="str">
        <x:v>Hệ thống phải xác thực tài khoản, trạng thái và tạo phiên bằng cookie HttpOnly.</x:v>
      </x:c>
      <x:c r="D231" s="3" t="str">
        <x:v>TC_AUTH_037</x:v>
      </x:c>
      <x:c r="E231" s="3" t="str">
        <x:v>POST ADMIN /api/admin/auth/login: password Min−1 (0)</x:v>
      </x:c>
      <x:c r="F231" s="3" t="str">
        <x:v>Designed — chưa thực thi</x:v>
      </x:c>
      <x:c r="G231" s="3" t="str">
        <x:v>Nguồn: admin/src/lib/auth/schemas.ts:22. Độ dài JS/Zod dùng UTF-16; fixture ASCII để cô lập boundary. Optional min=0: Min−1 không áp dụng vì không có độ dài âm. Baseline: docs/ba/02-requirements/VGG_REQ-WORKBOOK_v0.1_2026-09-04.xlsx / Requirements; </x:v>
      </x:c>
    </x:row>
    <x:row r="232" ht="49" customHeight="1">
      <x:c r="A232" s="3" t="str">
        <x:v>AUTH-001</x:v>
      </x:c>
      <x:c r="B232" s="3" t="str">
        <x:v>AUTH</x:v>
      </x:c>
      <x:c r="C232" s="3" t="str">
        <x:v>Hệ thống phải xác thực tài khoản, trạng thái và tạo phiên bằng cookie HttpOnly.</x:v>
      </x:c>
      <x:c r="D232" s="3" t="str">
        <x:v>TC_AUTH_038</x:v>
      </x:c>
      <x:c r="E232" s="3" t="str">
        <x:v>POST ADMIN /api/admin/auth/login: password Min (1)</x:v>
      </x:c>
      <x:c r="F232" s="3" t="str">
        <x:v>Designed — chưa thực thi</x:v>
      </x:c>
      <x:c r="G232" s="3" t="str">
        <x:v>Nguồn: admin/src/lib/auth/schemas.ts:22. Độ dài JS/Zod dùng UTF-16; fixture ASCII để cô lập boundary. Optional min=0: Min−1 không áp dụng vì không có độ dài âm. Baseline: docs/ba/02-requirements/VGG_REQ-WORKBOOK_v0.1_2026-09-04.xlsx / Requirements; </x:v>
      </x:c>
    </x:row>
    <x:row r="233" ht="49" customHeight="1">
      <x:c r="A233" s="3" t="str">
        <x:v>AUTH-001</x:v>
      </x:c>
      <x:c r="B233" s="3" t="str">
        <x:v>AUTH</x:v>
      </x:c>
      <x:c r="C233" s="3" t="str">
        <x:v>Hệ thống phải xác thực tài khoản, trạng thái và tạo phiên bằng cookie HttpOnly.</x:v>
      </x:c>
      <x:c r="D233" s="3" t="str">
        <x:v>TC_AUTH_039</x:v>
      </x:c>
      <x:c r="E233" s="3" t="str">
        <x:v>POST ADMIN /api/admin/auth/login: password Min+1 (2)</x:v>
      </x:c>
      <x:c r="F233" s="3" t="str">
        <x:v>Designed — chưa thực thi</x:v>
      </x:c>
      <x:c r="G233" s="3" t="str">
        <x:v>Nguồn: admin/src/lib/auth/schemas.ts:22. Độ dài JS/Zod dùng UTF-16; fixture ASCII để cô lập boundary. Optional min=0: Min−1 không áp dụng vì không có độ dài âm. Baseline: docs/ba/02-requirements/VGG_REQ-WORKBOOK_v0.1_2026-09-04.xlsx / Requirements; </x:v>
      </x:c>
    </x:row>
    <x:row r="234" ht="49" customHeight="1">
      <x:c r="A234" s="3" t="str">
        <x:v>AUTH-001</x:v>
      </x:c>
      <x:c r="B234" s="3" t="str">
        <x:v>AUTH</x:v>
      </x:c>
      <x:c r="C234" s="3" t="str">
        <x:v>Hệ thống phải xác thực tài khoản, trạng thái và tạo phiên bằng cookie HttpOnly.</x:v>
      </x:c>
      <x:c r="D234" s="3" t="str">
        <x:v>TC_AUTH_040</x:v>
      </x:c>
      <x:c r="E234" s="3" t="str">
        <x:v>POST ADMIN /api/admin/auth/login: password Max−1 (127)</x:v>
      </x:c>
      <x:c r="F234" s="3" t="str">
        <x:v>Designed — chưa thực thi</x:v>
      </x:c>
      <x:c r="G234" s="3" t="str">
        <x:v>Nguồn: admin/src/lib/auth/schemas.ts:22. Độ dài JS/Zod dùng UTF-16; fixture ASCII để cô lập boundary. Optional min=0: Min−1 không áp dụng vì không có độ dài âm. Baseline: docs/ba/02-requirements/VGG_REQ-WORKBOOK_v0.1_2026-09-04.xlsx / Requirements; </x:v>
      </x:c>
    </x:row>
    <x:row r="235" ht="49" customHeight="1">
      <x:c r="A235" s="3" t="str">
        <x:v>AUTH-001</x:v>
      </x:c>
      <x:c r="B235" s="3" t="str">
        <x:v>AUTH</x:v>
      </x:c>
      <x:c r="C235" s="3" t="str">
        <x:v>Hệ thống phải xác thực tài khoản, trạng thái và tạo phiên bằng cookie HttpOnly.</x:v>
      </x:c>
      <x:c r="D235" s="3" t="str">
        <x:v>TC_AUTH_041</x:v>
      </x:c>
      <x:c r="E235" s="3" t="str">
        <x:v>POST ADMIN /api/admin/auth/login: password Max (128)</x:v>
      </x:c>
      <x:c r="F235" s="3" t="str">
        <x:v>Designed — chưa thực thi</x:v>
      </x:c>
      <x:c r="G235" s="3" t="str">
        <x:v>Nguồn: admin/src/lib/auth/schemas.ts:22. Độ dài JS/Zod dùng UTF-16; fixture ASCII để cô lập boundary. Optional min=0: Min−1 không áp dụng vì không có độ dài âm. Baseline: docs/ba/02-requirements/VGG_REQ-WORKBOOK_v0.1_2026-09-04.xlsx / Requirements; </x:v>
      </x:c>
    </x:row>
    <x:row r="236" ht="49" customHeight="1">
      <x:c r="A236" s="3" t="str">
        <x:v>AUTH-001</x:v>
      </x:c>
      <x:c r="B236" s="3" t="str">
        <x:v>AUTH</x:v>
      </x:c>
      <x:c r="C236" s="3" t="str">
        <x:v>Hệ thống phải xác thực tài khoản, trạng thái và tạo phiên bằng cookie HttpOnly.</x:v>
      </x:c>
      <x:c r="D236" s="3" t="str">
        <x:v>TC_AUTH_042</x:v>
      </x:c>
      <x:c r="E236" s="3" t="str">
        <x:v>POST ADMIN /api/admin/auth/login: password Max+1 (129)</x:v>
      </x:c>
      <x:c r="F236" s="3" t="str">
        <x:v>Designed — chưa thực thi</x:v>
      </x:c>
      <x:c r="G236" s="3" t="str">
        <x:v>Nguồn: admin/src/lib/auth/schemas.ts:22. Độ dài JS/Zod dùng UTF-16; fixture ASCII để cô lập boundary. Optional min=0: Min−1 không áp dụng vì không có độ dài âm. Baseline: docs/ba/02-requirements/VGG_REQ-WORKBOOK_v0.1_2026-09-04.xlsx / Requirements; </x:v>
      </x:c>
    </x:row>
    <x:row r="237" ht="49" customHeight="1">
      <x:c r="A237" s="3" t="str">
        <x:v>USR-001</x:v>
      </x:c>
      <x:c r="B237" s="3" t="str">
        <x:v>USER</x:v>
      </x:c>
      <x:c r="C237" s="3" t="str">
        <x:v>Chỉ SUPER_ADMIN hoặc quyền admins.* tương ứng được thao tác tài khoản.</x:v>
      </x:c>
      <x:c r="D237" s="3" t="str">
        <x:v>TC_USER_019</x:v>
      </x:c>
      <x:c r="E237" s="3" t="str">
        <x:v>POST ADMIN /api/admin/users: username Min−1 (2)</x:v>
      </x:c>
      <x:c r="F237" s="3" t="str">
        <x:v>Designed — chưa thực thi</x:v>
      </x:c>
      <x:c r="G237" s="3" t="str">
        <x:v>Nguồn: admin/src/lib/auth/schemas.ts:21. Độ dài JS/Zod dùng UTF-16; fixture ASCII để cô lập boundary. Optional min=0: Min−1 không áp dụng vì không có độ dài âm. Baseline: docs/ba/02-requirements/VGG_REQ-WORKBOOK_v0.1_2026-09-04.xlsx / Requirements; </x:v>
      </x:c>
    </x:row>
    <x:row r="238" ht="49" customHeight="1">
      <x:c r="A238" s="3" t="str">
        <x:v>USR-001</x:v>
      </x:c>
      <x:c r="B238" s="3" t="str">
        <x:v>USER</x:v>
      </x:c>
      <x:c r="C238" s="3" t="str">
        <x:v>Chỉ SUPER_ADMIN hoặc quyền admins.* tương ứng được thao tác tài khoản.</x:v>
      </x:c>
      <x:c r="D238" s="3" t="str">
        <x:v>TC_USER_020</x:v>
      </x:c>
      <x:c r="E238" s="3" t="str">
        <x:v>POST ADMIN /api/admin/users: username Min (3)</x:v>
      </x:c>
      <x:c r="F238" s="3" t="str">
        <x:v>Designed — chưa thực thi</x:v>
      </x:c>
      <x:c r="G238" s="3" t="str">
        <x:v>Nguồn: admin/src/lib/auth/schemas.ts:21. Độ dài JS/Zod dùng UTF-16; fixture ASCII để cô lập boundary. Optional min=0: Min−1 không áp dụng vì không có độ dài âm. Baseline: docs/ba/02-requirements/VGG_REQ-WORKBOOK_v0.1_2026-09-04.xlsx / Requirements; </x:v>
      </x:c>
    </x:row>
    <x:row r="239" ht="49" customHeight="1">
      <x:c r="A239" s="3" t="str">
        <x:v>USR-001</x:v>
      </x:c>
      <x:c r="B239" s="3" t="str">
        <x:v>USER</x:v>
      </x:c>
      <x:c r="C239" s="3" t="str">
        <x:v>Chỉ SUPER_ADMIN hoặc quyền admins.* tương ứng được thao tác tài khoản.</x:v>
      </x:c>
      <x:c r="D239" s="3" t="str">
        <x:v>TC_USER_021</x:v>
      </x:c>
      <x:c r="E239" s="3" t="str">
        <x:v>POST ADMIN /api/admin/users: username Min+1 (4)</x:v>
      </x:c>
      <x:c r="F239" s="3" t="str">
        <x:v>Designed — chưa thực thi</x:v>
      </x:c>
      <x:c r="G239" s="3" t="str">
        <x:v>Nguồn: admin/src/lib/auth/schemas.ts:21. Độ dài JS/Zod dùng UTF-16; fixture ASCII để cô lập boundary. Optional min=0: Min−1 không áp dụng vì không có độ dài âm. Baseline: docs/ba/02-requirements/VGG_REQ-WORKBOOK_v0.1_2026-09-04.xlsx / Requirements; </x:v>
      </x:c>
    </x:row>
    <x:row r="240" ht="49" customHeight="1">
      <x:c r="A240" s="3" t="str">
        <x:v>USR-001</x:v>
      </x:c>
      <x:c r="B240" s="3" t="str">
        <x:v>USER</x:v>
      </x:c>
      <x:c r="C240" s="3" t="str">
        <x:v>Chỉ SUPER_ADMIN hoặc quyền admins.* tương ứng được thao tác tài khoản.</x:v>
      </x:c>
      <x:c r="D240" s="3" t="str">
        <x:v>TC_USER_022</x:v>
      </x:c>
      <x:c r="E240" s="3" t="str">
        <x:v>POST ADMIN /api/admin/users: username Max−1 (49)</x:v>
      </x:c>
      <x:c r="F240" s="3" t="str">
        <x:v>Designed — chưa thực thi</x:v>
      </x:c>
      <x:c r="G240" s="3" t="str">
        <x:v>Nguồn: admin/src/lib/auth/schemas.ts:21. Độ dài JS/Zod dùng UTF-16; fixture ASCII để cô lập boundary. Optional min=0: Min−1 không áp dụng vì không có độ dài âm. Baseline: docs/ba/02-requirements/VGG_REQ-WORKBOOK_v0.1_2026-09-04.xlsx / Requirements; </x:v>
      </x:c>
    </x:row>
    <x:row r="241" ht="49" customHeight="1">
      <x:c r="A241" s="3" t="str">
        <x:v>USR-001</x:v>
      </x:c>
      <x:c r="B241" s="3" t="str">
        <x:v>USER</x:v>
      </x:c>
      <x:c r="C241" s="3" t="str">
        <x:v>Chỉ SUPER_ADMIN hoặc quyền admins.* tương ứng được thao tác tài khoản.</x:v>
      </x:c>
      <x:c r="D241" s="3" t="str">
        <x:v>TC_USER_023</x:v>
      </x:c>
      <x:c r="E241" s="3" t="str">
        <x:v>POST ADMIN /api/admin/users: username Max (50)</x:v>
      </x:c>
      <x:c r="F241" s="3" t="str">
        <x:v>Designed — chưa thực thi</x:v>
      </x:c>
      <x:c r="G241" s="3" t="str">
        <x:v>Nguồn: admin/src/lib/auth/schemas.ts:21. Độ dài JS/Zod dùng UTF-16; fixture ASCII để cô lập boundary. Optional min=0: Min−1 không áp dụng vì không có độ dài âm. Baseline: docs/ba/02-requirements/VGG_REQ-WORKBOOK_v0.1_2026-09-04.xlsx / Requirements; </x:v>
      </x:c>
    </x:row>
    <x:row r="242" ht="49" customHeight="1">
      <x:c r="A242" s="3" t="str">
        <x:v>USR-001</x:v>
      </x:c>
      <x:c r="B242" s="3" t="str">
        <x:v>USER</x:v>
      </x:c>
      <x:c r="C242" s="3" t="str">
        <x:v>Chỉ SUPER_ADMIN hoặc quyền admins.* tương ứng được thao tác tài khoản.</x:v>
      </x:c>
      <x:c r="D242" s="3" t="str">
        <x:v>TC_USER_024</x:v>
      </x:c>
      <x:c r="E242" s="3" t="str">
        <x:v>POST ADMIN /api/admin/users: username Max+1 (51)</x:v>
      </x:c>
      <x:c r="F242" s="3" t="str">
        <x:v>Designed — chưa thực thi</x:v>
      </x:c>
      <x:c r="G242" s="3" t="str">
        <x:v>Nguồn: admin/src/lib/auth/schemas.ts:21. Độ dài JS/Zod dùng UTF-16; fixture ASCII để cô lập boundary. Optional min=0: Min−1 không áp dụng vì không có độ dài âm. Baseline: docs/ba/02-requirements/VGG_REQ-WORKBOOK_v0.1_2026-09-04.xlsx / Requirements; </x:v>
      </x:c>
    </x:row>
    <x:row r="243" ht="49" customHeight="1">
      <x:c r="A243" s="3" t="str">
        <x:v>USR-001</x:v>
      </x:c>
      <x:c r="B243" s="3" t="str">
        <x:v>USER</x:v>
      </x:c>
      <x:c r="C243" s="3" t="str">
        <x:v>Chỉ SUPER_ADMIN hoặc quyền admins.* tương ứng được thao tác tài khoản.</x:v>
      </x:c>
      <x:c r="D243" s="3" t="str">
        <x:v>TC_USER_025</x:v>
      </x:c>
      <x:c r="E243" s="3" t="str">
        <x:v>POST ADMIN /api/admin/users: fullName Min−1 (1)</x:v>
      </x:c>
      <x:c r="F243" s="3" t="str">
        <x:v>Designed — chưa thực thi</x:v>
      </x:c>
      <x:c r="G243" s="3" t="str">
        <x:v>Nguồn: admin/src/lib/auth/schemas.ts:59. Độ dài JS/Zod dùng UTF-16; fixture ASCII để cô lập boundary. Optional min=0: Min−1 không áp dụng vì không có độ dài âm. Baseline: docs/ba/02-requirements/VGG_REQ-WORKBOOK_v0.1_2026-09-04.xlsx / Requirements; </x:v>
      </x:c>
    </x:row>
    <x:row r="244" ht="49" customHeight="1">
      <x:c r="A244" s="3" t="str">
        <x:v>USR-001</x:v>
      </x:c>
      <x:c r="B244" s="3" t="str">
        <x:v>USER</x:v>
      </x:c>
      <x:c r="C244" s="3" t="str">
        <x:v>Chỉ SUPER_ADMIN hoặc quyền admins.* tương ứng được thao tác tài khoản.</x:v>
      </x:c>
      <x:c r="D244" s="3" t="str">
        <x:v>TC_USER_026</x:v>
      </x:c>
      <x:c r="E244" s="3" t="str">
        <x:v>POST ADMIN /api/admin/users: fullName Min (2)</x:v>
      </x:c>
      <x:c r="F244" s="3" t="str">
        <x:v>Designed — chưa thực thi</x:v>
      </x:c>
      <x:c r="G244" s="3" t="str">
        <x:v>Nguồn: admin/src/lib/auth/schemas.ts:59. Độ dài JS/Zod dùng UTF-16; fixture ASCII để cô lập boundary. Optional min=0: Min−1 không áp dụng vì không có độ dài âm. Baseline: docs/ba/02-requirements/VGG_REQ-WORKBOOK_v0.1_2026-09-04.xlsx / Requirements; </x:v>
      </x:c>
    </x:row>
    <x:row r="245" ht="49" customHeight="1">
      <x:c r="A245" s="3" t="str">
        <x:v>USR-001</x:v>
      </x:c>
      <x:c r="B245" s="3" t="str">
        <x:v>USER</x:v>
      </x:c>
      <x:c r="C245" s="3" t="str">
        <x:v>Chỉ SUPER_ADMIN hoặc quyền admins.* tương ứng được thao tác tài khoản.</x:v>
      </x:c>
      <x:c r="D245" s="3" t="str">
        <x:v>TC_USER_027</x:v>
      </x:c>
      <x:c r="E245" s="3" t="str">
        <x:v>POST ADMIN /api/admin/users: fullName Min+1 (3)</x:v>
      </x:c>
      <x:c r="F245" s="3" t="str">
        <x:v>Designed — chưa thực thi</x:v>
      </x:c>
      <x:c r="G245" s="3" t="str">
        <x:v>Nguồn: admin/src/lib/auth/schemas.ts:59. Độ dài JS/Zod dùng UTF-16; fixture ASCII để cô lập boundary. Optional min=0: Min−1 không áp dụng vì không có độ dài âm. Baseline: docs/ba/02-requirements/VGG_REQ-WORKBOOK_v0.1_2026-09-04.xlsx / Requirements; </x:v>
      </x:c>
    </x:row>
    <x:row r="246" ht="49" customHeight="1">
      <x:c r="A246" s="3" t="str">
        <x:v>USR-001</x:v>
      </x:c>
      <x:c r="B246" s="3" t="str">
        <x:v>USER</x:v>
      </x:c>
      <x:c r="C246" s="3" t="str">
        <x:v>Chỉ SUPER_ADMIN hoặc quyền admins.* tương ứng được thao tác tài khoản.</x:v>
      </x:c>
      <x:c r="D246" s="3" t="str">
        <x:v>TC_USER_028</x:v>
      </x:c>
      <x:c r="E246" s="3" t="str">
        <x:v>POST ADMIN /api/admin/users: fullName Max−1 (119)</x:v>
      </x:c>
      <x:c r="F246" s="3" t="str">
        <x:v>Designed — chưa thực thi</x:v>
      </x:c>
      <x:c r="G246" s="3" t="str">
        <x:v>Nguồn: admin/src/lib/auth/schemas.ts:59. Độ dài JS/Zod dùng UTF-16; fixture ASCII để cô lập boundary. Optional min=0: Min−1 không áp dụng vì không có độ dài âm. Baseline: docs/ba/02-requirements/VGG_REQ-WORKBOOK_v0.1_2026-09-04.xlsx / Requirements; </x:v>
      </x:c>
    </x:row>
    <x:row r="247" ht="49" customHeight="1">
      <x:c r="A247" s="3" t="str">
        <x:v>USR-001</x:v>
      </x:c>
      <x:c r="B247" s="3" t="str">
        <x:v>USER</x:v>
      </x:c>
      <x:c r="C247" s="3" t="str">
        <x:v>Chỉ SUPER_ADMIN hoặc quyền admins.* tương ứng được thao tác tài khoản.</x:v>
      </x:c>
      <x:c r="D247" s="3" t="str">
        <x:v>TC_USER_029</x:v>
      </x:c>
      <x:c r="E247" s="3" t="str">
        <x:v>POST ADMIN /api/admin/users: fullName Max (120)</x:v>
      </x:c>
      <x:c r="F247" s="3" t="str">
        <x:v>Designed — chưa thực thi</x:v>
      </x:c>
      <x:c r="G247" s="3" t="str">
        <x:v>Nguồn: admin/src/lib/auth/schemas.ts:59. Độ dài JS/Zod dùng UTF-16; fixture ASCII để cô lập boundary. Optional min=0: Min−1 không áp dụng vì không có độ dài âm. Baseline: docs/ba/02-requirements/VGG_REQ-WORKBOOK_v0.1_2026-09-04.xlsx / Requirements; </x:v>
      </x:c>
    </x:row>
    <x:row r="248" ht="49" customHeight="1">
      <x:c r="A248" s="3" t="str">
        <x:v>USR-001</x:v>
      </x:c>
      <x:c r="B248" s="3" t="str">
        <x:v>USER</x:v>
      </x:c>
      <x:c r="C248" s="3" t="str">
        <x:v>Chỉ SUPER_ADMIN hoặc quyền admins.* tương ứng được thao tác tài khoản.</x:v>
      </x:c>
      <x:c r="D248" s="3" t="str">
        <x:v>TC_USER_030</x:v>
      </x:c>
      <x:c r="E248" s="3" t="str">
        <x:v>POST ADMIN /api/admin/users: fullName Max+1 (121)</x:v>
      </x:c>
      <x:c r="F248" s="3" t="str">
        <x:v>Designed — chưa thực thi</x:v>
      </x:c>
      <x:c r="G248" s="3" t="str">
        <x:v>Nguồn: admin/src/lib/auth/schemas.ts:59. Độ dài JS/Zod dùng UTF-16; fixture ASCII để cô lập boundary. Optional min=0: Min−1 không áp dụng vì không có độ dài âm. Baseline: docs/ba/02-requirements/VGG_REQ-WORKBOOK_v0.1_2026-09-04.xlsx / Requirements; </x:v>
      </x:c>
    </x:row>
    <x:row r="249" ht="49" customHeight="1">
      <x:c r="A249" s="3" t="str">
        <x:v>USR-001</x:v>
      </x:c>
      <x:c r="B249" s="3" t="str">
        <x:v>USER</x:v>
      </x:c>
      <x:c r="C249" s="3" t="str">
        <x:v>Chỉ SUPER_ADMIN hoặc quyền admins.* tương ứng được thao tác tài khoản.</x:v>
      </x:c>
      <x:c r="D249" s="3" t="str">
        <x:v>TC_USER_031</x:v>
      </x:c>
      <x:c r="E249" s="3" t="str">
        <x:v>POST ADMIN /api/admin/users: phone Min (0)</x:v>
      </x:c>
      <x:c r="F249" s="3" t="str">
        <x:v>Designed — chưa thực thi</x:v>
      </x:c>
      <x:c r="G249" s="3" t="str">
        <x:v>Nguồn: admin/src/lib/auth/schemas.ts:62. Độ dài JS/Zod dùng UTF-16; fixture ASCII để cô lập boundary. Optional min=0: Min−1 không áp dụng vì không có độ dài âm. Baseline: docs/ba/02-requirements/VGG_REQ-WORKBOOK_v0.1_2026-09-04.xlsx / Requirements; </x:v>
      </x:c>
    </x:row>
    <x:row r="250" ht="49" customHeight="1">
      <x:c r="A250" s="3" t="str">
        <x:v>USR-001</x:v>
      </x:c>
      <x:c r="B250" s="3" t="str">
        <x:v>USER</x:v>
      </x:c>
      <x:c r="C250" s="3" t="str">
        <x:v>Chỉ SUPER_ADMIN hoặc quyền admins.* tương ứng được thao tác tài khoản.</x:v>
      </x:c>
      <x:c r="D250" s="3" t="str">
        <x:v>TC_USER_032</x:v>
      </x:c>
      <x:c r="E250" s="3" t="str">
        <x:v>POST ADMIN /api/admin/users: phone Min+1 (1)</x:v>
      </x:c>
      <x:c r="F250" s="3" t="str">
        <x:v>Designed — chưa thực thi</x:v>
      </x:c>
      <x:c r="G250" s="3" t="str">
        <x:v>Nguồn: admin/src/lib/auth/schemas.ts:62. Độ dài JS/Zod dùng UTF-16; fixture ASCII để cô lập boundary. Optional min=0: Min−1 không áp dụng vì không có độ dài âm. Baseline: docs/ba/02-requirements/VGG_REQ-WORKBOOK_v0.1_2026-09-04.xlsx / Requirements; </x:v>
      </x:c>
    </x:row>
    <x:row r="251" ht="49" customHeight="1">
      <x:c r="A251" s="3" t="str">
        <x:v>USR-001</x:v>
      </x:c>
      <x:c r="B251" s="3" t="str">
        <x:v>USER</x:v>
      </x:c>
      <x:c r="C251" s="3" t="str">
        <x:v>Chỉ SUPER_ADMIN hoặc quyền admins.* tương ứng được thao tác tài khoản.</x:v>
      </x:c>
      <x:c r="D251" s="3" t="str">
        <x:v>TC_USER_033</x:v>
      </x:c>
      <x:c r="E251" s="3" t="str">
        <x:v>POST ADMIN /api/admin/users: phone Max−1 (29)</x:v>
      </x:c>
      <x:c r="F251" s="3" t="str">
        <x:v>Designed — chưa thực thi</x:v>
      </x:c>
      <x:c r="G251" s="3" t="str">
        <x:v>Nguồn: admin/src/lib/auth/schemas.ts:62. Độ dài JS/Zod dùng UTF-16; fixture ASCII để cô lập boundary. Optional min=0: Min−1 không áp dụng vì không có độ dài âm. Baseline: docs/ba/02-requirements/VGG_REQ-WORKBOOK_v0.1_2026-09-04.xlsx / Requirements; </x:v>
      </x:c>
    </x:row>
    <x:row r="252" ht="49" customHeight="1">
      <x:c r="A252" s="3" t="str">
        <x:v>USR-001</x:v>
      </x:c>
      <x:c r="B252" s="3" t="str">
        <x:v>USER</x:v>
      </x:c>
      <x:c r="C252" s="3" t="str">
        <x:v>Chỉ SUPER_ADMIN hoặc quyền admins.* tương ứng được thao tác tài khoản.</x:v>
      </x:c>
      <x:c r="D252" s="3" t="str">
        <x:v>TC_USER_034</x:v>
      </x:c>
      <x:c r="E252" s="3" t="str">
        <x:v>POST ADMIN /api/admin/users: phone Max (30)</x:v>
      </x:c>
      <x:c r="F252" s="3" t="str">
        <x:v>Designed — chưa thực thi</x:v>
      </x:c>
      <x:c r="G252" s="3" t="str">
        <x:v>Nguồn: admin/src/lib/auth/schemas.ts:62. Độ dài JS/Zod dùng UTF-16; fixture ASCII để cô lập boundary. Optional min=0: Min−1 không áp dụng vì không có độ dài âm. Baseline: docs/ba/02-requirements/VGG_REQ-WORKBOOK_v0.1_2026-09-04.xlsx / Requirements; </x:v>
      </x:c>
    </x:row>
    <x:row r="253" ht="49" customHeight="1">
      <x:c r="A253" s="3" t="str">
        <x:v>USR-001</x:v>
      </x:c>
      <x:c r="B253" s="3" t="str">
        <x:v>USER</x:v>
      </x:c>
      <x:c r="C253" s="3" t="str">
        <x:v>Chỉ SUPER_ADMIN hoặc quyền admins.* tương ứng được thao tác tài khoản.</x:v>
      </x:c>
      <x:c r="D253" s="3" t="str">
        <x:v>TC_USER_035</x:v>
      </x:c>
      <x:c r="E253" s="3" t="str">
        <x:v>POST ADMIN /api/admin/users: phone Max+1 (31)</x:v>
      </x:c>
      <x:c r="F253" s="3" t="str">
        <x:v>Designed — chưa thực thi</x:v>
      </x:c>
      <x:c r="G253" s="3" t="str">
        <x:v>Nguồn: admin/src/lib/auth/schemas.ts:62. Độ dài JS/Zod dùng UTF-16; fixture ASCII để cô lập boundary. Optional min=0: Min−1 không áp dụng vì không có độ dài âm. Baseline: docs/ba/02-requirements/VGG_REQ-WORKBOOK_v0.1_2026-09-04.xlsx / Requirements; </x:v>
      </x:c>
    </x:row>
    <x:row r="254" ht="49" customHeight="1">
      <x:c r="A254" s="3" t="str">
        <x:v>AUTH-002</x:v>
      </x:c>
      <x:c r="B254" s="3" t="str">
        <x:v>AUTH</x:v>
      </x:c>
      <x:c r="C254" s="3" t="str">
        <x:v>Hệ thống phải buộc đổi mật khẩu khi mustChangePassword=true và vô hiệu hóa phiên phù hợp sau thay đổi.</x:v>
      </x:c>
      <x:c r="D254" s="3" t="str">
        <x:v>TC_AUTH_043</x:v>
      </x:c>
      <x:c r="E254" s="3" t="str">
        <x:v>POST ADMIN /api/admin/auth/change-password: newPassword Min−1 (9)</x:v>
      </x:c>
      <x:c r="F254" s="3" t="str">
        <x:v>Designed — chưa thực thi</x:v>
      </x:c>
      <x:c r="G254" s="3" t="str">
        <x:v>Nguồn: admin/src/lib/auth/password.ts. Độ dài JS/Zod dùng UTF-16; fixture ASCII để cô lập boundary. Optional min=0: Min−1 không áp dụng vì không có độ dài âm. Baseline: docs/ba/02-requirements/VGG_REQ-WORKBOOK_v0.1_2026-09-04.xlsx / Requirements; Chính sách độ mạnh cần xác nhận</x:v>
      </x:c>
    </x:row>
    <x:row r="255" ht="49" customHeight="1">
      <x:c r="A255" s="3" t="str">
        <x:v>AUTH-002</x:v>
      </x:c>
      <x:c r="B255" s="3" t="str">
        <x:v>AUTH</x:v>
      </x:c>
      <x:c r="C255" s="3" t="str">
        <x:v>Hệ thống phải buộc đổi mật khẩu khi mustChangePassword=true và vô hiệu hóa phiên phù hợp sau thay đổi.</x:v>
      </x:c>
      <x:c r="D255" s="3" t="str">
        <x:v>TC_AUTH_044</x:v>
      </x:c>
      <x:c r="E255" s="3" t="str">
        <x:v>POST ADMIN /api/admin/auth/change-password: newPassword Min (10)</x:v>
      </x:c>
      <x:c r="F255" s="3" t="str">
        <x:v>Designed — chưa thực thi</x:v>
      </x:c>
      <x:c r="G255" s="3" t="str">
        <x:v>Nguồn: admin/src/lib/auth/password.ts. Độ dài JS/Zod dùng UTF-16; fixture ASCII để cô lập boundary. Optional min=0: Min−1 không áp dụng vì không có độ dài âm. Baseline: docs/ba/02-requirements/VGG_REQ-WORKBOOK_v0.1_2026-09-04.xlsx / Requirements; Chính sách độ mạnh cần xác nhận</x:v>
      </x:c>
    </x:row>
    <x:row r="256" ht="49" customHeight="1">
      <x:c r="A256" s="3" t="str">
        <x:v>AUTH-002</x:v>
      </x:c>
      <x:c r="B256" s="3" t="str">
        <x:v>AUTH</x:v>
      </x:c>
      <x:c r="C256" s="3" t="str">
        <x:v>Hệ thống phải buộc đổi mật khẩu khi mustChangePassword=true và vô hiệu hóa phiên phù hợp sau thay đổi.</x:v>
      </x:c>
      <x:c r="D256" s="3" t="str">
        <x:v>TC_AUTH_045</x:v>
      </x:c>
      <x:c r="E256" s="3" t="str">
        <x:v>POST ADMIN /api/admin/auth/change-password: newPassword Min+1 (11)</x:v>
      </x:c>
      <x:c r="F256" s="3" t="str">
        <x:v>Designed — chưa thực thi</x:v>
      </x:c>
      <x:c r="G256" s="3" t="str">
        <x:v>Nguồn: admin/src/lib/auth/password.ts. Độ dài JS/Zod dùng UTF-16; fixture ASCII để cô lập boundary. Optional min=0: Min−1 không áp dụng vì không có độ dài âm. Baseline: docs/ba/02-requirements/VGG_REQ-WORKBOOK_v0.1_2026-09-04.xlsx / Requirements; Chính sách độ mạnh cần xác nhận</x:v>
      </x:c>
    </x:row>
    <x:row r="257" ht="49" customHeight="1">
      <x:c r="A257" s="3" t="str">
        <x:v>AUTH-002</x:v>
      </x:c>
      <x:c r="B257" s="3" t="str">
        <x:v>AUTH</x:v>
      </x:c>
      <x:c r="C257" s="3" t="str">
        <x:v>Hệ thống phải buộc đổi mật khẩu khi mustChangePassword=true và vô hiệu hóa phiên phù hợp sau thay đổi.</x:v>
      </x:c>
      <x:c r="D257" s="3" t="str">
        <x:v>TC_AUTH_046</x:v>
      </x:c>
      <x:c r="E257" s="3" t="str">
        <x:v>POST ADMIN /api/admin/auth/change-password: newPassword Max−1 (127)</x:v>
      </x:c>
      <x:c r="F257" s="3" t="str">
        <x:v>Designed — chưa thực thi</x:v>
      </x:c>
      <x:c r="G257" s="3" t="str">
        <x:v>Nguồn: admin/src/lib/auth/password.ts. Độ dài JS/Zod dùng UTF-16; fixture ASCII để cô lập boundary. Optional min=0: Min−1 không áp dụng vì không có độ dài âm. Baseline: docs/ba/02-requirements/VGG_REQ-WORKBOOK_v0.1_2026-09-04.xlsx / Requirements; Chính sách độ mạnh cần xác nhận</x:v>
      </x:c>
    </x:row>
    <x:row r="258" ht="49" customHeight="1">
      <x:c r="A258" s="3" t="str">
        <x:v>AUTH-002</x:v>
      </x:c>
      <x:c r="B258" s="3" t="str">
        <x:v>AUTH</x:v>
      </x:c>
      <x:c r="C258" s="3" t="str">
        <x:v>Hệ thống phải buộc đổi mật khẩu khi mustChangePassword=true và vô hiệu hóa phiên phù hợp sau thay đổi.</x:v>
      </x:c>
      <x:c r="D258" s="3" t="str">
        <x:v>TC_AUTH_047</x:v>
      </x:c>
      <x:c r="E258" s="3" t="str">
        <x:v>POST ADMIN /api/admin/auth/change-password: newPassword Max (128)</x:v>
      </x:c>
      <x:c r="F258" s="3" t="str">
        <x:v>Designed — chưa thực thi</x:v>
      </x:c>
      <x:c r="G258" s="3" t="str">
        <x:v>Nguồn: admin/src/lib/auth/password.ts. Độ dài JS/Zod dùng UTF-16; fixture ASCII để cô lập boundary. Optional min=0: Min−1 không áp dụng vì không có độ dài âm. Baseline: docs/ba/02-requirements/VGG_REQ-WORKBOOK_v0.1_2026-09-04.xlsx / Requirements; Chính sách độ mạnh cần xác nhận</x:v>
      </x:c>
    </x:row>
    <x:row r="259" ht="49" customHeight="1">
      <x:c r="A259" s="3" t="str">
        <x:v>AUTH-002</x:v>
      </x:c>
      <x:c r="B259" s="3" t="str">
        <x:v>AUTH</x:v>
      </x:c>
      <x:c r="C259" s="3" t="str">
        <x:v>Hệ thống phải buộc đổi mật khẩu khi mustChangePassword=true và vô hiệu hóa phiên phù hợp sau thay đổi.</x:v>
      </x:c>
      <x:c r="D259" s="3" t="str">
        <x:v>TC_AUTH_048</x:v>
      </x:c>
      <x:c r="E259" s="3" t="str">
        <x:v>POST ADMIN /api/admin/auth/change-password: newPassword Max+1 (129)</x:v>
      </x:c>
      <x:c r="F259" s="3" t="str">
        <x:v>Designed — chưa thực thi</x:v>
      </x:c>
      <x:c r="G259" s="3" t="str">
        <x:v>Nguồn: admin/src/lib/auth/password.ts. Độ dài JS/Zod dùng UTF-16; fixture ASCII để cô lập boundary. Optional min=0: Min−1 không áp dụng vì không có độ dài âm. Baseline: docs/ba/02-requirements/VGG_REQ-WORKBOOK_v0.1_2026-09-04.xlsx / Requirements; Chính sách độ mạnh cần xác nhận</x:v>
      </x:c>
    </x:row>
    <x:row r="260" ht="62" customHeight="1">
      <x:c r="A260" s="3" t="str">
        <x:v>CON-001</x:v>
      </x:c>
      <x:c r="B260" s="3" t="str">
        <x:v>CONSULT</x:v>
      </x:c>
      <x:c r="C260" s="3" t="str">
        <x:v>Hệ thống phải kiểm tra dữ liệu bắt buộc, chống bot cơ bản và ghi nhận yêu cầu tư vấn.</x:v>
      </x:c>
      <x:c r="D260" s="3" t="str">
        <x:v>TC_CONSULT_036</x:v>
      </x:c>
      <x:c r="E260" s="3" t="str">
        <x:v>POST BACKEND /api/public/consultations: name Min−1 (1)</x:v>
      </x:c>
      <x:c r="F260" s="3" t="str">
        <x:v>Designed — chưa thực thi</x:v>
      </x:c>
      <x:c r="G260" s="3" t="str">
        <x:v>Nguồn: backend/src/modules/consultations/consultations.routes.ts:8.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1" ht="62" customHeight="1">
      <x:c r="A261" s="3" t="str">
        <x:v>CON-001</x:v>
      </x:c>
      <x:c r="B261" s="3" t="str">
        <x:v>CONSULT</x:v>
      </x:c>
      <x:c r="C261" s="3" t="str">
        <x:v>Hệ thống phải kiểm tra dữ liệu bắt buộc, chống bot cơ bản và ghi nhận yêu cầu tư vấn.</x:v>
      </x:c>
      <x:c r="D261" s="3" t="str">
        <x:v>TC_CONSULT_037</x:v>
      </x:c>
      <x:c r="E261" s="3" t="str">
        <x:v>POST BACKEND /api/public/consultations: name Min (2)</x:v>
      </x:c>
      <x:c r="F261" s="3" t="str">
        <x:v>Designed — chưa thực thi</x:v>
      </x:c>
      <x:c r="G261" s="3" t="str">
        <x:v>Nguồn: backend/src/modules/consultations/consultations.routes.ts:8.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2" ht="62" customHeight="1">
      <x:c r="A262" s="3" t="str">
        <x:v>CON-001</x:v>
      </x:c>
      <x:c r="B262" s="3" t="str">
        <x:v>CONSULT</x:v>
      </x:c>
      <x:c r="C262" s="3" t="str">
        <x:v>Hệ thống phải kiểm tra dữ liệu bắt buộc, chống bot cơ bản và ghi nhận yêu cầu tư vấn.</x:v>
      </x:c>
      <x:c r="D262" s="3" t="str">
        <x:v>TC_CONSULT_038</x:v>
      </x:c>
      <x:c r="E262" s="3" t="str">
        <x:v>POST BACKEND /api/public/consultations: name Min+1 (3)</x:v>
      </x:c>
      <x:c r="F262" s="3" t="str">
        <x:v>Designed — chưa thực thi</x:v>
      </x:c>
      <x:c r="G262" s="3" t="str">
        <x:v>Nguồn: backend/src/modules/consultations/consultations.routes.ts:8.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3" ht="62" customHeight="1">
      <x:c r="A263" s="3" t="str">
        <x:v>CON-001</x:v>
      </x:c>
      <x:c r="B263" s="3" t="str">
        <x:v>CONSULT</x:v>
      </x:c>
      <x:c r="C263" s="3" t="str">
        <x:v>Hệ thống phải kiểm tra dữ liệu bắt buộc, chống bot cơ bản và ghi nhận yêu cầu tư vấn.</x:v>
      </x:c>
      <x:c r="D263" s="3" t="str">
        <x:v>TC_CONSULT_039</x:v>
      </x:c>
      <x:c r="E263" s="3" t="str">
        <x:v>POST BACKEND /api/public/consultations: name Max−1 (119)</x:v>
      </x:c>
      <x:c r="F263" s="3" t="str">
        <x:v>Designed — chưa thực thi</x:v>
      </x:c>
      <x:c r="G263" s="3" t="str">
        <x:v>Nguồn: backend/src/modules/consultations/consultations.routes.ts:8.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4" ht="62" customHeight="1">
      <x:c r="A264" s="3" t="str">
        <x:v>CON-001</x:v>
      </x:c>
      <x:c r="B264" s="3" t="str">
        <x:v>CONSULT</x:v>
      </x:c>
      <x:c r="C264" s="3" t="str">
        <x:v>Hệ thống phải kiểm tra dữ liệu bắt buộc, chống bot cơ bản và ghi nhận yêu cầu tư vấn.</x:v>
      </x:c>
      <x:c r="D264" s="3" t="str">
        <x:v>TC_CONSULT_040</x:v>
      </x:c>
      <x:c r="E264" s="3" t="str">
        <x:v>POST BACKEND /api/public/consultations: name Max (120)</x:v>
      </x:c>
      <x:c r="F264" s="3" t="str">
        <x:v>Designed — chưa thực thi</x:v>
      </x:c>
      <x:c r="G264" s="3" t="str">
        <x:v>Nguồn: backend/src/modules/consultations/consultations.routes.ts:8.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5" ht="62" customHeight="1">
      <x:c r="A265" s="3" t="str">
        <x:v>CON-001</x:v>
      </x:c>
      <x:c r="B265" s="3" t="str">
        <x:v>CONSULT</x:v>
      </x:c>
      <x:c r="C265" s="3" t="str">
        <x:v>Hệ thống phải kiểm tra dữ liệu bắt buộc, chống bot cơ bản và ghi nhận yêu cầu tư vấn.</x:v>
      </x:c>
      <x:c r="D265" s="3" t="str">
        <x:v>TC_CONSULT_041</x:v>
      </x:c>
      <x:c r="E265" s="3" t="str">
        <x:v>POST BACKEND /api/public/consultations: name Max+1 (121)</x:v>
      </x:c>
      <x:c r="F265" s="3" t="str">
        <x:v>Designed — chưa thực thi</x:v>
      </x:c>
      <x:c r="G265" s="3" t="str">
        <x:v>Nguồn: backend/src/modules/consultations/consultations.routes.ts:8.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6" ht="62" customHeight="1">
      <x:c r="A266" s="3" t="str">
        <x:v>CON-001</x:v>
      </x:c>
      <x:c r="B266" s="3" t="str">
        <x:v>CONSULT</x:v>
      </x:c>
      <x:c r="C266" s="3" t="str">
        <x:v>Hệ thống phải kiểm tra dữ liệu bắt buộc, chống bot cơ bản và ghi nhận yêu cầu tư vấn.</x:v>
      </x:c>
      <x:c r="D266" s="3" t="str">
        <x:v>TC_CONSULT_042</x:v>
      </x:c>
      <x:c r="E266" s="3" t="str">
        <x:v>POST BACKEND /api/public/consultations: phone Min−1 (8)</x:v>
      </x:c>
      <x:c r="F266" s="3" t="str">
        <x:v>Designed — chưa thực thi</x:v>
      </x:c>
      <x:c r="G266" s="3" t="str">
        <x:v>Nguồn: backend/src/modules/consultations/consultations.routes.ts:9.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7" ht="62" customHeight="1">
      <x:c r="A267" s="3" t="str">
        <x:v>CON-001</x:v>
      </x:c>
      <x:c r="B267" s="3" t="str">
        <x:v>CONSULT</x:v>
      </x:c>
      <x:c r="C267" s="3" t="str">
        <x:v>Hệ thống phải kiểm tra dữ liệu bắt buộc, chống bot cơ bản và ghi nhận yêu cầu tư vấn.</x:v>
      </x:c>
      <x:c r="D267" s="3" t="str">
        <x:v>TC_CONSULT_043</x:v>
      </x:c>
      <x:c r="E267" s="3" t="str">
        <x:v>POST BACKEND /api/public/consultations: phone Min (9)</x:v>
      </x:c>
      <x:c r="F267" s="3" t="str">
        <x:v>Designed — chưa thực thi</x:v>
      </x:c>
      <x:c r="G267" s="3" t="str">
        <x:v>Nguồn: backend/src/modules/consultations/consultations.routes.ts:9.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8" ht="62" customHeight="1">
      <x:c r="A268" s="3" t="str">
        <x:v>CON-001</x:v>
      </x:c>
      <x:c r="B268" s="3" t="str">
        <x:v>CONSULT</x:v>
      </x:c>
      <x:c r="C268" s="3" t="str">
        <x:v>Hệ thống phải kiểm tra dữ liệu bắt buộc, chống bot cơ bản và ghi nhận yêu cầu tư vấn.</x:v>
      </x:c>
      <x:c r="D268" s="3" t="str">
        <x:v>TC_CONSULT_044</x:v>
      </x:c>
      <x:c r="E268" s="3" t="str">
        <x:v>POST BACKEND /api/public/consultations: phone Min+1 (10)</x:v>
      </x:c>
      <x:c r="F268" s="3" t="str">
        <x:v>Designed — chưa thực thi</x:v>
      </x:c>
      <x:c r="G268" s="3" t="str">
        <x:v>Nguồn: backend/src/modules/consultations/consultations.routes.ts:9.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69" ht="62" customHeight="1">
      <x:c r="A269" s="3" t="str">
        <x:v>CON-001</x:v>
      </x:c>
      <x:c r="B269" s="3" t="str">
        <x:v>CONSULT</x:v>
      </x:c>
      <x:c r="C269" s="3" t="str">
        <x:v>Hệ thống phải kiểm tra dữ liệu bắt buộc, chống bot cơ bản và ghi nhận yêu cầu tư vấn.</x:v>
      </x:c>
      <x:c r="D269" s="3" t="str">
        <x:v>TC_CONSULT_045</x:v>
      </x:c>
      <x:c r="E269" s="3" t="str">
        <x:v>POST BACKEND /api/public/consultations: phone Max−1 (29)</x:v>
      </x:c>
      <x:c r="F269" s="3" t="str">
        <x:v>Designed — chưa thực thi</x:v>
      </x:c>
      <x:c r="G269" s="3" t="str">
        <x:v>Nguồn: backend/src/modules/consultations/consultations.routes.ts:9.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0" ht="62" customHeight="1">
      <x:c r="A270" s="3" t="str">
        <x:v>CON-001</x:v>
      </x:c>
      <x:c r="B270" s="3" t="str">
        <x:v>CONSULT</x:v>
      </x:c>
      <x:c r="C270" s="3" t="str">
        <x:v>Hệ thống phải kiểm tra dữ liệu bắt buộc, chống bot cơ bản và ghi nhận yêu cầu tư vấn.</x:v>
      </x:c>
      <x:c r="D270" s="3" t="str">
        <x:v>TC_CONSULT_046</x:v>
      </x:c>
      <x:c r="E270" s="3" t="str">
        <x:v>POST BACKEND /api/public/consultations: phone Max (30)</x:v>
      </x:c>
      <x:c r="F270" s="3" t="str">
        <x:v>Designed — chưa thực thi</x:v>
      </x:c>
      <x:c r="G270" s="3" t="str">
        <x:v>Nguồn: backend/src/modules/consultations/consultations.routes.ts:9.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1" ht="62" customHeight="1">
      <x:c r="A271" s="3" t="str">
        <x:v>CON-001</x:v>
      </x:c>
      <x:c r="B271" s="3" t="str">
        <x:v>CONSULT</x:v>
      </x:c>
      <x:c r="C271" s="3" t="str">
        <x:v>Hệ thống phải kiểm tra dữ liệu bắt buộc, chống bot cơ bản và ghi nhận yêu cầu tư vấn.</x:v>
      </x:c>
      <x:c r="D271" s="3" t="str">
        <x:v>TC_CONSULT_047</x:v>
      </x:c>
      <x:c r="E271" s="3" t="str">
        <x:v>POST BACKEND /api/public/consultations: phone Max+1 (31)</x:v>
      </x:c>
      <x:c r="F271" s="3" t="str">
        <x:v>Designed — chưa thực thi</x:v>
      </x:c>
      <x:c r="G271" s="3" t="str">
        <x:v>Nguồn: backend/src/modules/consultations/consultations.routes.ts:9.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2" ht="62" customHeight="1">
      <x:c r="A272" s="3" t="str">
        <x:v>CON-001</x:v>
      </x:c>
      <x:c r="B272" s="3" t="str">
        <x:v>CONSULT</x:v>
      </x:c>
      <x:c r="C272" s="3" t="str">
        <x:v>Hệ thống phải kiểm tra dữ liệu bắt buộc, chống bot cơ bản và ghi nhận yêu cầu tư vấn.</x:v>
      </x:c>
      <x:c r="D272" s="3" t="str">
        <x:v>TC_CONSULT_048</x:v>
      </x:c>
      <x:c r="E272" s="3" t="str">
        <x:v>POST BACKEND /api/public/consultations: programme Min (0)</x:v>
      </x:c>
      <x:c r="F272" s="3" t="str">
        <x:v>Designed — chưa thực thi</x:v>
      </x:c>
      <x:c r="G272" s="3" t="str">
        <x:v>Nguồn: backend/src/modules/consultations/consultations.routes.ts:11.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3" ht="62" customHeight="1">
      <x:c r="A273" s="3" t="str">
        <x:v>CON-001</x:v>
      </x:c>
      <x:c r="B273" s="3" t="str">
        <x:v>CONSULT</x:v>
      </x:c>
      <x:c r="C273" s="3" t="str">
        <x:v>Hệ thống phải kiểm tra dữ liệu bắt buộc, chống bot cơ bản và ghi nhận yêu cầu tư vấn.</x:v>
      </x:c>
      <x:c r="D273" s="3" t="str">
        <x:v>TC_CONSULT_049</x:v>
      </x:c>
      <x:c r="E273" s="3" t="str">
        <x:v>POST BACKEND /api/public/consultations: programme Min+1 (1)</x:v>
      </x:c>
      <x:c r="F273" s="3" t="str">
        <x:v>Designed — chưa thực thi</x:v>
      </x:c>
      <x:c r="G273" s="3" t="str">
        <x:v>Nguồn: backend/src/modules/consultations/consultations.routes.ts:11.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4" ht="62" customHeight="1">
      <x:c r="A274" s="3" t="str">
        <x:v>CON-001</x:v>
      </x:c>
      <x:c r="B274" s="3" t="str">
        <x:v>CONSULT</x:v>
      </x:c>
      <x:c r="C274" s="3" t="str">
        <x:v>Hệ thống phải kiểm tra dữ liệu bắt buộc, chống bot cơ bản và ghi nhận yêu cầu tư vấn.</x:v>
      </x:c>
      <x:c r="D274" s="3" t="str">
        <x:v>TC_CONSULT_050</x:v>
      </x:c>
      <x:c r="E274" s="3" t="str">
        <x:v>POST BACKEND /api/public/consultations: programme Max−1 (189)</x:v>
      </x:c>
      <x:c r="F274" s="3" t="str">
        <x:v>Designed — chưa thực thi</x:v>
      </x:c>
      <x:c r="G274" s="3" t="str">
        <x:v>Nguồn: backend/src/modules/consultations/consultations.routes.ts:11.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5" ht="62" customHeight="1">
      <x:c r="A275" s="3" t="str">
        <x:v>CON-001</x:v>
      </x:c>
      <x:c r="B275" s="3" t="str">
        <x:v>CONSULT</x:v>
      </x:c>
      <x:c r="C275" s="3" t="str">
        <x:v>Hệ thống phải kiểm tra dữ liệu bắt buộc, chống bot cơ bản và ghi nhận yêu cầu tư vấn.</x:v>
      </x:c>
      <x:c r="D275" s="3" t="str">
        <x:v>TC_CONSULT_051</x:v>
      </x:c>
      <x:c r="E275" s="3" t="str">
        <x:v>POST BACKEND /api/public/consultations: programme Max (190)</x:v>
      </x:c>
      <x:c r="F275" s="3" t="str">
        <x:v>Designed — chưa thực thi</x:v>
      </x:c>
      <x:c r="G275" s="3" t="str">
        <x:v>Nguồn: backend/src/modules/consultations/consultations.routes.ts:11.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6" ht="62" customHeight="1">
      <x:c r="A276" s="3" t="str">
        <x:v>CON-001</x:v>
      </x:c>
      <x:c r="B276" s="3" t="str">
        <x:v>CONSULT</x:v>
      </x:c>
      <x:c r="C276" s="3" t="str">
        <x:v>Hệ thống phải kiểm tra dữ liệu bắt buộc, chống bot cơ bản và ghi nhận yêu cầu tư vấn.</x:v>
      </x:c>
      <x:c r="D276" s="3" t="str">
        <x:v>TC_CONSULT_052</x:v>
      </x:c>
      <x:c r="E276" s="3" t="str">
        <x:v>POST BACKEND /api/public/consultations: programme Max+1 (191)</x:v>
      </x:c>
      <x:c r="F276" s="3" t="str">
        <x:v>Designed — chưa thực thi</x:v>
      </x:c>
      <x:c r="G276" s="3" t="str">
        <x:v>Nguồn: backend/src/modules/consultations/consultations.routes.ts:11.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7" ht="62" customHeight="1">
      <x:c r="A277" s="3" t="str">
        <x:v>CON-001</x:v>
      </x:c>
      <x:c r="B277" s="3" t="str">
        <x:v>CONSULT</x:v>
      </x:c>
      <x:c r="C277" s="3" t="str">
        <x:v>Hệ thống phải kiểm tra dữ liệu bắt buộc, chống bot cơ bản và ghi nhận yêu cầu tư vấn.</x:v>
      </x:c>
      <x:c r="D277" s="3" t="str">
        <x:v>TC_CONSULT_053</x:v>
      </x:c>
      <x:c r="E277" s="3" t="str">
        <x:v>POST BACKEND /api/public/consultations: interestedField Min (0)</x:v>
      </x:c>
      <x:c r="F277" s="3" t="str">
        <x:v>Designed — chưa thực thi</x:v>
      </x:c>
      <x:c r="G277" s="3" t="str">
        <x:v>Nguồn: backend/src/modules/consultations/consultations.routes.ts:12.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8" ht="62" customHeight="1">
      <x:c r="A278" s="3" t="str">
        <x:v>CON-001</x:v>
      </x:c>
      <x:c r="B278" s="3" t="str">
        <x:v>CONSULT</x:v>
      </x:c>
      <x:c r="C278" s="3" t="str">
        <x:v>Hệ thống phải kiểm tra dữ liệu bắt buộc, chống bot cơ bản và ghi nhận yêu cầu tư vấn.</x:v>
      </x:c>
      <x:c r="D278" s="3" t="str">
        <x:v>TC_CONSULT_054</x:v>
      </x:c>
      <x:c r="E278" s="3" t="str">
        <x:v>POST BACKEND /api/public/consultations: interestedField Min+1 (1)</x:v>
      </x:c>
      <x:c r="F278" s="3" t="str">
        <x:v>Designed — chưa thực thi</x:v>
      </x:c>
      <x:c r="G278" s="3" t="str">
        <x:v>Nguồn: backend/src/modules/consultations/consultations.routes.ts:12.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79" ht="62" customHeight="1">
      <x:c r="A279" s="3" t="str">
        <x:v>CON-001</x:v>
      </x:c>
      <x:c r="B279" s="3" t="str">
        <x:v>CONSULT</x:v>
      </x:c>
      <x:c r="C279" s="3" t="str">
        <x:v>Hệ thống phải kiểm tra dữ liệu bắt buộc, chống bot cơ bản và ghi nhận yêu cầu tư vấn.</x:v>
      </x:c>
      <x:c r="D279" s="3" t="str">
        <x:v>TC_CONSULT_055</x:v>
      </x:c>
      <x:c r="E279" s="3" t="str">
        <x:v>POST BACKEND /api/public/consultations: interestedField Max−1 (189)</x:v>
      </x:c>
      <x:c r="F279" s="3" t="str">
        <x:v>Designed — chưa thực thi</x:v>
      </x:c>
      <x:c r="G279" s="3" t="str">
        <x:v>Nguồn: backend/src/modules/consultations/consultations.routes.ts:12.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0" ht="62" customHeight="1">
      <x:c r="A280" s="3" t="str">
        <x:v>CON-001</x:v>
      </x:c>
      <x:c r="B280" s="3" t="str">
        <x:v>CONSULT</x:v>
      </x:c>
      <x:c r="C280" s="3" t="str">
        <x:v>Hệ thống phải kiểm tra dữ liệu bắt buộc, chống bot cơ bản và ghi nhận yêu cầu tư vấn.</x:v>
      </x:c>
      <x:c r="D280" s="3" t="str">
        <x:v>TC_CONSULT_056</x:v>
      </x:c>
      <x:c r="E280" s="3" t="str">
        <x:v>POST BACKEND /api/public/consultations: interestedField Max (190)</x:v>
      </x:c>
      <x:c r="F280" s="3" t="str">
        <x:v>Designed — chưa thực thi</x:v>
      </x:c>
      <x:c r="G280" s="3" t="str">
        <x:v>Nguồn: backend/src/modules/consultations/consultations.routes.ts:12.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1" ht="62" customHeight="1">
      <x:c r="A281" s="3" t="str">
        <x:v>CON-001</x:v>
      </x:c>
      <x:c r="B281" s="3" t="str">
        <x:v>CONSULT</x:v>
      </x:c>
      <x:c r="C281" s="3" t="str">
        <x:v>Hệ thống phải kiểm tra dữ liệu bắt buộc, chống bot cơ bản và ghi nhận yêu cầu tư vấn.</x:v>
      </x:c>
      <x:c r="D281" s="3" t="str">
        <x:v>TC_CONSULT_057</x:v>
      </x:c>
      <x:c r="E281" s="3" t="str">
        <x:v>POST BACKEND /api/public/consultations: interestedField Max+1 (191)</x:v>
      </x:c>
      <x:c r="F281" s="3" t="str">
        <x:v>Designed — chưa thực thi</x:v>
      </x:c>
      <x:c r="G281" s="3" t="str">
        <x:v>Nguồn: backend/src/modules/consultations/consultations.routes.ts:12.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2" ht="62" customHeight="1">
      <x:c r="A282" s="3" t="str">
        <x:v>CON-001</x:v>
      </x:c>
      <x:c r="B282" s="3" t="str">
        <x:v>CONSULT</x:v>
      </x:c>
      <x:c r="C282" s="3" t="str">
        <x:v>Hệ thống phải kiểm tra dữ liệu bắt buộc, chống bot cơ bản và ghi nhận yêu cầu tư vấn.</x:v>
      </x:c>
      <x:c r="D282" s="3" t="str">
        <x:v>TC_CONSULT_058</x:v>
      </x:c>
      <x:c r="E282" s="3" t="str">
        <x:v>POST BACKEND /api/public/consultations: preferredTime Min (0)</x:v>
      </x:c>
      <x:c r="F282" s="3" t="str">
        <x:v>Designed — chưa thực thi</x:v>
      </x:c>
      <x:c r="G282" s="3" t="str">
        <x:v>Nguồn: backend/src/modules/consultations/consultations.routes.ts:14.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3" ht="62" customHeight="1">
      <x:c r="A283" s="3" t="str">
        <x:v>CON-001</x:v>
      </x:c>
      <x:c r="B283" s="3" t="str">
        <x:v>CONSULT</x:v>
      </x:c>
      <x:c r="C283" s="3" t="str">
        <x:v>Hệ thống phải kiểm tra dữ liệu bắt buộc, chống bot cơ bản và ghi nhận yêu cầu tư vấn.</x:v>
      </x:c>
      <x:c r="D283" s="3" t="str">
        <x:v>TC_CONSULT_059</x:v>
      </x:c>
      <x:c r="E283" s="3" t="str">
        <x:v>POST BACKEND /api/public/consultations: preferredTime Min+1 (1)</x:v>
      </x:c>
      <x:c r="F283" s="3" t="str">
        <x:v>Designed — chưa thực thi</x:v>
      </x:c>
      <x:c r="G283" s="3" t="str">
        <x:v>Nguồn: backend/src/modules/consultations/consultations.routes.ts:14.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4" ht="62" customHeight="1">
      <x:c r="A284" s="3" t="str">
        <x:v>CON-001</x:v>
      </x:c>
      <x:c r="B284" s="3" t="str">
        <x:v>CONSULT</x:v>
      </x:c>
      <x:c r="C284" s="3" t="str">
        <x:v>Hệ thống phải kiểm tra dữ liệu bắt buộc, chống bot cơ bản và ghi nhận yêu cầu tư vấn.</x:v>
      </x:c>
      <x:c r="D284" s="3" t="str">
        <x:v>TC_CONSULT_060</x:v>
      </x:c>
      <x:c r="E284" s="3" t="str">
        <x:v>POST BACKEND /api/public/consultations: preferredTime Max−1 (49)</x:v>
      </x:c>
      <x:c r="F284" s="3" t="str">
        <x:v>Designed — chưa thực thi</x:v>
      </x:c>
      <x:c r="G284" s="3" t="str">
        <x:v>Nguồn: backend/src/modules/consultations/consultations.routes.ts:14.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5" ht="62" customHeight="1">
      <x:c r="A285" s="3" t="str">
        <x:v>CON-001</x:v>
      </x:c>
      <x:c r="B285" s="3" t="str">
        <x:v>CONSULT</x:v>
      </x:c>
      <x:c r="C285" s="3" t="str">
        <x:v>Hệ thống phải kiểm tra dữ liệu bắt buộc, chống bot cơ bản và ghi nhận yêu cầu tư vấn.</x:v>
      </x:c>
      <x:c r="D285" s="3" t="str">
        <x:v>TC_CONSULT_061</x:v>
      </x:c>
      <x:c r="E285" s="3" t="str">
        <x:v>POST BACKEND /api/public/consultations: preferredTime Max (50)</x:v>
      </x:c>
      <x:c r="F285" s="3" t="str">
        <x:v>Designed — chưa thực thi</x:v>
      </x:c>
      <x:c r="G285" s="3" t="str">
        <x:v>Nguồn: backend/src/modules/consultations/consultations.routes.ts:14.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6" ht="62" customHeight="1">
      <x:c r="A286" s="3" t="str">
        <x:v>CON-001</x:v>
      </x:c>
      <x:c r="B286" s="3" t="str">
        <x:v>CONSULT</x:v>
      </x:c>
      <x:c r="C286" s="3" t="str">
        <x:v>Hệ thống phải kiểm tra dữ liệu bắt buộc, chống bot cơ bản và ghi nhận yêu cầu tư vấn.</x:v>
      </x:c>
      <x:c r="D286" s="3" t="str">
        <x:v>TC_CONSULT_062</x:v>
      </x:c>
      <x:c r="E286" s="3" t="str">
        <x:v>POST BACKEND /api/public/consultations: preferredTime Max+1 (51)</x:v>
      </x:c>
      <x:c r="F286" s="3" t="str">
        <x:v>Designed — chưa thực thi</x:v>
      </x:c>
      <x:c r="G286" s="3" t="str">
        <x:v>Nguồn: backend/src/modules/consultations/consultations.routes.ts:14.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7" ht="62" customHeight="1">
      <x:c r="A287" s="3" t="str">
        <x:v>CON-001</x:v>
      </x:c>
      <x:c r="B287" s="3" t="str">
        <x:v>CONSULT</x:v>
      </x:c>
      <x:c r="C287" s="3" t="str">
        <x:v>Hệ thống phải kiểm tra dữ liệu bắt buộc, chống bot cơ bản và ghi nhận yêu cầu tư vấn.</x:v>
      </x:c>
      <x:c r="D287" s="3" t="str">
        <x:v>TC_CONSULT_063</x:v>
      </x:c>
      <x:c r="E287" s="3" t="str">
        <x:v>POST BACKEND /api/public/consultations: consultationMethod Min (0)</x:v>
      </x:c>
      <x:c r="F287" s="3" t="str">
        <x:v>Designed — chưa thực thi</x:v>
      </x:c>
      <x:c r="G287" s="3" t="str">
        <x:v>Nguồn: backend/src/modules/consultations/consultations.routes.ts:15.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8" ht="62" customHeight="1">
      <x:c r="A288" s="3" t="str">
        <x:v>CON-001</x:v>
      </x:c>
      <x:c r="B288" s="3" t="str">
        <x:v>CONSULT</x:v>
      </x:c>
      <x:c r="C288" s="3" t="str">
        <x:v>Hệ thống phải kiểm tra dữ liệu bắt buộc, chống bot cơ bản và ghi nhận yêu cầu tư vấn.</x:v>
      </x:c>
      <x:c r="D288" s="3" t="str">
        <x:v>TC_CONSULT_064</x:v>
      </x:c>
      <x:c r="E288" s="3" t="str">
        <x:v>POST BACKEND /api/public/consultations: consultationMethod Min+1 (1)</x:v>
      </x:c>
      <x:c r="F288" s="3" t="str">
        <x:v>Designed — chưa thực thi</x:v>
      </x:c>
      <x:c r="G288" s="3" t="str">
        <x:v>Nguồn: backend/src/modules/consultations/consultations.routes.ts:15.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89" ht="62" customHeight="1">
      <x:c r="A289" s="3" t="str">
        <x:v>CON-001</x:v>
      </x:c>
      <x:c r="B289" s="3" t="str">
        <x:v>CONSULT</x:v>
      </x:c>
      <x:c r="C289" s="3" t="str">
        <x:v>Hệ thống phải kiểm tra dữ liệu bắt buộc, chống bot cơ bản và ghi nhận yêu cầu tư vấn.</x:v>
      </x:c>
      <x:c r="D289" s="3" t="str">
        <x:v>TC_CONSULT_065</x:v>
      </x:c>
      <x:c r="E289" s="3" t="str">
        <x:v>POST BACKEND /api/public/consultations: consultationMethod Max−1 (49)</x:v>
      </x:c>
      <x:c r="F289" s="3" t="str">
        <x:v>Designed — chưa thực thi</x:v>
      </x:c>
      <x:c r="G289" s="3" t="str">
        <x:v>Nguồn: backend/src/modules/consultations/consultations.routes.ts:15.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0" ht="62" customHeight="1">
      <x:c r="A290" s="3" t="str">
        <x:v>CON-001</x:v>
      </x:c>
      <x:c r="B290" s="3" t="str">
        <x:v>CONSULT</x:v>
      </x:c>
      <x:c r="C290" s="3" t="str">
        <x:v>Hệ thống phải kiểm tra dữ liệu bắt buộc, chống bot cơ bản và ghi nhận yêu cầu tư vấn.</x:v>
      </x:c>
      <x:c r="D290" s="3" t="str">
        <x:v>TC_CONSULT_066</x:v>
      </x:c>
      <x:c r="E290" s="3" t="str">
        <x:v>POST BACKEND /api/public/consultations: consultationMethod Max (50)</x:v>
      </x:c>
      <x:c r="F290" s="3" t="str">
        <x:v>Designed — chưa thực thi</x:v>
      </x:c>
      <x:c r="G290" s="3" t="str">
        <x:v>Nguồn: backend/src/modules/consultations/consultations.routes.ts:15.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1" ht="62" customHeight="1">
      <x:c r="A291" s="3" t="str">
        <x:v>CON-001</x:v>
      </x:c>
      <x:c r="B291" s="3" t="str">
        <x:v>CONSULT</x:v>
      </x:c>
      <x:c r="C291" s="3" t="str">
        <x:v>Hệ thống phải kiểm tra dữ liệu bắt buộc, chống bot cơ bản và ghi nhận yêu cầu tư vấn.</x:v>
      </x:c>
      <x:c r="D291" s="3" t="str">
        <x:v>TC_CONSULT_067</x:v>
      </x:c>
      <x:c r="E291" s="3" t="str">
        <x:v>POST BACKEND /api/public/consultations: consultationMethod Max+1 (51)</x:v>
      </x:c>
      <x:c r="F291" s="3" t="str">
        <x:v>Designed — chưa thực thi</x:v>
      </x:c>
      <x:c r="G291" s="3" t="str">
        <x:v>Nguồn: backend/src/modules/consultations/consultations.routes.ts:15.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2" ht="62" customHeight="1">
      <x:c r="A292" s="3" t="str">
        <x:v>CON-001</x:v>
      </x:c>
      <x:c r="B292" s="3" t="str">
        <x:v>CONSULT</x:v>
      </x:c>
      <x:c r="C292" s="3" t="str">
        <x:v>Hệ thống phải kiểm tra dữ liệu bắt buộc, chống bot cơ bản và ghi nhận yêu cầu tư vấn.</x:v>
      </x:c>
      <x:c r="D292" s="3" t="str">
        <x:v>TC_CONSULT_068</x:v>
      </x:c>
      <x:c r="E292" s="3" t="str">
        <x:v>POST BACKEND /api/public/consultations: message Min (0)</x:v>
      </x:c>
      <x:c r="F292" s="3" t="str">
        <x:v>Designed — chưa thực thi</x:v>
      </x:c>
      <x:c r="G292" s="3" t="str">
        <x:v>Nguồn: backend/src/modules/consultations/consultations.routes.ts:16.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3" ht="62" customHeight="1">
      <x:c r="A293" s="3" t="str">
        <x:v>CON-001</x:v>
      </x:c>
      <x:c r="B293" s="3" t="str">
        <x:v>CONSULT</x:v>
      </x:c>
      <x:c r="C293" s="3" t="str">
        <x:v>Hệ thống phải kiểm tra dữ liệu bắt buộc, chống bot cơ bản và ghi nhận yêu cầu tư vấn.</x:v>
      </x:c>
      <x:c r="D293" s="3" t="str">
        <x:v>TC_CONSULT_069</x:v>
      </x:c>
      <x:c r="E293" s="3" t="str">
        <x:v>POST BACKEND /api/public/consultations: message Min+1 (1)</x:v>
      </x:c>
      <x:c r="F293" s="3" t="str">
        <x:v>Designed — chưa thực thi</x:v>
      </x:c>
      <x:c r="G293" s="3" t="str">
        <x:v>Nguồn: backend/src/modules/consultations/consultations.routes.ts:16.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4" ht="62" customHeight="1">
      <x:c r="A294" s="3" t="str">
        <x:v>CON-001</x:v>
      </x:c>
      <x:c r="B294" s="3" t="str">
        <x:v>CONSULT</x:v>
      </x:c>
      <x:c r="C294" s="3" t="str">
        <x:v>Hệ thống phải kiểm tra dữ liệu bắt buộc, chống bot cơ bản và ghi nhận yêu cầu tư vấn.</x:v>
      </x:c>
      <x:c r="D294" s="3" t="str">
        <x:v>TC_CONSULT_070</x:v>
      </x:c>
      <x:c r="E294" s="3" t="str">
        <x:v>POST BACKEND /api/public/consultations: message Max−1 (2999)</x:v>
      </x:c>
      <x:c r="F294" s="3" t="str">
        <x:v>Designed — chưa thực thi</x:v>
      </x:c>
      <x:c r="G294" s="3" t="str">
        <x:v>Nguồn: backend/src/modules/consultations/consultations.routes.ts:16.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5" ht="62" customHeight="1">
      <x:c r="A295" s="3" t="str">
        <x:v>CON-001</x:v>
      </x:c>
      <x:c r="B295" s="3" t="str">
        <x:v>CONSULT</x:v>
      </x:c>
      <x:c r="C295" s="3" t="str">
        <x:v>Hệ thống phải kiểm tra dữ liệu bắt buộc, chống bot cơ bản và ghi nhận yêu cầu tư vấn.</x:v>
      </x:c>
      <x:c r="D295" s="3" t="str">
        <x:v>TC_CONSULT_071</x:v>
      </x:c>
      <x:c r="E295" s="3" t="str">
        <x:v>POST BACKEND /api/public/consultations: message Max (3000)</x:v>
      </x:c>
      <x:c r="F295" s="3" t="str">
        <x:v>Designed — chưa thực thi</x:v>
      </x:c>
      <x:c r="G295" s="3" t="str">
        <x:v>Nguồn: backend/src/modules/consultations/consultations.routes.ts:16.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6" ht="62" customHeight="1">
      <x:c r="A296" s="3" t="str">
        <x:v>CON-001</x:v>
      </x:c>
      <x:c r="B296" s="3" t="str">
        <x:v>CONSULT</x:v>
      </x:c>
      <x:c r="C296" s="3" t="str">
        <x:v>Hệ thống phải kiểm tra dữ liệu bắt buộc, chống bot cơ bản và ghi nhận yêu cầu tư vấn.</x:v>
      </x:c>
      <x:c r="D296" s="3" t="str">
        <x:v>TC_CONSULT_072</x:v>
      </x:c>
      <x:c r="E296" s="3" t="str">
        <x:v>POST BACKEND /api/public/consultations: message Max+1 (3001)</x:v>
      </x:c>
      <x:c r="F296" s="3" t="str">
        <x:v>Designed — chưa thực thi</x:v>
      </x:c>
      <x:c r="G296" s="3" t="str">
        <x:v>Nguồn: backend/src/modules/consultations/consultations.routes.ts:16.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7" ht="62" customHeight="1">
      <x:c r="A297" s="3" t="str">
        <x:v>CON-001</x:v>
      </x:c>
      <x:c r="B297" s="3" t="str">
        <x:v>CONSULT</x:v>
      </x:c>
      <x:c r="C297" s="3" t="str">
        <x:v>Hệ thống phải kiểm tra dữ liệu bắt buộc, chống bot cơ bản và ghi nhận yêu cầu tư vấn.</x:v>
      </x:c>
      <x:c r="D297" s="3" t="str">
        <x:v>TC_CONSULT_073</x:v>
      </x:c>
      <x:c r="E297" s="3" t="str">
        <x:v>POST BACKEND /api/public/consultations: sourcePage Min (0)</x:v>
      </x:c>
      <x:c r="F297" s="3" t="str">
        <x:v>Designed — chưa thực thi</x:v>
      </x:c>
      <x:c r="G297" s="3" t="str">
        <x:v>Nguồn: backend/src/modules/consultations/consultations.routes.ts:17.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8" ht="62" customHeight="1">
      <x:c r="A298" s="3" t="str">
        <x:v>CON-001</x:v>
      </x:c>
      <x:c r="B298" s="3" t="str">
        <x:v>CONSULT</x:v>
      </x:c>
      <x:c r="C298" s="3" t="str">
        <x:v>Hệ thống phải kiểm tra dữ liệu bắt buộc, chống bot cơ bản và ghi nhận yêu cầu tư vấn.</x:v>
      </x:c>
      <x:c r="D298" s="3" t="str">
        <x:v>TC_CONSULT_074</x:v>
      </x:c>
      <x:c r="E298" s="3" t="str">
        <x:v>POST BACKEND /api/public/consultations: sourcePage Min+1 (1)</x:v>
      </x:c>
      <x:c r="F298" s="3" t="str">
        <x:v>Designed — chưa thực thi</x:v>
      </x:c>
      <x:c r="G298" s="3" t="str">
        <x:v>Nguồn: backend/src/modules/consultations/consultations.routes.ts:17.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299" ht="62" customHeight="1">
      <x:c r="A299" s="3" t="str">
        <x:v>CON-001</x:v>
      </x:c>
      <x:c r="B299" s="3" t="str">
        <x:v>CONSULT</x:v>
      </x:c>
      <x:c r="C299" s="3" t="str">
        <x:v>Hệ thống phải kiểm tra dữ liệu bắt buộc, chống bot cơ bản và ghi nhận yêu cầu tư vấn.</x:v>
      </x:c>
      <x:c r="D299" s="3" t="str">
        <x:v>TC_CONSULT_075</x:v>
      </x:c>
      <x:c r="E299" s="3" t="str">
        <x:v>POST BACKEND /api/public/consultations: sourcePage Max−1 (499)</x:v>
      </x:c>
      <x:c r="F299" s="3" t="str">
        <x:v>Designed — chưa thực thi</x:v>
      </x:c>
      <x:c r="G299" s="3" t="str">
        <x:v>Nguồn: backend/src/modules/consultations/consultations.routes.ts:17.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0" ht="62" customHeight="1">
      <x:c r="A300" s="3" t="str">
        <x:v>CON-001</x:v>
      </x:c>
      <x:c r="B300" s="3" t="str">
        <x:v>CONSULT</x:v>
      </x:c>
      <x:c r="C300" s="3" t="str">
        <x:v>Hệ thống phải kiểm tra dữ liệu bắt buộc, chống bot cơ bản và ghi nhận yêu cầu tư vấn.</x:v>
      </x:c>
      <x:c r="D300" s="3" t="str">
        <x:v>TC_CONSULT_076</x:v>
      </x:c>
      <x:c r="E300" s="3" t="str">
        <x:v>POST BACKEND /api/public/consultations: sourcePage Max (500)</x:v>
      </x:c>
      <x:c r="F300" s="3" t="str">
        <x:v>Designed — chưa thực thi</x:v>
      </x:c>
      <x:c r="G300" s="3" t="str">
        <x:v>Nguồn: backend/src/modules/consultations/consultations.routes.ts:17.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1" ht="62" customHeight="1">
      <x:c r="A301" s="3" t="str">
        <x:v>CON-001</x:v>
      </x:c>
      <x:c r="B301" s="3" t="str">
        <x:v>CONSULT</x:v>
      </x:c>
      <x:c r="C301" s="3" t="str">
        <x:v>Hệ thống phải kiểm tra dữ liệu bắt buộc, chống bot cơ bản và ghi nhận yêu cầu tư vấn.</x:v>
      </x:c>
      <x:c r="D301" s="3" t="str">
        <x:v>TC_CONSULT_077</x:v>
      </x:c>
      <x:c r="E301" s="3" t="str">
        <x:v>POST BACKEND /api/public/consultations: sourcePage Max+1 (501)</x:v>
      </x:c>
      <x:c r="F301" s="3" t="str">
        <x:v>Designed — chưa thực thi</x:v>
      </x:c>
      <x:c r="G301" s="3" t="str">
        <x:v>Nguồn: backend/src/modules/consultations/consultations.routes.ts:17.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2" ht="62" customHeight="1">
      <x:c r="A302" s="3" t="str">
        <x:v>CON-001</x:v>
      </x:c>
      <x:c r="B302" s="3" t="str">
        <x:v>CONSULT</x:v>
      </x:c>
      <x:c r="C302" s="3" t="str">
        <x:v>Hệ thống phải kiểm tra dữ liệu bắt buộc, chống bot cơ bản và ghi nhận yêu cầu tư vấn.</x:v>
      </x:c>
      <x:c r="D302" s="3" t="str">
        <x:v>TC_CONSULT_078</x:v>
      </x:c>
      <x:c r="E302" s="3" t="str">
        <x:v>POST BACKEND /api/public/consultations: sourceComponent Min (0)</x:v>
      </x:c>
      <x:c r="F302" s="3" t="str">
        <x:v>Designed — chưa thực thi</x:v>
      </x:c>
      <x:c r="G302" s="3" t="str">
        <x:v>Nguồn: backend/src/modules/consultations/consultations.routes.ts:18.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3" ht="62" customHeight="1">
      <x:c r="A303" s="3" t="str">
        <x:v>CON-001</x:v>
      </x:c>
      <x:c r="B303" s="3" t="str">
        <x:v>CONSULT</x:v>
      </x:c>
      <x:c r="C303" s="3" t="str">
        <x:v>Hệ thống phải kiểm tra dữ liệu bắt buộc, chống bot cơ bản và ghi nhận yêu cầu tư vấn.</x:v>
      </x:c>
      <x:c r="D303" s="3" t="str">
        <x:v>TC_CONSULT_079</x:v>
      </x:c>
      <x:c r="E303" s="3" t="str">
        <x:v>POST BACKEND /api/public/consultations: sourceComponent Min+1 (1)</x:v>
      </x:c>
      <x:c r="F303" s="3" t="str">
        <x:v>Designed — chưa thực thi</x:v>
      </x:c>
      <x:c r="G303" s="3" t="str">
        <x:v>Nguồn: backend/src/modules/consultations/consultations.routes.ts:18.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4" ht="62" customHeight="1">
      <x:c r="A304" s="3" t="str">
        <x:v>CON-001</x:v>
      </x:c>
      <x:c r="B304" s="3" t="str">
        <x:v>CONSULT</x:v>
      </x:c>
      <x:c r="C304" s="3" t="str">
        <x:v>Hệ thống phải kiểm tra dữ liệu bắt buộc, chống bot cơ bản và ghi nhận yêu cầu tư vấn.</x:v>
      </x:c>
      <x:c r="D304" s="3" t="str">
        <x:v>TC_CONSULT_080</x:v>
      </x:c>
      <x:c r="E304" s="3" t="str">
        <x:v>POST BACKEND /api/public/consultations: sourceComponent Max−1 (119)</x:v>
      </x:c>
      <x:c r="F304" s="3" t="str">
        <x:v>Designed — chưa thực thi</x:v>
      </x:c>
      <x:c r="G304" s="3" t="str">
        <x:v>Nguồn: backend/src/modules/consultations/consultations.routes.ts:18.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5" ht="62" customHeight="1">
      <x:c r="A305" s="3" t="str">
        <x:v>CON-001</x:v>
      </x:c>
      <x:c r="B305" s="3" t="str">
        <x:v>CONSULT</x:v>
      </x:c>
      <x:c r="C305" s="3" t="str">
        <x:v>Hệ thống phải kiểm tra dữ liệu bắt buộc, chống bot cơ bản và ghi nhận yêu cầu tư vấn.</x:v>
      </x:c>
      <x:c r="D305" s="3" t="str">
        <x:v>TC_CONSULT_081</x:v>
      </x:c>
      <x:c r="E305" s="3" t="str">
        <x:v>POST BACKEND /api/public/consultations: sourceComponent Max (120)</x:v>
      </x:c>
      <x:c r="F305" s="3" t="str">
        <x:v>Designed — chưa thực thi</x:v>
      </x:c>
      <x:c r="G305" s="3" t="str">
        <x:v>Nguồn: backend/src/modules/consultations/consultations.routes.ts:18.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6" ht="62" customHeight="1">
      <x:c r="A306" s="3" t="str">
        <x:v>CON-001</x:v>
      </x:c>
      <x:c r="B306" s="3" t="str">
        <x:v>CONSULT</x:v>
      </x:c>
      <x:c r="C306" s="3" t="str">
        <x:v>Hệ thống phải kiểm tra dữ liệu bắt buộc, chống bot cơ bản và ghi nhận yêu cầu tư vấn.</x:v>
      </x:c>
      <x:c r="D306" s="3" t="str">
        <x:v>TC_CONSULT_082</x:v>
      </x:c>
      <x:c r="E306" s="3" t="str">
        <x:v>POST BACKEND /api/public/consultations: sourceComponent Max+1 (121)</x:v>
      </x:c>
      <x:c r="F306" s="3" t="str">
        <x:v>Designed — chưa thực thi</x:v>
      </x:c>
      <x:c r="G306" s="3" t="str">
        <x:v>Nguồn: backend/src/modules/consultations/consultations.routes.ts:18. Độ dài JS/Zod dùng UTF-16; fixture ASCII để cô lập boundary. Optional min=0: Min−1 không áp dụng vì không có độ dài âm. Baseline: docs/ba/02-requirements/VGG_REQ-WORKBOOK_v0.1_2026-09-04.xlsx / Requirements; Cơ sở pháp lý/đồng ý xử lý dữ liệu cần xác nhận</x:v>
      </x:c>
    </x:row>
    <x:row r="307" ht="49" customHeight="1">
      <x:c r="A307" s="3" t="str">
        <x:v>NEWS-001</x:v>
      </x:c>
      <x:c r="B307" s="3" t="str">
        <x:v>NEWS</x:v>
      </x:c>
      <x:c r="C307" s="3" t="str">
        <x:v>Người có news.create phải tạo được bài với tiêu đề, slug, locale, danh mục và nội dung hợp lệ.</x:v>
      </x:c>
      <x:c r="D307" s="3" t="str">
        <x:v>TC_NEWS_031</x:v>
      </x:c>
      <x:c r="E307" s="3" t="str">
        <x:v>POST BACKEND /api/admin/news: slug Min−1 (1)</x:v>
      </x:c>
      <x:c r="F307" s="3" t="str">
        <x:v>Designed — chưa thực thi</x:v>
      </x:c>
      <x:c r="G307" s="3" t="str">
        <x:v>Nguồn: backend/src/modules/cms/cms.routes.ts:104. Độ dài JS/Zod dùng UTF-16; fixture ASCII để cô lập boundary. Optional min=0: Min−1 không áp dụng vì không có độ dài âm. Baseline: docs/ba/02-requirements/VGG_REQ-WORKBOOK_v0.1_2026-09-04.xlsx / Requirements; Quy trình duyệt nội dung cần xác nhận</x:v>
      </x:c>
    </x:row>
    <x:row r="308" ht="49" customHeight="1">
      <x:c r="A308" s="3" t="str">
        <x:v>NEWS-001</x:v>
      </x:c>
      <x:c r="B308" s="3" t="str">
        <x:v>NEWS</x:v>
      </x:c>
      <x:c r="C308" s="3" t="str">
        <x:v>Người có news.create phải tạo được bài với tiêu đề, slug, locale, danh mục và nội dung hợp lệ.</x:v>
      </x:c>
      <x:c r="D308" s="3" t="str">
        <x:v>TC_NEWS_032</x:v>
      </x:c>
      <x:c r="E308" s="3" t="str">
        <x:v>POST BACKEND /api/admin/news: slug Min (2)</x:v>
      </x:c>
      <x:c r="F308" s="3" t="str">
        <x:v>Designed — chưa thực thi</x:v>
      </x:c>
      <x:c r="G308" s="3" t="str">
        <x:v>Nguồn: backend/src/modules/cms/cms.routes.ts:104. Độ dài JS/Zod dùng UTF-16; fixture ASCII để cô lập boundary. Optional min=0: Min−1 không áp dụng vì không có độ dài âm. Baseline: docs/ba/02-requirements/VGG_REQ-WORKBOOK_v0.1_2026-09-04.xlsx / Requirements; Quy trình duyệt nội dung cần xác nhận</x:v>
      </x:c>
    </x:row>
    <x:row r="309" ht="49" customHeight="1">
      <x:c r="A309" s="3" t="str">
        <x:v>NEWS-001</x:v>
      </x:c>
      <x:c r="B309" s="3" t="str">
        <x:v>NEWS</x:v>
      </x:c>
      <x:c r="C309" s="3" t="str">
        <x:v>Người có news.create phải tạo được bài với tiêu đề, slug, locale, danh mục và nội dung hợp lệ.</x:v>
      </x:c>
      <x:c r="D309" s="3" t="str">
        <x:v>TC_NEWS_033</x:v>
      </x:c>
      <x:c r="E309" s="3" t="str">
        <x:v>POST BACKEND /api/admin/news: slug Min+1 (3)</x:v>
      </x:c>
      <x:c r="F309" s="3" t="str">
        <x:v>Designed — chưa thực thi</x:v>
      </x:c>
      <x:c r="G309" s="3" t="str">
        <x:v>Nguồn: backend/src/modules/cms/cms.routes.ts:104. Độ dài JS/Zod dùng UTF-16; fixture ASCII để cô lập boundary. Optional min=0: Min−1 không áp dụng vì không có độ dài âm. Baseline: docs/ba/02-requirements/VGG_REQ-WORKBOOK_v0.1_2026-09-04.xlsx / Requirements; Quy trình duyệt nội dung cần xác nhận</x:v>
      </x:c>
    </x:row>
    <x:row r="310" ht="49" customHeight="1">
      <x:c r="A310" s="3" t="str">
        <x:v>NEWS-001</x:v>
      </x:c>
      <x:c r="B310" s="3" t="str">
        <x:v>NEWS</x:v>
      </x:c>
      <x:c r="C310" s="3" t="str">
        <x:v>Người có news.create phải tạo được bài với tiêu đề, slug, locale, danh mục và nội dung hợp lệ.</x:v>
      </x:c>
      <x:c r="D310" s="3" t="str">
        <x:v>TC_NEWS_034</x:v>
      </x:c>
      <x:c r="E310" s="3" t="str">
        <x:v>POST BACKEND /api/admin/news: slug Max−1 (189)</x:v>
      </x:c>
      <x:c r="F310" s="3" t="str">
        <x:v>Designed — chưa thực thi</x:v>
      </x:c>
      <x:c r="G310" s="3" t="str">
        <x:v>Nguồn: backend/src/modules/cms/cms.routes.ts:104. Độ dài JS/Zod dùng UTF-16; fixture ASCII để cô lập boundary. Optional min=0: Min−1 không áp dụng vì không có độ dài âm. Baseline: docs/ba/02-requirements/VGG_REQ-WORKBOOK_v0.1_2026-09-04.xlsx / Requirements; Quy trình duyệt nội dung cần xác nhận</x:v>
      </x:c>
    </x:row>
    <x:row r="311" ht="49" customHeight="1">
      <x:c r="A311" s="3" t="str">
        <x:v>NEWS-001</x:v>
      </x:c>
      <x:c r="B311" s="3" t="str">
        <x:v>NEWS</x:v>
      </x:c>
      <x:c r="C311" s="3" t="str">
        <x:v>Người có news.create phải tạo được bài với tiêu đề, slug, locale, danh mục và nội dung hợp lệ.</x:v>
      </x:c>
      <x:c r="D311" s="3" t="str">
        <x:v>TC_NEWS_035</x:v>
      </x:c>
      <x:c r="E311" s="3" t="str">
        <x:v>POST BACKEND /api/admin/news: slug Max (190)</x:v>
      </x:c>
      <x:c r="F311" s="3" t="str">
        <x:v>Designed — chưa thực thi</x:v>
      </x:c>
      <x:c r="G311" s="3" t="str">
        <x:v>Nguồn: backend/src/modules/cms/cms.routes.ts:104. Độ dài JS/Zod dùng UTF-16; fixture ASCII để cô lập boundary. Optional min=0: Min−1 không áp dụng vì không có độ dài âm. Baseline: docs/ba/02-requirements/VGG_REQ-WORKBOOK_v0.1_2026-09-04.xlsx / Requirements; Quy trình duyệt nội dung cần xác nhận</x:v>
      </x:c>
    </x:row>
    <x:row r="312" ht="49" customHeight="1">
      <x:c r="A312" s="3" t="str">
        <x:v>NEWS-001</x:v>
      </x:c>
      <x:c r="B312" s="3" t="str">
        <x:v>NEWS</x:v>
      </x:c>
      <x:c r="C312" s="3" t="str">
        <x:v>Người có news.create phải tạo được bài với tiêu đề, slug, locale, danh mục và nội dung hợp lệ.</x:v>
      </x:c>
      <x:c r="D312" s="3" t="str">
        <x:v>TC_NEWS_036</x:v>
      </x:c>
      <x:c r="E312" s="3" t="str">
        <x:v>POST BACKEND /api/admin/news: slug Max+1 (191)</x:v>
      </x:c>
      <x:c r="F312" s="3" t="str">
        <x:v>Designed — chưa thực thi</x:v>
      </x:c>
      <x:c r="G312" s="3" t="str">
        <x:v>Nguồn: backend/src/modules/cms/cms.routes.ts:104. Độ dài JS/Zod dùng UTF-16; fixture ASCII để cô lập boundary. Optional min=0: Min−1 không áp dụng vì không có độ dài âm. Baseline: docs/ba/02-requirements/VGG_REQ-WORKBOOK_v0.1_2026-09-04.xlsx / Requirements; Quy trình duyệt nội dung cần xác nhận</x:v>
      </x:c>
    </x:row>
    <x:row r="313" ht="49" customHeight="1">
      <x:c r="A313" s="3" t="str">
        <x:v>NEWS-001</x:v>
      </x:c>
      <x:c r="B313" s="3" t="str">
        <x:v>NEWS</x:v>
      </x:c>
      <x:c r="C313" s="3" t="str">
        <x:v>Người có news.create phải tạo được bài với tiêu đề, slug, locale, danh mục và nội dung hợp lệ.</x:v>
      </x:c>
      <x:c r="D313" s="3" t="str">
        <x:v>TC_NEWS_037</x:v>
      </x:c>
      <x:c r="E313" s="3" t="str">
        <x:v>POST BACKEND /api/admin/news: title Min−1 (1)</x:v>
      </x:c>
      <x:c r="F313" s="3" t="str">
        <x:v>Designed — chưa thực thi</x:v>
      </x:c>
      <x:c r="G313"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14" ht="49" customHeight="1">
      <x:c r="A314" s="3" t="str">
        <x:v>NEWS-001</x:v>
      </x:c>
      <x:c r="B314" s="3" t="str">
        <x:v>NEWS</x:v>
      </x:c>
      <x:c r="C314" s="3" t="str">
        <x:v>Người có news.create phải tạo được bài với tiêu đề, slug, locale, danh mục và nội dung hợp lệ.</x:v>
      </x:c>
      <x:c r="D314" s="3" t="str">
        <x:v>TC_NEWS_038</x:v>
      </x:c>
      <x:c r="E314" s="3" t="str">
        <x:v>POST BACKEND /api/admin/news: title Min (2)</x:v>
      </x:c>
      <x:c r="F314" s="3" t="str">
        <x:v>Designed — chưa thực thi</x:v>
      </x:c>
      <x:c r="G314"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15" ht="49" customHeight="1">
      <x:c r="A315" s="3" t="str">
        <x:v>NEWS-001</x:v>
      </x:c>
      <x:c r="B315" s="3" t="str">
        <x:v>NEWS</x:v>
      </x:c>
      <x:c r="C315" s="3" t="str">
        <x:v>Người có news.create phải tạo được bài với tiêu đề, slug, locale, danh mục và nội dung hợp lệ.</x:v>
      </x:c>
      <x:c r="D315" s="3" t="str">
        <x:v>TC_NEWS_039</x:v>
      </x:c>
      <x:c r="E315" s="3" t="str">
        <x:v>POST BACKEND /api/admin/news: title Min+1 (3)</x:v>
      </x:c>
      <x:c r="F315" s="3" t="str">
        <x:v>Designed — chưa thực thi</x:v>
      </x:c>
      <x:c r="G315"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16" ht="49" customHeight="1">
      <x:c r="A316" s="3" t="str">
        <x:v>NEWS-001</x:v>
      </x:c>
      <x:c r="B316" s="3" t="str">
        <x:v>NEWS</x:v>
      </x:c>
      <x:c r="C316" s="3" t="str">
        <x:v>Người có news.create phải tạo được bài với tiêu đề, slug, locale, danh mục và nội dung hợp lệ.</x:v>
      </x:c>
      <x:c r="D316" s="3" t="str">
        <x:v>TC_NEWS_040</x:v>
      </x:c>
      <x:c r="E316" s="3" t="str">
        <x:v>POST BACKEND /api/admin/news: title Max−1 (249)</x:v>
      </x:c>
      <x:c r="F316" s="3" t="str">
        <x:v>Designed — chưa thực thi</x:v>
      </x:c>
      <x:c r="G316"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17" ht="49" customHeight="1">
      <x:c r="A317" s="3" t="str">
        <x:v>NEWS-001</x:v>
      </x:c>
      <x:c r="B317" s="3" t="str">
        <x:v>NEWS</x:v>
      </x:c>
      <x:c r="C317" s="3" t="str">
        <x:v>Người có news.create phải tạo được bài với tiêu đề, slug, locale, danh mục và nội dung hợp lệ.</x:v>
      </x:c>
      <x:c r="D317" s="3" t="str">
        <x:v>TC_NEWS_041</x:v>
      </x:c>
      <x:c r="E317" s="3" t="str">
        <x:v>POST BACKEND /api/admin/news: title Max (250)</x:v>
      </x:c>
      <x:c r="F317" s="3" t="str">
        <x:v>Designed — chưa thực thi</x:v>
      </x:c>
      <x:c r="G317"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18" ht="49" customHeight="1">
      <x:c r="A318" s="3" t="str">
        <x:v>NEWS-001</x:v>
      </x:c>
      <x:c r="B318" s="3" t="str">
        <x:v>NEWS</x:v>
      </x:c>
      <x:c r="C318" s="3" t="str">
        <x:v>Người có news.create phải tạo được bài với tiêu đề, slug, locale, danh mục và nội dung hợp lệ.</x:v>
      </x:c>
      <x:c r="D318" s="3" t="str">
        <x:v>TC_NEWS_042</x:v>
      </x:c>
      <x:c r="E318" s="3" t="str">
        <x:v>POST BACKEND /api/admin/news: title Max+1 (251)</x:v>
      </x:c>
      <x:c r="F318" s="3" t="str">
        <x:v>Designed — chưa thực thi</x:v>
      </x:c>
      <x:c r="G318"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19" ht="49" customHeight="1">
      <x:c r="A319" s="3" t="str">
        <x:v>NEWS-001</x:v>
      </x:c>
      <x:c r="B319" s="3" t="str">
        <x:v>NEWS</x:v>
      </x:c>
      <x:c r="C319" s="3" t="str">
        <x:v>Người có news.create phải tạo được bài với tiêu đề, slug, locale, danh mục và nội dung hợp lệ.</x:v>
      </x:c>
      <x:c r="D319" s="3" t="str">
        <x:v>TC_NEWS_043</x:v>
      </x:c>
      <x:c r="E319" s="3" t="str">
        <x:v>POST BACKEND /api/admin/news: authorName Min−1 (1)</x:v>
      </x:c>
      <x:c r="F319" s="3" t="str">
        <x:v>Designed — chưa thực thi</x:v>
      </x:c>
      <x:c r="G319"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0" ht="49" customHeight="1">
      <x:c r="A320" s="3" t="str">
        <x:v>NEWS-001</x:v>
      </x:c>
      <x:c r="B320" s="3" t="str">
        <x:v>NEWS</x:v>
      </x:c>
      <x:c r="C320" s="3" t="str">
        <x:v>Người có news.create phải tạo được bài với tiêu đề, slug, locale, danh mục và nội dung hợp lệ.</x:v>
      </x:c>
      <x:c r="D320" s="3" t="str">
        <x:v>TC_NEWS_044</x:v>
      </x:c>
      <x:c r="E320" s="3" t="str">
        <x:v>POST BACKEND /api/admin/news: authorName Min (2)</x:v>
      </x:c>
      <x:c r="F320" s="3" t="str">
        <x:v>Designed — chưa thực thi</x:v>
      </x:c>
      <x:c r="G320"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1" ht="49" customHeight="1">
      <x:c r="A321" s="3" t="str">
        <x:v>NEWS-001</x:v>
      </x:c>
      <x:c r="B321" s="3" t="str">
        <x:v>NEWS</x:v>
      </x:c>
      <x:c r="C321" s="3" t="str">
        <x:v>Người có news.create phải tạo được bài với tiêu đề, slug, locale, danh mục và nội dung hợp lệ.</x:v>
      </x:c>
      <x:c r="D321" s="3" t="str">
        <x:v>TC_NEWS_045</x:v>
      </x:c>
      <x:c r="E321" s="3" t="str">
        <x:v>POST BACKEND /api/admin/news: authorName Min+1 (3)</x:v>
      </x:c>
      <x:c r="F321" s="3" t="str">
        <x:v>Designed — chưa thực thi</x:v>
      </x:c>
      <x:c r="G321"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2" ht="49" customHeight="1">
      <x:c r="A322" s="3" t="str">
        <x:v>NEWS-001</x:v>
      </x:c>
      <x:c r="B322" s="3" t="str">
        <x:v>NEWS</x:v>
      </x:c>
      <x:c r="C322" s="3" t="str">
        <x:v>Người có news.create phải tạo được bài với tiêu đề, slug, locale, danh mục và nội dung hợp lệ.</x:v>
      </x:c>
      <x:c r="D322" s="3" t="str">
        <x:v>TC_NEWS_046</x:v>
      </x:c>
      <x:c r="E322" s="3" t="str">
        <x:v>POST BACKEND /api/admin/news: authorName Max−1 (119)</x:v>
      </x:c>
      <x:c r="F322" s="3" t="str">
        <x:v>Designed — chưa thực thi</x:v>
      </x:c>
      <x:c r="G322"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3" ht="49" customHeight="1">
      <x:c r="A323" s="3" t="str">
        <x:v>NEWS-001</x:v>
      </x:c>
      <x:c r="B323" s="3" t="str">
        <x:v>NEWS</x:v>
      </x:c>
      <x:c r="C323" s="3" t="str">
        <x:v>Người có news.create phải tạo được bài với tiêu đề, slug, locale, danh mục và nội dung hợp lệ.</x:v>
      </x:c>
      <x:c r="D323" s="3" t="str">
        <x:v>TC_NEWS_047</x:v>
      </x:c>
      <x:c r="E323" s="3" t="str">
        <x:v>POST BACKEND /api/admin/news: authorName Max (120)</x:v>
      </x:c>
      <x:c r="F323" s="3" t="str">
        <x:v>Designed — chưa thực thi</x:v>
      </x:c>
      <x:c r="G323"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4" ht="49" customHeight="1">
      <x:c r="A324" s="3" t="str">
        <x:v>NEWS-001</x:v>
      </x:c>
      <x:c r="B324" s="3" t="str">
        <x:v>NEWS</x:v>
      </x:c>
      <x:c r="C324" s="3" t="str">
        <x:v>Người có news.create phải tạo được bài với tiêu đề, slug, locale, danh mục và nội dung hợp lệ.</x:v>
      </x:c>
      <x:c r="D324" s="3" t="str">
        <x:v>TC_NEWS_048</x:v>
      </x:c>
      <x:c r="E324" s="3" t="str">
        <x:v>POST BACKEND /api/admin/news: authorName Max+1 (121)</x:v>
      </x:c>
      <x:c r="F324" s="3" t="str">
        <x:v>Designed — chưa thực thi</x:v>
      </x:c>
      <x:c r="G324"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5" ht="49" customHeight="1">
      <x:c r="A325" s="3" t="str">
        <x:v>NEWS-001</x:v>
      </x:c>
      <x:c r="B325" s="3" t="str">
        <x:v>NEWS</x:v>
      </x:c>
      <x:c r="C325" s="3" t="str">
        <x:v>Người có news.create phải tạo được bài với tiêu đề, slug, locale, danh mục và nội dung hợp lệ.</x:v>
      </x:c>
      <x:c r="D325" s="3" t="str">
        <x:v>TC_NEWS_049</x:v>
      </x:c>
      <x:c r="E325" s="3" t="str">
        <x:v>POST BACKEND /api/admin/news: excerpt Min−1 (9)</x:v>
      </x:c>
      <x:c r="F325" s="3" t="str">
        <x:v>Designed — chưa thực thi</x:v>
      </x:c>
      <x:c r="G325"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6" ht="49" customHeight="1">
      <x:c r="A326" s="3" t="str">
        <x:v>NEWS-001</x:v>
      </x:c>
      <x:c r="B326" s="3" t="str">
        <x:v>NEWS</x:v>
      </x:c>
      <x:c r="C326" s="3" t="str">
        <x:v>Người có news.create phải tạo được bài với tiêu đề, slug, locale, danh mục và nội dung hợp lệ.</x:v>
      </x:c>
      <x:c r="D326" s="3" t="str">
        <x:v>TC_NEWS_050</x:v>
      </x:c>
      <x:c r="E326" s="3" t="str">
        <x:v>POST BACKEND /api/admin/news: excerpt Min (10)</x:v>
      </x:c>
      <x:c r="F326" s="3" t="str">
        <x:v>Designed — chưa thực thi</x:v>
      </x:c>
      <x:c r="G326"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7" ht="49" customHeight="1">
      <x:c r="A327" s="3" t="str">
        <x:v>NEWS-001</x:v>
      </x:c>
      <x:c r="B327" s="3" t="str">
        <x:v>NEWS</x:v>
      </x:c>
      <x:c r="C327" s="3" t="str">
        <x:v>Người có news.create phải tạo được bài với tiêu đề, slug, locale, danh mục và nội dung hợp lệ.</x:v>
      </x:c>
      <x:c r="D327" s="3" t="str">
        <x:v>TC_NEWS_051</x:v>
      </x:c>
      <x:c r="E327" s="3" t="str">
        <x:v>POST BACKEND /api/admin/news: excerpt Min+1 (11)</x:v>
      </x:c>
      <x:c r="F327" s="3" t="str">
        <x:v>Designed — chưa thực thi</x:v>
      </x:c>
      <x:c r="G327"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8" ht="49" customHeight="1">
      <x:c r="A328" s="3" t="str">
        <x:v>NEWS-001</x:v>
      </x:c>
      <x:c r="B328" s="3" t="str">
        <x:v>NEWS</x:v>
      </x:c>
      <x:c r="C328" s="3" t="str">
        <x:v>Người có news.create phải tạo được bài với tiêu đề, slug, locale, danh mục và nội dung hợp lệ.</x:v>
      </x:c>
      <x:c r="D328" s="3" t="str">
        <x:v>TC_NEWS_052</x:v>
      </x:c>
      <x:c r="E328" s="3" t="str">
        <x:v>POST BACKEND /api/admin/news: excerpt Max−1 (999)</x:v>
      </x:c>
      <x:c r="F328" s="3" t="str">
        <x:v>Designed — chưa thực thi</x:v>
      </x:c>
      <x:c r="G328"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29" ht="49" customHeight="1">
      <x:c r="A329" s="3" t="str">
        <x:v>NEWS-001</x:v>
      </x:c>
      <x:c r="B329" s="3" t="str">
        <x:v>NEWS</x:v>
      </x:c>
      <x:c r="C329" s="3" t="str">
        <x:v>Người có news.create phải tạo được bài với tiêu đề, slug, locale, danh mục và nội dung hợp lệ.</x:v>
      </x:c>
      <x:c r="D329" s="3" t="str">
        <x:v>TC_NEWS_053</x:v>
      </x:c>
      <x:c r="E329" s="3" t="str">
        <x:v>POST BACKEND /api/admin/news: excerpt Max (1000)</x:v>
      </x:c>
      <x:c r="F329" s="3" t="str">
        <x:v>Designed — chưa thực thi</x:v>
      </x:c>
      <x:c r="G329"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30" ht="49" customHeight="1">
      <x:c r="A330" s="3" t="str">
        <x:v>NEWS-001</x:v>
      </x:c>
      <x:c r="B330" s="3" t="str">
        <x:v>NEWS</x:v>
      </x:c>
      <x:c r="C330" s="3" t="str">
        <x:v>Người có news.create phải tạo được bài với tiêu đề, slug, locale, danh mục và nội dung hợp lệ.</x:v>
      </x:c>
      <x:c r="D330" s="3" t="str">
        <x:v>TC_NEWS_054</x:v>
      </x:c>
      <x:c r="E330" s="3" t="str">
        <x:v>POST BACKEND /api/admin/news: excerpt Max+1 (1001)</x:v>
      </x:c>
      <x:c r="F330" s="3" t="str">
        <x:v>Designed — chưa thực thi</x:v>
      </x:c>
      <x:c r="G330" s="3" t="str">
        <x:v>Nguồn: backend/src/modules/cms/cms.routes.ts:63. Độ dài JS/Zod dùng UTF-16; fixture ASCII để cô lập boundary. Optional min=0: Min−1 không áp dụng vì không có độ dài âm. Baseline: docs/ba/02-requirements/VGG_REQ-WORKBOOK_v0.1_2026-09-04.xlsx / Requirements; Quy trình duyệt nội dung cần xác nhận</x:v>
      </x:c>
    </x:row>
    <x:row r="331" ht="49" customHeight="1">
      <x:c r="A331" s="3" t="str">
        <x:v>RES-001</x:v>
      </x:c>
      <x:c r="B331" s="3" t="str">
        <x:v>RESOURCE</x:v>
      </x:c>
      <x:c r="C331" s="3" t="str">
        <x:v>Người có resources.create phải tải tệp được phép và tạo bản ghi gắn danh mục.</x:v>
      </x:c>
      <x:c r="D331" s="3" t="str">
        <x:v>TC_RESOURCE_033</x:v>
      </x:c>
      <x:c r="E331" s="3" t="str">
        <x:v>POST BACKEND /api/admin/resources: title Min−1 (1)</x:v>
      </x:c>
      <x:c r="F331" s="3" t="str">
        <x:v>Designed — chưa thực thi</x:v>
      </x:c>
      <x:c r="G331" s="3" t="str">
        <x:v>Nguồn: backend/src/modules/cms/cms.routes.ts:63.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2" ht="49" customHeight="1">
      <x:c r="A332" s="3" t="str">
        <x:v>RES-001</x:v>
      </x:c>
      <x:c r="B332" s="3" t="str">
        <x:v>RESOURCE</x:v>
      </x:c>
      <x:c r="C332" s="3" t="str">
        <x:v>Người có resources.create phải tải tệp được phép và tạo bản ghi gắn danh mục.</x:v>
      </x:c>
      <x:c r="D332" s="3" t="str">
        <x:v>TC_RESOURCE_034</x:v>
      </x:c>
      <x:c r="E332" s="3" t="str">
        <x:v>POST BACKEND /api/admin/resources: title Min (2)</x:v>
      </x:c>
      <x:c r="F332" s="3" t="str">
        <x:v>Designed — chưa thực thi</x:v>
      </x:c>
      <x:c r="G332" s="3" t="str">
        <x:v>Nguồn: backend/src/modules/cms/cms.routes.ts:63.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3" ht="49" customHeight="1">
      <x:c r="A333" s="3" t="str">
        <x:v>RES-001</x:v>
      </x:c>
      <x:c r="B333" s="3" t="str">
        <x:v>RESOURCE</x:v>
      </x:c>
      <x:c r="C333" s="3" t="str">
        <x:v>Người có resources.create phải tải tệp được phép và tạo bản ghi gắn danh mục.</x:v>
      </x:c>
      <x:c r="D333" s="3" t="str">
        <x:v>TC_RESOURCE_035</x:v>
      </x:c>
      <x:c r="E333" s="3" t="str">
        <x:v>POST BACKEND /api/admin/resources: title Min+1 (3)</x:v>
      </x:c>
      <x:c r="F333" s="3" t="str">
        <x:v>Designed — chưa thực thi</x:v>
      </x:c>
      <x:c r="G333" s="3" t="str">
        <x:v>Nguồn: backend/src/modules/cms/cms.routes.ts:63.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4" ht="49" customHeight="1">
      <x:c r="A334" s="3" t="str">
        <x:v>RES-001</x:v>
      </x:c>
      <x:c r="B334" s="3" t="str">
        <x:v>RESOURCE</x:v>
      </x:c>
      <x:c r="C334" s="3" t="str">
        <x:v>Người có resources.create phải tải tệp được phép và tạo bản ghi gắn danh mục.</x:v>
      </x:c>
      <x:c r="D334" s="3" t="str">
        <x:v>TC_RESOURCE_036</x:v>
      </x:c>
      <x:c r="E334" s="3" t="str">
        <x:v>POST BACKEND /api/admin/resources: title Max−1 (249)</x:v>
      </x:c>
      <x:c r="F334" s="3" t="str">
        <x:v>Designed — chưa thực thi</x:v>
      </x:c>
      <x:c r="G334" s="3" t="str">
        <x:v>Nguồn: backend/src/modules/cms/cms.routes.ts:63.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5" ht="49" customHeight="1">
      <x:c r="A335" s="3" t="str">
        <x:v>RES-001</x:v>
      </x:c>
      <x:c r="B335" s="3" t="str">
        <x:v>RESOURCE</x:v>
      </x:c>
      <x:c r="C335" s="3" t="str">
        <x:v>Người có resources.create phải tải tệp được phép và tạo bản ghi gắn danh mục.</x:v>
      </x:c>
      <x:c r="D335" s="3" t="str">
        <x:v>TC_RESOURCE_037</x:v>
      </x:c>
      <x:c r="E335" s="3" t="str">
        <x:v>POST BACKEND /api/admin/resources: title Max (250)</x:v>
      </x:c>
      <x:c r="F335" s="3" t="str">
        <x:v>Designed — chưa thực thi</x:v>
      </x:c>
      <x:c r="G335" s="3" t="str">
        <x:v>Nguồn: backend/src/modules/cms/cms.routes.ts:63.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6" ht="49" customHeight="1">
      <x:c r="A336" s="3" t="str">
        <x:v>RES-001</x:v>
      </x:c>
      <x:c r="B336" s="3" t="str">
        <x:v>RESOURCE</x:v>
      </x:c>
      <x:c r="C336" s="3" t="str">
        <x:v>Người có resources.create phải tải tệp được phép và tạo bản ghi gắn danh mục.</x:v>
      </x:c>
      <x:c r="D336" s="3" t="str">
        <x:v>TC_RESOURCE_038</x:v>
      </x:c>
      <x:c r="E336" s="3" t="str">
        <x:v>POST BACKEND /api/admin/resources: title Max+1 (251)</x:v>
      </x:c>
      <x:c r="F336" s="3" t="str">
        <x:v>Designed — chưa thực thi</x:v>
      </x:c>
      <x:c r="G336" s="3" t="str">
        <x:v>Nguồn: backend/src/modules/cms/cms.routes.ts:63.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7" ht="49" customHeight="1">
      <x:c r="A337" s="3" t="str">
        <x:v>RES-001</x:v>
      </x:c>
      <x:c r="B337" s="3" t="str">
        <x:v>RESOURCE</x:v>
      </x:c>
      <x:c r="C337" s="3" t="str">
        <x:v>Người có resources.create phải tải tệp được phép và tạo bản ghi gắn danh mục.</x:v>
      </x:c>
      <x:c r="D337" s="3" t="str">
        <x:v>TC_RESOURCE_039</x:v>
      </x:c>
      <x:c r="E337" s="3" t="str">
        <x:v>POST BACKEND /api/admin/resources: description Min (0)</x:v>
      </x:c>
      <x:c r="F337" s="3" t="str">
        <x:v>Designed — chưa thực thi</x:v>
      </x:c>
      <x:c r="G337" s="3" t="str">
        <x:v>Nguồn: backend/src/modules/cms/cms.routes.ts:70.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8" ht="49" customHeight="1">
      <x:c r="A338" s="3" t="str">
        <x:v>RES-001</x:v>
      </x:c>
      <x:c r="B338" s="3" t="str">
        <x:v>RESOURCE</x:v>
      </x:c>
      <x:c r="C338" s="3" t="str">
        <x:v>Người có resources.create phải tải tệp được phép và tạo bản ghi gắn danh mục.</x:v>
      </x:c>
      <x:c r="D338" s="3" t="str">
        <x:v>TC_RESOURCE_040</x:v>
      </x:c>
      <x:c r="E338" s="3" t="str">
        <x:v>POST BACKEND /api/admin/resources: description Min+1 (1)</x:v>
      </x:c>
      <x:c r="F338" s="3" t="str">
        <x:v>Designed — chưa thực thi</x:v>
      </x:c>
      <x:c r="G338" s="3" t="str">
        <x:v>Nguồn: backend/src/modules/cms/cms.routes.ts:70.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39" ht="49" customHeight="1">
      <x:c r="A339" s="3" t="str">
        <x:v>RES-001</x:v>
      </x:c>
      <x:c r="B339" s="3" t="str">
        <x:v>RESOURCE</x:v>
      </x:c>
      <x:c r="C339" s="3" t="str">
        <x:v>Người có resources.create phải tải tệp được phép và tạo bản ghi gắn danh mục.</x:v>
      </x:c>
      <x:c r="D339" s="3" t="str">
        <x:v>TC_RESOURCE_041</x:v>
      </x:c>
      <x:c r="E339" s="3" t="str">
        <x:v>POST BACKEND /api/admin/resources: description Max−1 (1999)</x:v>
      </x:c>
      <x:c r="F339" s="3" t="str">
        <x:v>Designed — chưa thực thi</x:v>
      </x:c>
      <x:c r="G339" s="3" t="str">
        <x:v>Nguồn: backend/src/modules/cms/cms.routes.ts:70.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0" ht="49" customHeight="1">
      <x:c r="A340" s="3" t="str">
        <x:v>RES-001</x:v>
      </x:c>
      <x:c r="B340" s="3" t="str">
        <x:v>RESOURCE</x:v>
      </x:c>
      <x:c r="C340" s="3" t="str">
        <x:v>Người có resources.create phải tải tệp được phép và tạo bản ghi gắn danh mục.</x:v>
      </x:c>
      <x:c r="D340" s="3" t="str">
        <x:v>TC_RESOURCE_042</x:v>
      </x:c>
      <x:c r="E340" s="3" t="str">
        <x:v>POST BACKEND /api/admin/resources: description Max (2000)</x:v>
      </x:c>
      <x:c r="F340" s="3" t="str">
        <x:v>Designed — chưa thực thi</x:v>
      </x:c>
      <x:c r="G340" s="3" t="str">
        <x:v>Nguồn: backend/src/modules/cms/cms.routes.ts:70.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1" ht="49" customHeight="1">
      <x:c r="A341" s="3" t="str">
        <x:v>RES-001</x:v>
      </x:c>
      <x:c r="B341" s="3" t="str">
        <x:v>RESOURCE</x:v>
      </x:c>
      <x:c r="C341" s="3" t="str">
        <x:v>Người có resources.create phải tải tệp được phép và tạo bản ghi gắn danh mục.</x:v>
      </x:c>
      <x:c r="D341" s="3" t="str">
        <x:v>TC_RESOURCE_043</x:v>
      </x:c>
      <x:c r="E341" s="3" t="str">
        <x:v>POST BACKEND /api/admin/resources: description Max+1 (2001)</x:v>
      </x:c>
      <x:c r="F341" s="3" t="str">
        <x:v>Designed — chưa thực thi</x:v>
      </x:c>
      <x:c r="G341" s="3" t="str">
        <x:v>Nguồn: backend/src/modules/cms/cms.routes.ts:70.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2" ht="49" customHeight="1">
      <x:c r="A342" s="3" t="str">
        <x:v>RES-001</x:v>
      </x:c>
      <x:c r="B342" s="3" t="str">
        <x:v>RESOURCE</x:v>
      </x:c>
      <x:c r="C342" s="3" t="str">
        <x:v>Người có resources.create phải tải tệp được phép và tạo bản ghi gắn danh mục.</x:v>
      </x:c>
      <x:c r="D342" s="3" t="str">
        <x:v>TC_RESOURCE_044</x:v>
      </x:c>
      <x:c r="E342" s="3" t="str">
        <x:v>POST BACKEND /api/admin/resources: documentNumber Min (0)</x:v>
      </x:c>
      <x:c r="F342" s="3" t="str">
        <x:v>Designed — chưa thực thi</x:v>
      </x:c>
      <x:c r="G342" s="3" t="str">
        <x:v>Nguồn: backend/src/modules/cms/cms.routes.ts:74.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3" ht="49" customHeight="1">
      <x:c r="A343" s="3" t="str">
        <x:v>RES-001</x:v>
      </x:c>
      <x:c r="B343" s="3" t="str">
        <x:v>RESOURCE</x:v>
      </x:c>
      <x:c r="C343" s="3" t="str">
        <x:v>Người có resources.create phải tải tệp được phép và tạo bản ghi gắn danh mục.</x:v>
      </x:c>
      <x:c r="D343" s="3" t="str">
        <x:v>TC_RESOURCE_045</x:v>
      </x:c>
      <x:c r="E343" s="3" t="str">
        <x:v>POST BACKEND /api/admin/resources: documentNumber Min+1 (1)</x:v>
      </x:c>
      <x:c r="F343" s="3" t="str">
        <x:v>Designed — chưa thực thi</x:v>
      </x:c>
      <x:c r="G343" s="3" t="str">
        <x:v>Nguồn: backend/src/modules/cms/cms.routes.ts:74.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4" ht="49" customHeight="1">
      <x:c r="A344" s="3" t="str">
        <x:v>RES-001</x:v>
      </x:c>
      <x:c r="B344" s="3" t="str">
        <x:v>RESOURCE</x:v>
      </x:c>
      <x:c r="C344" s="3" t="str">
        <x:v>Người có resources.create phải tải tệp được phép và tạo bản ghi gắn danh mục.</x:v>
      </x:c>
      <x:c r="D344" s="3" t="str">
        <x:v>TC_RESOURCE_046</x:v>
      </x:c>
      <x:c r="E344" s="3" t="str">
        <x:v>POST BACKEND /api/admin/resources: documentNumber Max−1 (99)</x:v>
      </x:c>
      <x:c r="F344" s="3" t="str">
        <x:v>Designed — chưa thực thi</x:v>
      </x:c>
      <x:c r="G344" s="3" t="str">
        <x:v>Nguồn: backend/src/modules/cms/cms.routes.ts:74.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5" ht="49" customHeight="1">
      <x:c r="A345" s="3" t="str">
        <x:v>RES-001</x:v>
      </x:c>
      <x:c r="B345" s="3" t="str">
        <x:v>RESOURCE</x:v>
      </x:c>
      <x:c r="C345" s="3" t="str">
        <x:v>Người có resources.create phải tải tệp được phép và tạo bản ghi gắn danh mục.</x:v>
      </x:c>
      <x:c r="D345" s="3" t="str">
        <x:v>TC_RESOURCE_047</x:v>
      </x:c>
      <x:c r="E345" s="3" t="str">
        <x:v>POST BACKEND /api/admin/resources: documentNumber Max (100)</x:v>
      </x:c>
      <x:c r="F345" s="3" t="str">
        <x:v>Designed — chưa thực thi</x:v>
      </x:c>
      <x:c r="G345" s="3" t="str">
        <x:v>Nguồn: backend/src/modules/cms/cms.routes.ts:74.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6" ht="49" customHeight="1">
      <x:c r="A346" s="3" t="str">
        <x:v>RES-001</x:v>
      </x:c>
      <x:c r="B346" s="3" t="str">
        <x:v>RESOURCE</x:v>
      </x:c>
      <x:c r="C346" s="3" t="str">
        <x:v>Người có resources.create phải tải tệp được phép và tạo bản ghi gắn danh mục.</x:v>
      </x:c>
      <x:c r="D346" s="3" t="str">
        <x:v>TC_RESOURCE_048</x:v>
      </x:c>
      <x:c r="E346" s="3" t="str">
        <x:v>POST BACKEND /api/admin/resources: documentNumber Max+1 (101)</x:v>
      </x:c>
      <x:c r="F346" s="3" t="str">
        <x:v>Designed — chưa thực thi</x:v>
      </x:c>
      <x:c r="G346" s="3" t="str">
        <x:v>Nguồn: backend/src/modules/cms/cms.routes.ts:74.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7" ht="49" customHeight="1">
      <x:c r="A347" s="3" t="str">
        <x:v>RES-001</x:v>
      </x:c>
      <x:c r="B347" s="3" t="str">
        <x:v>RESOURCE</x:v>
      </x:c>
      <x:c r="C347" s="3" t="str">
        <x:v>Người có resources.create phải tải tệp được phép và tạo bản ghi gắn danh mục.</x:v>
      </x:c>
      <x:c r="D347" s="3" t="str">
        <x:v>TC_RESOURCE_049</x:v>
      </x:c>
      <x:c r="E347" s="3" t="str">
        <x:v>POST BACKEND /api/admin/resources: issuingOrganization Min (0)</x:v>
      </x:c>
      <x:c r="F347" s="3" t="str">
        <x:v>Designed — chưa thực thi</x:v>
      </x:c>
      <x:c r="G347" s="3" t="str">
        <x:v>Nguồn: backend/src/modules/cms/cms.routes.ts:76.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8" ht="49" customHeight="1">
      <x:c r="A348" s="3" t="str">
        <x:v>RES-001</x:v>
      </x:c>
      <x:c r="B348" s="3" t="str">
        <x:v>RESOURCE</x:v>
      </x:c>
      <x:c r="C348" s="3" t="str">
        <x:v>Người có resources.create phải tải tệp được phép và tạo bản ghi gắn danh mục.</x:v>
      </x:c>
      <x:c r="D348" s="3" t="str">
        <x:v>TC_RESOURCE_050</x:v>
      </x:c>
      <x:c r="E348" s="3" t="str">
        <x:v>POST BACKEND /api/admin/resources: issuingOrganization Min+1 (1)</x:v>
      </x:c>
      <x:c r="F348" s="3" t="str">
        <x:v>Designed — chưa thực thi</x:v>
      </x:c>
      <x:c r="G348" s="3" t="str">
        <x:v>Nguồn: backend/src/modules/cms/cms.routes.ts:76.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49" ht="49" customHeight="1">
      <x:c r="A349" s="3" t="str">
        <x:v>RES-001</x:v>
      </x:c>
      <x:c r="B349" s="3" t="str">
        <x:v>RESOURCE</x:v>
      </x:c>
      <x:c r="C349" s="3" t="str">
        <x:v>Người có resources.create phải tải tệp được phép và tạo bản ghi gắn danh mục.</x:v>
      </x:c>
      <x:c r="D349" s="3" t="str">
        <x:v>TC_RESOURCE_051</x:v>
      </x:c>
      <x:c r="E349" s="3" t="str">
        <x:v>POST BACKEND /api/admin/resources: issuingOrganization Max−1 (249)</x:v>
      </x:c>
      <x:c r="F349" s="3" t="str">
        <x:v>Designed — chưa thực thi</x:v>
      </x:c>
      <x:c r="G349" s="3" t="str">
        <x:v>Nguồn: backend/src/modules/cms/cms.routes.ts:76.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0" ht="49" customHeight="1">
      <x:c r="A350" s="3" t="str">
        <x:v>RES-001</x:v>
      </x:c>
      <x:c r="B350" s="3" t="str">
        <x:v>RESOURCE</x:v>
      </x:c>
      <x:c r="C350" s="3" t="str">
        <x:v>Người có resources.create phải tải tệp được phép và tạo bản ghi gắn danh mục.</x:v>
      </x:c>
      <x:c r="D350" s="3" t="str">
        <x:v>TC_RESOURCE_052</x:v>
      </x:c>
      <x:c r="E350" s="3" t="str">
        <x:v>POST BACKEND /api/admin/resources: issuingOrganization Max (250)</x:v>
      </x:c>
      <x:c r="F350" s="3" t="str">
        <x:v>Designed — chưa thực thi</x:v>
      </x:c>
      <x:c r="G350" s="3" t="str">
        <x:v>Nguồn: backend/src/modules/cms/cms.routes.ts:76.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1" ht="49" customHeight="1">
      <x:c r="A351" s="3" t="str">
        <x:v>RES-001</x:v>
      </x:c>
      <x:c r="B351" s="3" t="str">
        <x:v>RESOURCE</x:v>
      </x:c>
      <x:c r="C351" s="3" t="str">
        <x:v>Người có resources.create phải tải tệp được phép và tạo bản ghi gắn danh mục.</x:v>
      </x:c>
      <x:c r="D351" s="3" t="str">
        <x:v>TC_RESOURCE_053</x:v>
      </x:c>
      <x:c r="E351" s="3" t="str">
        <x:v>POST BACKEND /api/admin/resources: issuingOrganization Max+1 (251)</x:v>
      </x:c>
      <x:c r="F351" s="3" t="str">
        <x:v>Designed — chưa thực thi</x:v>
      </x:c>
      <x:c r="G351" s="3" t="str">
        <x:v>Nguồn: backend/src/modules/cms/cms.routes.ts:76.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2" ht="49" customHeight="1">
      <x:c r="A352" s="3" t="str">
        <x:v>RES-001</x:v>
      </x:c>
      <x:c r="B352" s="3" t="str">
        <x:v>RESOURCE</x:v>
      </x:c>
      <x:c r="C352" s="3" t="str">
        <x:v>Người có resources.create phải tải tệp được phép và tạo bản ghi gắn danh mục.</x:v>
      </x:c>
      <x:c r="D352" s="3" t="str">
        <x:v>TC_RESOURCE_054</x:v>
      </x:c>
      <x:c r="E352" s="3" t="str">
        <x:v>POST BACKEND /api/admin/resources: fileName Min−1 (0)</x:v>
      </x:c>
      <x:c r="F352" s="3" t="str">
        <x:v>Designed — chưa thực thi</x:v>
      </x:c>
      <x:c r="G352" s="3" t="str">
        <x:v>Nguồn: backend/src/modules/cms/cms.routes.ts:78.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3" ht="49" customHeight="1">
      <x:c r="A353" s="3" t="str">
        <x:v>RES-001</x:v>
      </x:c>
      <x:c r="B353" s="3" t="str">
        <x:v>RESOURCE</x:v>
      </x:c>
      <x:c r="C353" s="3" t="str">
        <x:v>Người có resources.create phải tải tệp được phép và tạo bản ghi gắn danh mục.</x:v>
      </x:c>
      <x:c r="D353" s="3" t="str">
        <x:v>TC_RESOURCE_055</x:v>
      </x:c>
      <x:c r="E353" s="3" t="str">
        <x:v>POST BACKEND /api/admin/resources: fileName Min (1)</x:v>
      </x:c>
      <x:c r="F353" s="3" t="str">
        <x:v>Designed — chưa thực thi</x:v>
      </x:c>
      <x:c r="G353" s="3" t="str">
        <x:v>Nguồn: backend/src/modules/cms/cms.routes.ts:78.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4" ht="49" customHeight="1">
      <x:c r="A354" s="3" t="str">
        <x:v>RES-001</x:v>
      </x:c>
      <x:c r="B354" s="3" t="str">
        <x:v>RESOURCE</x:v>
      </x:c>
      <x:c r="C354" s="3" t="str">
        <x:v>Người có resources.create phải tải tệp được phép và tạo bản ghi gắn danh mục.</x:v>
      </x:c>
      <x:c r="D354" s="3" t="str">
        <x:v>TC_RESOURCE_056</x:v>
      </x:c>
      <x:c r="E354" s="3" t="str">
        <x:v>POST BACKEND /api/admin/resources: fileName Min+1 (2)</x:v>
      </x:c>
      <x:c r="F354" s="3" t="str">
        <x:v>Designed — chưa thực thi</x:v>
      </x:c>
      <x:c r="G354" s="3" t="str">
        <x:v>Nguồn: backend/src/modules/cms/cms.routes.ts:78.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5" ht="49" customHeight="1">
      <x:c r="A355" s="3" t="str">
        <x:v>RES-001</x:v>
      </x:c>
      <x:c r="B355" s="3" t="str">
        <x:v>RESOURCE</x:v>
      </x:c>
      <x:c r="C355" s="3" t="str">
        <x:v>Người có resources.create phải tải tệp được phép và tạo bản ghi gắn danh mục.</x:v>
      </x:c>
      <x:c r="D355" s="3" t="str">
        <x:v>TC_RESOURCE_057</x:v>
      </x:c>
      <x:c r="E355" s="3" t="str">
        <x:v>POST BACKEND /api/admin/resources: fileName Max−1 (254)</x:v>
      </x:c>
      <x:c r="F355" s="3" t="str">
        <x:v>Designed — chưa thực thi</x:v>
      </x:c>
      <x:c r="G355" s="3" t="str">
        <x:v>Nguồn: backend/src/modules/cms/cms.routes.ts:78.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6" ht="49" customHeight="1">
      <x:c r="A356" s="3" t="str">
        <x:v>RES-001</x:v>
      </x:c>
      <x:c r="B356" s="3" t="str">
        <x:v>RESOURCE</x:v>
      </x:c>
      <x:c r="C356" s="3" t="str">
        <x:v>Người có resources.create phải tải tệp được phép và tạo bản ghi gắn danh mục.</x:v>
      </x:c>
      <x:c r="D356" s="3" t="str">
        <x:v>TC_RESOURCE_058</x:v>
      </x:c>
      <x:c r="E356" s="3" t="str">
        <x:v>POST BACKEND /api/admin/resources: fileName Max (255)</x:v>
      </x:c>
      <x:c r="F356" s="3" t="str">
        <x:v>Designed — chưa thực thi</x:v>
      </x:c>
      <x:c r="G356" s="3" t="str">
        <x:v>Nguồn: backend/src/modules/cms/cms.routes.ts:78.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7" ht="49" customHeight="1">
      <x:c r="A357" s="3" t="str">
        <x:v>RES-001</x:v>
      </x:c>
      <x:c r="B357" s="3" t="str">
        <x:v>RESOURCE</x:v>
      </x:c>
      <x:c r="C357" s="3" t="str">
        <x:v>Người có resources.create phải tải tệp được phép và tạo bản ghi gắn danh mục.</x:v>
      </x:c>
      <x:c r="D357" s="3" t="str">
        <x:v>TC_RESOURCE_059</x:v>
      </x:c>
      <x:c r="E357" s="3" t="str">
        <x:v>POST BACKEND /api/admin/resources: fileName Max+1 (256)</x:v>
      </x:c>
      <x:c r="F357" s="3" t="str">
        <x:v>Designed — chưa thực thi</x:v>
      </x:c>
      <x:c r="G357" s="3" t="str">
        <x:v>Nguồn: backend/src/modules/cms/cms.routes.ts:78. Độ dài JS/Zod dùng UTF-16; fixture ASCII để cô lập boundary. Optional min=0: Min−1 không áp dụng vì không có độ dài âm. Baseline: docs/ba/02-requirements/VGG_REQ-WORKBOOK_v0.1_2026-09-04.xlsx / Requirements; Backend 50 MB, Admin mặc định 25 MB: cần thống nhất</x:v>
      </x:c>
    </x:row>
    <x:row r="358" ht="49" customHeight="1">
      <x:c r="A358" s="3" t="str">
        <x:v>RES-002</x:v>
      </x:c>
      <x:c r="B358" s="3" t="str">
        <x:v>RESOURCE</x:v>
      </x:c>
      <x:c r="C358" s="3" t="str">
        <x:v>Hệ thống phải bảo toàn ràng buộc khi danh mục còn tài nguyên tham chiếu.</x:v>
      </x:c>
      <x:c r="D358" s="3" t="str">
        <x:v>TC_RESOURCE_060</x:v>
      </x:c>
      <x:c r="E358" s="3" t="str">
        <x:v>POST BACKEND /api/admin/resource-categories: name Min−1 (0)</x:v>
      </x:c>
      <x:c r="F358" s="3" t="str">
        <x:v>Designed — chưa thực thi</x:v>
      </x:c>
      <x:c r="G358" s="3" t="str">
        <x:v>Nguồn: backend/src/modules/cms/cms.routes.ts:90. Độ dài JS/Zod dùng UTF-16; fixture ASCII để cô lập boundary. Optional min=0: Min−1 không áp dụng vì không có độ dài âm. Baseline: docs/ba/02-requirements/VGG_REQ-WORKBOOK_v0.1_2026-09-04.xlsx / Requirements; </x:v>
      </x:c>
    </x:row>
    <x:row r="359" ht="49" customHeight="1">
      <x:c r="A359" s="3" t="str">
        <x:v>RES-002</x:v>
      </x:c>
      <x:c r="B359" s="3" t="str">
        <x:v>RESOURCE</x:v>
      </x:c>
      <x:c r="C359" s="3" t="str">
        <x:v>Hệ thống phải bảo toàn ràng buộc khi danh mục còn tài nguyên tham chiếu.</x:v>
      </x:c>
      <x:c r="D359" s="3" t="str">
        <x:v>TC_RESOURCE_061</x:v>
      </x:c>
      <x:c r="E359" s="3" t="str">
        <x:v>POST BACKEND /api/admin/resource-categories: name Min (1)</x:v>
      </x:c>
      <x:c r="F359" s="3" t="str">
        <x:v>Designed — chưa thực thi</x:v>
      </x:c>
      <x:c r="G359" s="3" t="str">
        <x:v>Nguồn: backend/src/modules/cms/cms.routes.ts:90. Độ dài JS/Zod dùng UTF-16; fixture ASCII để cô lập boundary. Optional min=0: Min−1 không áp dụng vì không có độ dài âm. Baseline: docs/ba/02-requirements/VGG_REQ-WORKBOOK_v0.1_2026-09-04.xlsx / Requirements; </x:v>
      </x:c>
    </x:row>
    <x:row r="360" ht="49" customHeight="1">
      <x:c r="A360" s="3" t="str">
        <x:v>RES-002</x:v>
      </x:c>
      <x:c r="B360" s="3" t="str">
        <x:v>RESOURCE</x:v>
      </x:c>
      <x:c r="C360" s="3" t="str">
        <x:v>Hệ thống phải bảo toàn ràng buộc khi danh mục còn tài nguyên tham chiếu.</x:v>
      </x:c>
      <x:c r="D360" s="3" t="str">
        <x:v>TC_RESOURCE_062</x:v>
      </x:c>
      <x:c r="E360" s="3" t="str">
        <x:v>POST BACKEND /api/admin/resource-categories: name Min+1 (2)</x:v>
      </x:c>
      <x:c r="F360" s="3" t="str">
        <x:v>Designed — chưa thực thi</x:v>
      </x:c>
      <x:c r="G360" s="3" t="str">
        <x:v>Nguồn: backend/src/modules/cms/cms.routes.ts:90. Độ dài JS/Zod dùng UTF-16; fixture ASCII để cô lập boundary. Optional min=0: Min−1 không áp dụng vì không có độ dài âm. Baseline: docs/ba/02-requirements/VGG_REQ-WORKBOOK_v0.1_2026-09-04.xlsx / Requirements; </x:v>
      </x:c>
    </x:row>
    <x:row r="361" ht="49" customHeight="1">
      <x:c r="A361" s="3" t="str">
        <x:v>RES-002</x:v>
      </x:c>
      <x:c r="B361" s="3" t="str">
        <x:v>RESOURCE</x:v>
      </x:c>
      <x:c r="C361" s="3" t="str">
        <x:v>Hệ thống phải bảo toàn ràng buộc khi danh mục còn tài nguyên tham chiếu.</x:v>
      </x:c>
      <x:c r="D361" s="3" t="str">
        <x:v>TC_RESOURCE_063</x:v>
      </x:c>
      <x:c r="E361" s="3" t="str">
        <x:v>POST BACKEND /api/admin/resource-categories: name Max−1 (119)</x:v>
      </x:c>
      <x:c r="F361" s="3" t="str">
        <x:v>Designed — chưa thực thi</x:v>
      </x:c>
      <x:c r="G361" s="3" t="str">
        <x:v>Nguồn: backend/src/modules/cms/cms.routes.ts:90. Độ dài JS/Zod dùng UTF-16; fixture ASCII để cô lập boundary. Optional min=0: Min−1 không áp dụng vì không có độ dài âm. Baseline: docs/ba/02-requirements/VGG_REQ-WORKBOOK_v0.1_2026-09-04.xlsx / Requirements; </x:v>
      </x:c>
    </x:row>
    <x:row r="362" ht="49" customHeight="1">
      <x:c r="A362" s="3" t="str">
        <x:v>RES-002</x:v>
      </x:c>
      <x:c r="B362" s="3" t="str">
        <x:v>RESOURCE</x:v>
      </x:c>
      <x:c r="C362" s="3" t="str">
        <x:v>Hệ thống phải bảo toàn ràng buộc khi danh mục còn tài nguyên tham chiếu.</x:v>
      </x:c>
      <x:c r="D362" s="3" t="str">
        <x:v>TC_RESOURCE_064</x:v>
      </x:c>
      <x:c r="E362" s="3" t="str">
        <x:v>POST BACKEND /api/admin/resource-categories: name Max (120)</x:v>
      </x:c>
      <x:c r="F362" s="3" t="str">
        <x:v>Designed — chưa thực thi</x:v>
      </x:c>
      <x:c r="G362" s="3" t="str">
        <x:v>Nguồn: backend/src/modules/cms/cms.routes.ts:90. Độ dài JS/Zod dùng UTF-16; fixture ASCII để cô lập boundary. Optional min=0: Min−1 không áp dụng vì không có độ dài âm. Baseline: docs/ba/02-requirements/VGG_REQ-WORKBOOK_v0.1_2026-09-04.xlsx / Requirements; </x:v>
      </x:c>
    </x:row>
    <x:row r="363" ht="49" customHeight="1">
      <x:c r="A363" s="3" t="str">
        <x:v>RES-002</x:v>
      </x:c>
      <x:c r="B363" s="3" t="str">
        <x:v>RESOURCE</x:v>
      </x:c>
      <x:c r="C363" s="3" t="str">
        <x:v>Hệ thống phải bảo toàn ràng buộc khi danh mục còn tài nguyên tham chiếu.</x:v>
      </x:c>
      <x:c r="D363" s="3" t="str">
        <x:v>TC_RESOURCE_065</x:v>
      </x:c>
      <x:c r="E363" s="3" t="str">
        <x:v>POST BACKEND /api/admin/resource-categories: name Max+1 (121)</x:v>
      </x:c>
      <x:c r="F363" s="3" t="str">
        <x:v>Designed — chưa thực thi</x:v>
      </x:c>
      <x:c r="G363" s="3" t="str">
        <x:v>Nguồn: backend/src/modules/cms/cms.routes.ts:90. Độ dài JS/Zod dùng UTF-16; fixture ASCII để cô lập boundary. Optional min=0: Min−1 không áp dụng vì không có độ dài âm. Baseline: docs/ba/02-requirements/VGG_REQ-WORKBOOK_v0.1_2026-09-04.xlsx / Requirements; </x:v>
      </x:c>
    </x:row>
    <x:row r="364" ht="49" customHeight="1">
      <x:c r="A364" s="3" t="str">
        <x:v>SITE-001</x:v>
      </x:c>
      <x:c r="B364" s="3" t="str">
        <x:v>SITE</x:v>
      </x:c>
      <x:c r="C364" s="3" t="str">
        <x:v>Người có quyền phù hợp phải upsert SiteContent theo key duy nhất và cờ published.</x:v>
      </x:c>
      <x:c r="D364" s="3" t="str">
        <x:v>TC_SITE_001</x:v>
      </x:c>
      <x:c r="E364" s="3" t="str">
        <x:v>POST BACKEND /api/admin/site-content: key Min−1 (1)</x:v>
      </x:c>
      <x:c r="F364" s="3" t="str">
        <x:v>Designed — chưa thực thi</x:v>
      </x:c>
      <x:c r="G364"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65" ht="49" customHeight="1">
      <x:c r="A365" s="3" t="str">
        <x:v>SITE-001</x:v>
      </x:c>
      <x:c r="B365" s="3" t="str">
        <x:v>SITE</x:v>
      </x:c>
      <x:c r="C365" s="3" t="str">
        <x:v>Người có quyền phù hợp phải upsert SiteContent theo key duy nhất và cờ published.</x:v>
      </x:c>
      <x:c r="D365" s="3" t="str">
        <x:v>TC_SITE_002</x:v>
      </x:c>
      <x:c r="E365" s="3" t="str">
        <x:v>POST BACKEND /api/admin/site-content: key Min (2)</x:v>
      </x:c>
      <x:c r="F365" s="3" t="str">
        <x:v>Designed — chưa thực thi</x:v>
      </x:c>
      <x:c r="G365"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66" ht="49" customHeight="1">
      <x:c r="A366" s="3" t="str">
        <x:v>SITE-001</x:v>
      </x:c>
      <x:c r="B366" s="3" t="str">
        <x:v>SITE</x:v>
      </x:c>
      <x:c r="C366" s="3" t="str">
        <x:v>Người có quyền phù hợp phải upsert SiteContent theo key duy nhất và cờ published.</x:v>
      </x:c>
      <x:c r="D366" s="3" t="str">
        <x:v>TC_SITE_003</x:v>
      </x:c>
      <x:c r="E366" s="3" t="str">
        <x:v>POST BACKEND /api/admin/site-content: key Min+1 (3)</x:v>
      </x:c>
      <x:c r="F366" s="3" t="str">
        <x:v>Designed — chưa thực thi</x:v>
      </x:c>
      <x:c r="G366"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67" ht="49" customHeight="1">
      <x:c r="A367" s="3" t="str">
        <x:v>SITE-001</x:v>
      </x:c>
      <x:c r="B367" s="3" t="str">
        <x:v>SITE</x:v>
      </x:c>
      <x:c r="C367" s="3" t="str">
        <x:v>Người có quyền phù hợp phải upsert SiteContent theo key duy nhất và cờ published.</x:v>
      </x:c>
      <x:c r="D367" s="3" t="str">
        <x:v>TC_SITE_004</x:v>
      </x:c>
      <x:c r="E367" s="3" t="str">
        <x:v>POST BACKEND /api/admin/site-content: key Max−1 (189)</x:v>
      </x:c>
      <x:c r="F367" s="3" t="str">
        <x:v>Designed — chưa thực thi</x:v>
      </x:c>
      <x:c r="G367"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68" ht="49" customHeight="1">
      <x:c r="A368" s="3" t="str">
        <x:v>SITE-001</x:v>
      </x:c>
      <x:c r="B368" s="3" t="str">
        <x:v>SITE</x:v>
      </x:c>
      <x:c r="C368" s="3" t="str">
        <x:v>Người có quyền phù hợp phải upsert SiteContent theo key duy nhất và cờ published.</x:v>
      </x:c>
      <x:c r="D368" s="3" t="str">
        <x:v>TC_SITE_005</x:v>
      </x:c>
      <x:c r="E368" s="3" t="str">
        <x:v>POST BACKEND /api/admin/site-content: key Max (190)</x:v>
      </x:c>
      <x:c r="F368" s="3" t="str">
        <x:v>Designed — chưa thực thi</x:v>
      </x:c>
      <x:c r="G368"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69" ht="49" customHeight="1">
      <x:c r="A369" s="3" t="str">
        <x:v>SITE-001</x:v>
      </x:c>
      <x:c r="B369" s="3" t="str">
        <x:v>SITE</x:v>
      </x:c>
      <x:c r="C369" s="3" t="str">
        <x:v>Người có quyền phù hợp phải upsert SiteContent theo key duy nhất và cờ published.</x:v>
      </x:c>
      <x:c r="D369" s="3" t="str">
        <x:v>TC_SITE_006</x:v>
      </x:c>
      <x:c r="E369" s="3" t="str">
        <x:v>POST BACKEND /api/admin/site-content: key Max+1 (191)</x:v>
      </x:c>
      <x:c r="F369" s="3" t="str">
        <x:v>Designed — chưa thực thi</x:v>
      </x:c>
      <x:c r="G369"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0" ht="49" customHeight="1">
      <x:c r="A370" s="3" t="str">
        <x:v>SITE-001</x:v>
      </x:c>
      <x:c r="B370" s="3" t="str">
        <x:v>SITE</x:v>
      </x:c>
      <x:c r="C370" s="3" t="str">
        <x:v>Người có quyền phù hợp phải upsert SiteContent theo key duy nhất và cờ published.</x:v>
      </x:c>
      <x:c r="D370" s="3" t="str">
        <x:v>TC_SITE_007</x:v>
      </x:c>
      <x:c r="E370" s="3" t="str">
        <x:v>POST BACKEND /api/admin/site-content: section Min−1 (0)</x:v>
      </x:c>
      <x:c r="F370" s="3" t="str">
        <x:v>Designed — chưa thực thi</x:v>
      </x:c>
      <x:c r="G370"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1" ht="49" customHeight="1">
      <x:c r="A371" s="3" t="str">
        <x:v>SITE-001</x:v>
      </x:c>
      <x:c r="B371" s="3" t="str">
        <x:v>SITE</x:v>
      </x:c>
      <x:c r="C371" s="3" t="str">
        <x:v>Người có quyền phù hợp phải upsert SiteContent theo key duy nhất và cờ published.</x:v>
      </x:c>
      <x:c r="D371" s="3" t="str">
        <x:v>TC_SITE_008</x:v>
      </x:c>
      <x:c r="E371" s="3" t="str">
        <x:v>POST BACKEND /api/admin/site-content: section Min (1)</x:v>
      </x:c>
      <x:c r="F371" s="3" t="str">
        <x:v>Designed — chưa thực thi</x:v>
      </x:c>
      <x:c r="G371"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2" ht="49" customHeight="1">
      <x:c r="A372" s="3" t="str">
        <x:v>SITE-001</x:v>
      </x:c>
      <x:c r="B372" s="3" t="str">
        <x:v>SITE</x:v>
      </x:c>
      <x:c r="C372" s="3" t="str">
        <x:v>Người có quyền phù hợp phải upsert SiteContent theo key duy nhất và cờ published.</x:v>
      </x:c>
      <x:c r="D372" s="3" t="str">
        <x:v>TC_SITE_009</x:v>
      </x:c>
      <x:c r="E372" s="3" t="str">
        <x:v>POST BACKEND /api/admin/site-content: section Min+1 (2)</x:v>
      </x:c>
      <x:c r="F372" s="3" t="str">
        <x:v>Designed — chưa thực thi</x:v>
      </x:c>
      <x:c r="G372"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3" ht="49" customHeight="1">
      <x:c r="A373" s="3" t="str">
        <x:v>SITE-001</x:v>
      </x:c>
      <x:c r="B373" s="3" t="str">
        <x:v>SITE</x:v>
      </x:c>
      <x:c r="C373" s="3" t="str">
        <x:v>Người có quyền phù hợp phải upsert SiteContent theo key duy nhất và cờ published.</x:v>
      </x:c>
      <x:c r="D373" s="3" t="str">
        <x:v>TC_SITE_010</x:v>
      </x:c>
      <x:c r="E373" s="3" t="str">
        <x:v>POST BACKEND /api/admin/site-content: section Max−1 (99)</x:v>
      </x:c>
      <x:c r="F373" s="3" t="str">
        <x:v>Designed — chưa thực thi</x:v>
      </x:c>
      <x:c r="G373"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4" ht="49" customHeight="1">
      <x:c r="A374" s="3" t="str">
        <x:v>SITE-001</x:v>
      </x:c>
      <x:c r="B374" s="3" t="str">
        <x:v>SITE</x:v>
      </x:c>
      <x:c r="C374" s="3" t="str">
        <x:v>Người có quyền phù hợp phải upsert SiteContent theo key duy nhất và cờ published.</x:v>
      </x:c>
      <x:c r="D374" s="3" t="str">
        <x:v>TC_SITE_011</x:v>
      </x:c>
      <x:c r="E374" s="3" t="str">
        <x:v>POST BACKEND /api/admin/site-content: section Max (100)</x:v>
      </x:c>
      <x:c r="F374" s="3" t="str">
        <x:v>Designed — chưa thực thi</x:v>
      </x:c>
      <x:c r="G374"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5" ht="49" customHeight="1">
      <x:c r="A375" s="3" t="str">
        <x:v>SITE-001</x:v>
      </x:c>
      <x:c r="B375" s="3" t="str">
        <x:v>SITE</x:v>
      </x:c>
      <x:c r="C375" s="3" t="str">
        <x:v>Người có quyền phù hợp phải upsert SiteContent theo key duy nhất và cờ published.</x:v>
      </x:c>
      <x:c r="D375" s="3" t="str">
        <x:v>TC_SITE_012</x:v>
      </x:c>
      <x:c r="E375" s="3" t="str">
        <x:v>POST BACKEND /api/admin/site-content: section Max+1 (101)</x:v>
      </x:c>
      <x:c r="F375" s="3" t="str">
        <x:v>Designed — chưa thực thi</x:v>
      </x:c>
      <x:c r="G375"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6" ht="49" customHeight="1">
      <x:c r="A376" s="3" t="str">
        <x:v>SITE-001</x:v>
      </x:c>
      <x:c r="B376" s="3" t="str">
        <x:v>SITE</x:v>
      </x:c>
      <x:c r="C376" s="3" t="str">
        <x:v>Người có quyền phù hợp phải upsert SiteContent theo key duy nhất và cờ published.</x:v>
      </x:c>
      <x:c r="D376" s="3" t="str">
        <x:v>TC_SITE_013</x:v>
      </x:c>
      <x:c r="E376" s="3" t="str">
        <x:v>POST BACKEND /api/admin/site-content: page Min−1 (0)</x:v>
      </x:c>
      <x:c r="F376" s="3" t="str">
        <x:v>Designed — chưa thực thi</x:v>
      </x:c>
      <x:c r="G376"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7" ht="49" customHeight="1">
      <x:c r="A377" s="3" t="str">
        <x:v>SITE-001</x:v>
      </x:c>
      <x:c r="B377" s="3" t="str">
        <x:v>SITE</x:v>
      </x:c>
      <x:c r="C377" s="3" t="str">
        <x:v>Người có quyền phù hợp phải upsert SiteContent theo key duy nhất và cờ published.</x:v>
      </x:c>
      <x:c r="D377" s="3" t="str">
        <x:v>TC_SITE_014</x:v>
      </x:c>
      <x:c r="E377" s="3" t="str">
        <x:v>POST BACKEND /api/admin/site-content: page Min (1)</x:v>
      </x:c>
      <x:c r="F377" s="3" t="str">
        <x:v>Designed — chưa thực thi</x:v>
      </x:c>
      <x:c r="G377"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8" ht="49" customHeight="1">
      <x:c r="A378" s="3" t="str">
        <x:v>SITE-001</x:v>
      </x:c>
      <x:c r="B378" s="3" t="str">
        <x:v>SITE</x:v>
      </x:c>
      <x:c r="C378" s="3" t="str">
        <x:v>Người có quyền phù hợp phải upsert SiteContent theo key duy nhất và cờ published.</x:v>
      </x:c>
      <x:c r="D378" s="3" t="str">
        <x:v>TC_SITE_015</x:v>
      </x:c>
      <x:c r="E378" s="3" t="str">
        <x:v>POST BACKEND /api/admin/site-content: page Min+1 (2)</x:v>
      </x:c>
      <x:c r="F378" s="3" t="str">
        <x:v>Designed — chưa thực thi</x:v>
      </x:c>
      <x:c r="G378"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79" ht="49" customHeight="1">
      <x:c r="A379" s="3" t="str">
        <x:v>SITE-001</x:v>
      </x:c>
      <x:c r="B379" s="3" t="str">
        <x:v>SITE</x:v>
      </x:c>
      <x:c r="C379" s="3" t="str">
        <x:v>Người có quyền phù hợp phải upsert SiteContent theo key duy nhất và cờ published.</x:v>
      </x:c>
      <x:c r="D379" s="3" t="str">
        <x:v>TC_SITE_016</x:v>
      </x:c>
      <x:c r="E379" s="3" t="str">
        <x:v>POST BACKEND /api/admin/site-content: page Max−1 (189)</x:v>
      </x:c>
      <x:c r="F379" s="3" t="str">
        <x:v>Designed — chưa thực thi</x:v>
      </x:c>
      <x:c r="G379"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0" ht="49" customHeight="1">
      <x:c r="A380" s="3" t="str">
        <x:v>SITE-001</x:v>
      </x:c>
      <x:c r="B380" s="3" t="str">
        <x:v>SITE</x:v>
      </x:c>
      <x:c r="C380" s="3" t="str">
        <x:v>Người có quyền phù hợp phải upsert SiteContent theo key duy nhất và cờ published.</x:v>
      </x:c>
      <x:c r="D380" s="3" t="str">
        <x:v>TC_SITE_017</x:v>
      </x:c>
      <x:c r="E380" s="3" t="str">
        <x:v>POST BACKEND /api/admin/site-content: page Max (190)</x:v>
      </x:c>
      <x:c r="F380" s="3" t="str">
        <x:v>Designed — chưa thực thi</x:v>
      </x:c>
      <x:c r="G380"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1" ht="49" customHeight="1">
      <x:c r="A381" s="3" t="str">
        <x:v>SITE-001</x:v>
      </x:c>
      <x:c r="B381" s="3" t="str">
        <x:v>SITE</x:v>
      </x:c>
      <x:c r="C381" s="3" t="str">
        <x:v>Người có quyền phù hợp phải upsert SiteContent theo key duy nhất và cờ published.</x:v>
      </x:c>
      <x:c r="D381" s="3" t="str">
        <x:v>TC_SITE_018</x:v>
      </x:c>
      <x:c r="E381" s="3" t="str">
        <x:v>POST BACKEND /api/admin/site-content: page Max+1 (191)</x:v>
      </x:c>
      <x:c r="F381" s="3" t="str">
        <x:v>Designed — chưa thực thi</x:v>
      </x:c>
      <x:c r="G381" s="3" t="str">
        <x:v>Nguồn: backend/src/modules/cms/cms.routes.ts:91.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2" ht="49" customHeight="1">
      <x:c r="A382" s="3" t="str">
        <x:v>SITE-001</x:v>
      </x:c>
      <x:c r="B382" s="3" t="str">
        <x:v>SITE</x:v>
      </x:c>
      <x:c r="C382" s="3" t="str">
        <x:v>Người có quyền phù hợp phải upsert SiteContent theo key duy nhất và cờ published.</x:v>
      </x:c>
      <x:c r="D382" s="3" t="str">
        <x:v>TC_SITE_019</x:v>
      </x:c>
      <x:c r="E382" s="3" t="str">
        <x:v>POST BACKEND /api/admin/site-content: title Min (0)</x:v>
      </x:c>
      <x:c r="F382" s="3" t="str">
        <x:v>Designed — chưa thực thi</x:v>
      </x:c>
      <x:c r="G382" s="3" t="str">
        <x:v>Nguồn: backend/src/modules/cms/cms.routes.ts:63.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3" ht="49" customHeight="1">
      <x:c r="A383" s="3" t="str">
        <x:v>SITE-001</x:v>
      </x:c>
      <x:c r="B383" s="3" t="str">
        <x:v>SITE</x:v>
      </x:c>
      <x:c r="C383" s="3" t="str">
        <x:v>Người có quyền phù hợp phải upsert SiteContent theo key duy nhất và cờ published.</x:v>
      </x:c>
      <x:c r="D383" s="3" t="str">
        <x:v>TC_SITE_020</x:v>
      </x:c>
      <x:c r="E383" s="3" t="str">
        <x:v>POST BACKEND /api/admin/site-content: title Min+1 (1)</x:v>
      </x:c>
      <x:c r="F383" s="3" t="str">
        <x:v>Designed — chưa thực thi</x:v>
      </x:c>
      <x:c r="G383" s="3" t="str">
        <x:v>Nguồn: backend/src/modules/cms/cms.routes.ts:63.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4" ht="49" customHeight="1">
      <x:c r="A384" s="3" t="str">
        <x:v>SITE-001</x:v>
      </x:c>
      <x:c r="B384" s="3" t="str">
        <x:v>SITE</x:v>
      </x:c>
      <x:c r="C384" s="3" t="str">
        <x:v>Người có quyền phù hợp phải upsert SiteContent theo key duy nhất và cờ published.</x:v>
      </x:c>
      <x:c r="D384" s="3" t="str">
        <x:v>TC_SITE_021</x:v>
      </x:c>
      <x:c r="E384" s="3" t="str">
        <x:v>POST BACKEND /api/admin/site-content: title Max−1 (249)</x:v>
      </x:c>
      <x:c r="F384" s="3" t="str">
        <x:v>Designed — chưa thực thi</x:v>
      </x:c>
      <x:c r="G384" s="3" t="str">
        <x:v>Nguồn: backend/src/modules/cms/cms.routes.ts:63.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5" ht="49" customHeight="1">
      <x:c r="A385" s="3" t="str">
        <x:v>SITE-001</x:v>
      </x:c>
      <x:c r="B385" s="3" t="str">
        <x:v>SITE</x:v>
      </x:c>
      <x:c r="C385" s="3" t="str">
        <x:v>Người có quyền phù hợp phải upsert SiteContent theo key duy nhất và cờ published.</x:v>
      </x:c>
      <x:c r="D385" s="3" t="str">
        <x:v>TC_SITE_022</x:v>
      </x:c>
      <x:c r="E385" s="3" t="str">
        <x:v>POST BACKEND /api/admin/site-content: title Max (250)</x:v>
      </x:c>
      <x:c r="F385" s="3" t="str">
        <x:v>Designed — chưa thực thi</x:v>
      </x:c>
      <x:c r="G385" s="3" t="str">
        <x:v>Nguồn: backend/src/modules/cms/cms.routes.ts:63.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6" ht="49" customHeight="1">
      <x:c r="A386" s="3" t="str">
        <x:v>SITE-001</x:v>
      </x:c>
      <x:c r="B386" s="3" t="str">
        <x:v>SITE</x:v>
      </x:c>
      <x:c r="C386" s="3" t="str">
        <x:v>Người có quyền phù hợp phải upsert SiteContent theo key duy nhất và cờ published.</x:v>
      </x:c>
      <x:c r="D386" s="3" t="str">
        <x:v>TC_SITE_023</x:v>
      </x:c>
      <x:c r="E386" s="3" t="str">
        <x:v>POST BACKEND /api/admin/site-content: title Max+1 (251)</x:v>
      </x:c>
      <x:c r="F386" s="3" t="str">
        <x:v>Designed — chưa thực thi</x:v>
      </x:c>
      <x:c r="G386" s="3" t="str">
        <x:v>Nguồn: backend/src/modules/cms/cms.routes.ts:63. Độ dài JS/Zod dùng UTF-16; fixture ASCII để cô lập boundary. Optional min=0: Min−1 không áp dụng vì không có độ dài âm. Baseline: docs/ba/02-requirements/VGG_REQ-WORKBOOK_v0.1_2026-09-04.xlsx / Requirements; Quyền cụ thể và ownership nội dung cần xác nhận</x:v>
      </x:c>
    </x:row>
    <x:row r="387" ht="49" customHeight="1">
      <x:c r="A387" s="3" t="str">
        <x:v>DASH-001</x:v>
      </x:c>
      <x:c r="B387" s="3" t="str">
        <x:v>ANALYTICS</x:v>
      </x:c>
      <x:c r="C387" s="3" t="str">
        <x:v>Người có dashboard.view phải xem được số liệu tổng hợp theo dữ liệu hệ thống.</x:v>
      </x:c>
      <x:c r="D387" s="3" t="str">
        <x:v>TC_ANALYTICS_001</x:v>
      </x:c>
      <x:c r="E387" s="3" t="str">
        <x:v>POST BACKEND /api/public/visits: path Min (0)</x:v>
      </x:c>
      <x:c r="F387" s="3" t="str">
        <x:v>Designed — chưa thực thi</x:v>
      </x:c>
      <x:c r="G387" s="3" t="str">
        <x:v>Nguồn: backend/src/modules/cms/cms.routes.ts:84.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88" ht="49" customHeight="1">
      <x:c r="A388" s="3" t="str">
        <x:v>DASH-001</x:v>
      </x:c>
      <x:c r="B388" s="3" t="str">
        <x:v>ANALYTICS</x:v>
      </x:c>
      <x:c r="C388" s="3" t="str">
        <x:v>Người có dashboard.view phải xem được số liệu tổng hợp theo dữ liệu hệ thống.</x:v>
      </x:c>
      <x:c r="D388" s="3" t="str">
        <x:v>TC_ANALYTICS_002</x:v>
      </x:c>
      <x:c r="E388" s="3" t="str">
        <x:v>POST BACKEND /api/public/visits: path Min+1 (1)</x:v>
      </x:c>
      <x:c r="F388" s="3" t="str">
        <x:v>Designed — chưa thực thi</x:v>
      </x:c>
      <x:c r="G388" s="3" t="str">
        <x:v>Nguồn: backend/src/modules/cms/cms.routes.ts:84.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89" ht="49" customHeight="1">
      <x:c r="A389" s="3" t="str">
        <x:v>DASH-001</x:v>
      </x:c>
      <x:c r="B389" s="3" t="str">
        <x:v>ANALYTICS</x:v>
      </x:c>
      <x:c r="C389" s="3" t="str">
        <x:v>Người có dashboard.view phải xem được số liệu tổng hợp theo dữ liệu hệ thống.</x:v>
      </x:c>
      <x:c r="D389" s="3" t="str">
        <x:v>TC_ANALYTICS_003</x:v>
      </x:c>
      <x:c r="E389" s="3" t="str">
        <x:v>POST BACKEND /api/public/visits: path Max−1 (499)</x:v>
      </x:c>
      <x:c r="F389" s="3" t="str">
        <x:v>Designed — chưa thực thi</x:v>
      </x:c>
      <x:c r="G389" s="3" t="str">
        <x:v>Nguồn: backend/src/modules/cms/cms.routes.ts:84.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0" ht="49" customHeight="1">
      <x:c r="A390" s="3" t="str">
        <x:v>DASH-001</x:v>
      </x:c>
      <x:c r="B390" s="3" t="str">
        <x:v>ANALYTICS</x:v>
      </x:c>
      <x:c r="C390" s="3" t="str">
        <x:v>Người có dashboard.view phải xem được số liệu tổng hợp theo dữ liệu hệ thống.</x:v>
      </x:c>
      <x:c r="D390" s="3" t="str">
        <x:v>TC_ANALYTICS_004</x:v>
      </x:c>
      <x:c r="E390" s="3" t="str">
        <x:v>POST BACKEND /api/public/visits: path Max (500)</x:v>
      </x:c>
      <x:c r="F390" s="3" t="str">
        <x:v>Designed — chưa thực thi</x:v>
      </x:c>
      <x:c r="G390" s="3" t="str">
        <x:v>Nguồn: backend/src/modules/cms/cms.routes.ts:84.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1" ht="49" customHeight="1">
      <x:c r="A391" s="3" t="str">
        <x:v>DASH-001</x:v>
      </x:c>
      <x:c r="B391" s="3" t="str">
        <x:v>ANALYTICS</x:v>
      </x:c>
      <x:c r="C391" s="3" t="str">
        <x:v>Người có dashboard.view phải xem được số liệu tổng hợp theo dữ liệu hệ thống.</x:v>
      </x:c>
      <x:c r="D391" s="3" t="str">
        <x:v>TC_ANALYTICS_005</x:v>
      </x:c>
      <x:c r="E391" s="3" t="str">
        <x:v>POST BACKEND /api/public/visits: path Max+1 (501)</x:v>
      </x:c>
      <x:c r="F391" s="3" t="str">
        <x:v>Designed — chưa thực thi</x:v>
      </x:c>
      <x:c r="G391" s="3" t="str">
        <x:v>Nguồn: backend/src/modules/cms/cms.routes.ts:84.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2" ht="49" customHeight="1">
      <x:c r="A392" s="3" t="str">
        <x:v>DASH-001</x:v>
      </x:c>
      <x:c r="B392" s="3" t="str">
        <x:v>ANALYTICS</x:v>
      </x:c>
      <x:c r="C392" s="3" t="str">
        <x:v>Người có dashboard.view phải xem được số liệu tổng hợp theo dữ liệu hệ thống.</x:v>
      </x:c>
      <x:c r="D392" s="3" t="str">
        <x:v>TC_ANALYTICS_006</x:v>
      </x:c>
      <x:c r="E392" s="3" t="str">
        <x:v>POST BACKEND /api/public/visits: locale Min (0)</x:v>
      </x:c>
      <x:c r="F392" s="3" t="str">
        <x:v>Designed — chưa thực thi</x:v>
      </x:c>
      <x:c r="G392" s="3" t="str">
        <x:v>Nguồn: backend/src/modules/cms/cms.routes.ts:63.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3" ht="49" customHeight="1">
      <x:c r="A393" s="3" t="str">
        <x:v>DASH-001</x:v>
      </x:c>
      <x:c r="B393" s="3" t="str">
        <x:v>ANALYTICS</x:v>
      </x:c>
      <x:c r="C393" s="3" t="str">
        <x:v>Người có dashboard.view phải xem được số liệu tổng hợp theo dữ liệu hệ thống.</x:v>
      </x:c>
      <x:c r="D393" s="3" t="str">
        <x:v>TC_ANALYTICS_007</x:v>
      </x:c>
      <x:c r="E393" s="3" t="str">
        <x:v>POST BACKEND /api/public/visits: locale Min+1 (1)</x:v>
      </x:c>
      <x:c r="F393" s="3" t="str">
        <x:v>Designed — chưa thực thi</x:v>
      </x:c>
      <x:c r="G393" s="3" t="str">
        <x:v>Nguồn: backend/src/modules/cms/cms.routes.ts:63.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4" ht="49" customHeight="1">
      <x:c r="A394" s="3" t="str">
        <x:v>DASH-001</x:v>
      </x:c>
      <x:c r="B394" s="3" t="str">
        <x:v>ANALYTICS</x:v>
      </x:c>
      <x:c r="C394" s="3" t="str">
        <x:v>Người có dashboard.view phải xem được số liệu tổng hợp theo dữ liệu hệ thống.</x:v>
      </x:c>
      <x:c r="D394" s="3" t="str">
        <x:v>TC_ANALYTICS_008</x:v>
      </x:c>
      <x:c r="E394" s="3" t="str">
        <x:v>POST BACKEND /api/public/visits: locale Max−1 (4)</x:v>
      </x:c>
      <x:c r="F394" s="3" t="str">
        <x:v>Designed — chưa thực thi</x:v>
      </x:c>
      <x:c r="G394" s="3" t="str">
        <x:v>Nguồn: backend/src/modules/cms/cms.routes.ts:63.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5" ht="49" customHeight="1">
      <x:c r="A395" s="3" t="str">
        <x:v>DASH-001</x:v>
      </x:c>
      <x:c r="B395" s="3" t="str">
        <x:v>ANALYTICS</x:v>
      </x:c>
      <x:c r="C395" s="3" t="str">
        <x:v>Người có dashboard.view phải xem được số liệu tổng hợp theo dữ liệu hệ thống.</x:v>
      </x:c>
      <x:c r="D395" s="3" t="str">
        <x:v>TC_ANALYTICS_009</x:v>
      </x:c>
      <x:c r="E395" s="3" t="str">
        <x:v>POST BACKEND /api/public/visits: locale Max (5)</x:v>
      </x:c>
      <x:c r="F395" s="3" t="str">
        <x:v>Designed — chưa thực thi</x:v>
      </x:c>
      <x:c r="G395" s="3" t="str">
        <x:v>Nguồn: backend/src/modules/cms/cms.routes.ts:63.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6" ht="49" customHeight="1">
      <x:c r="A396" s="3" t="str">
        <x:v>DASH-001</x:v>
      </x:c>
      <x:c r="B396" s="3" t="str">
        <x:v>ANALYTICS</x:v>
      </x:c>
      <x:c r="C396" s="3" t="str">
        <x:v>Người có dashboard.view phải xem được số liệu tổng hợp theo dữ liệu hệ thống.</x:v>
      </x:c>
      <x:c r="D396" s="3" t="str">
        <x:v>TC_ANALYTICS_010</x:v>
      </x:c>
      <x:c r="E396" s="3" t="str">
        <x:v>POST BACKEND /api/public/visits: locale Max+1 (6)</x:v>
      </x:c>
      <x:c r="F396" s="3" t="str">
        <x:v>Designed — chưa thực thi</x:v>
      </x:c>
      <x:c r="G396" s="3" t="str">
        <x:v>Nguồn: backend/src/modules/cms/cms.routes.ts:63.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7" ht="49" customHeight="1">
      <x:c r="A397" s="3" t="str">
        <x:v>DASH-001</x:v>
      </x:c>
      <x:c r="B397" s="3" t="str">
        <x:v>ANALYTICS</x:v>
      </x:c>
      <x:c r="C397" s="3" t="str">
        <x:v>Người có dashboard.view phải xem được số liệu tổng hợp theo dữ liệu hệ thống.</x:v>
      </x:c>
      <x:c r="D397" s="3" t="str">
        <x:v>TC_ANALYTICS_011</x:v>
      </x:c>
      <x:c r="E397" s="3" t="str">
        <x:v>POST BACKEND /api/public/visits: visitorId Min (0)</x:v>
      </x:c>
      <x:c r="F397" s="3" t="str">
        <x:v>Designed — chưa thực thi</x:v>
      </x:c>
      <x:c r="G397" s="3" t="str">
        <x:v>Nguồn: backend/src/modules/cms/cms.routes.ts:158.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8" ht="49" customHeight="1">
      <x:c r="A398" s="3" t="str">
        <x:v>DASH-001</x:v>
      </x:c>
      <x:c r="B398" s="3" t="str">
        <x:v>ANALYTICS</x:v>
      </x:c>
      <x:c r="C398" s="3" t="str">
        <x:v>Người có dashboard.view phải xem được số liệu tổng hợp theo dữ liệu hệ thống.</x:v>
      </x:c>
      <x:c r="D398" s="3" t="str">
        <x:v>TC_ANALYTICS_012</x:v>
      </x:c>
      <x:c r="E398" s="3" t="str">
        <x:v>POST BACKEND /api/public/visits: visitorId Min+1 (1)</x:v>
      </x:c>
      <x:c r="F398" s="3" t="str">
        <x:v>Designed — chưa thực thi</x:v>
      </x:c>
      <x:c r="G398" s="3" t="str">
        <x:v>Nguồn: backend/src/modules/cms/cms.routes.ts:158.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399" ht="49" customHeight="1">
      <x:c r="A399" s="3" t="str">
        <x:v>DASH-001</x:v>
      </x:c>
      <x:c r="B399" s="3" t="str">
        <x:v>ANALYTICS</x:v>
      </x:c>
      <x:c r="C399" s="3" t="str">
        <x:v>Người có dashboard.view phải xem được số liệu tổng hợp theo dữ liệu hệ thống.</x:v>
      </x:c>
      <x:c r="D399" s="3" t="str">
        <x:v>TC_ANALYTICS_013</x:v>
      </x:c>
      <x:c r="E399" s="3" t="str">
        <x:v>POST BACKEND /api/public/visits: visitorId Max−1 (99)</x:v>
      </x:c>
      <x:c r="F399" s="3" t="str">
        <x:v>Designed — chưa thực thi</x:v>
      </x:c>
      <x:c r="G399" s="3" t="str">
        <x:v>Nguồn: backend/src/modules/cms/cms.routes.ts:158.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400" ht="49" customHeight="1">
      <x:c r="A400" s="3" t="str">
        <x:v>DASH-001</x:v>
      </x:c>
      <x:c r="B400" s="3" t="str">
        <x:v>ANALYTICS</x:v>
      </x:c>
      <x:c r="C400" s="3" t="str">
        <x:v>Người có dashboard.view phải xem được số liệu tổng hợp theo dữ liệu hệ thống.</x:v>
      </x:c>
      <x:c r="D400" s="3" t="str">
        <x:v>TC_ANALYTICS_014</x:v>
      </x:c>
      <x:c r="E400" s="3" t="str">
        <x:v>POST BACKEND /api/public/visits: visitorId Max (100)</x:v>
      </x:c>
      <x:c r="F400" s="3" t="str">
        <x:v>Designed — chưa thực thi</x:v>
      </x:c>
      <x:c r="G400" s="3" t="str">
        <x:v>Nguồn: backend/src/modules/cms/cms.routes.ts:158.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401" ht="49" customHeight="1">
      <x:c r="A401" s="3" t="str">
        <x:v>DASH-001</x:v>
      </x:c>
      <x:c r="B401" s="3" t="str">
        <x:v>ANALYTICS</x:v>
      </x:c>
      <x:c r="C401" s="3" t="str">
        <x:v>Người có dashboard.view phải xem được số liệu tổng hợp theo dữ liệu hệ thống.</x:v>
      </x:c>
      <x:c r="D401" s="3" t="str">
        <x:v>TC_ANALYTICS_015</x:v>
      </x:c>
      <x:c r="E401" s="3" t="str">
        <x:v>POST BACKEND /api/public/visits: visitorId Max+1 (101)</x:v>
      </x:c>
      <x:c r="F401" s="3" t="str">
        <x:v>Designed — chưa thực thi</x:v>
      </x:c>
      <x:c r="G401" s="3" t="str">
        <x:v>Nguồn: backend/src/modules/cms/cms.routes.ts:158. Độ dài JS/Zod dùng UTF-16; fixture ASCII để cô lập boundary. Optional min=0: Min−1 không áp dụng vì không có độ dài âm. Baseline: docs/ba/02-requirements/VGG_REQ-WORKBOOK_v0.1_2026-09-04.xlsx / Requirements; Định nghĩa/KPI và kỳ số liệu cần xác nhận</x:v>
      </x:c>
    </x:row>
    <x:row r="402" ht="36" customHeight="1">
      <x:c r="A402" s="3" t="str">
        <x:v>NEWS-002</x:v>
      </x:c>
      <x:c r="B402" s="3" t="str">
        <x:v>NEWS</x:v>
      </x:c>
      <x:c r="C402" s="3" t="str">
        <x:v>Trình soạn thảo phải hỗ trợ định dạng cho phép và làm sạch HTML trước khi lưu/hiển thị.</x:v>
      </x:c>
      <x:c r="D402" s="3" t="str">
        <x:v>TC_NEWS_055</x:v>
      </x:c>
      <x:c r="E402" s="3" t="str">
        <x:v>content text 19 ký tự</x:v>
      </x:c>
      <x:c r="F402" s="3" t="str">
        <x:v>Designed — chưa thực thi</x:v>
      </x:c>
      <x:c r="G402" s="3" t="str">
        <x:v>Nguồn: backend/src/modules/cms/cms.routes.ts.  Baseline: docs/ba/02-requirements/VGG_REQ-WORKBOOK_v0.1_2026-09-04.xlsx / Requirements; Hành vi clipboard mới là quan sát code, chưa phải yêu cầu phê duyệt</x:v>
      </x:c>
    </x:row>
    <x:row r="403" ht="36" customHeight="1">
      <x:c r="A403" s="3" t="str">
        <x:v>NEWS-002</x:v>
      </x:c>
      <x:c r="B403" s="3" t="str">
        <x:v>NEWS</x:v>
      </x:c>
      <x:c r="C403" s="3" t="str">
        <x:v>Trình soạn thảo phải hỗ trợ định dạng cho phép và làm sạch HTML trước khi lưu/hiển thị.</x:v>
      </x:c>
      <x:c r="D403" s="3" t="str">
        <x:v>TC_NEWS_056</x:v>
      </x:c>
      <x:c r="E403" s="3" t="str">
        <x:v>content text 20 ký tự</x:v>
      </x:c>
      <x:c r="F403" s="3" t="str">
        <x:v>Designed — chưa thực thi</x:v>
      </x:c>
      <x:c r="G403" s="3" t="str">
        <x:v>Nguồn: backend/src/modules/cms/cms.routes.ts.  Baseline: docs/ba/02-requirements/VGG_REQ-WORKBOOK_v0.1_2026-09-04.xlsx / Requirements; Hành vi clipboard mới là quan sát code, chưa phải yêu cầu phê duyệt</x:v>
      </x:c>
    </x:row>
    <x:row r="404" ht="36" customHeight="1">
      <x:c r="A404" s="3" t="str">
        <x:v>NEWS-002</x:v>
      </x:c>
      <x:c r="B404" s="3" t="str">
        <x:v>NEWS</x:v>
      </x:c>
      <x:c r="C404" s="3" t="str">
        <x:v>Trình soạn thảo phải hỗ trợ định dạng cho phép và làm sạch HTML trước khi lưu/hiển thị.</x:v>
      </x:c>
      <x:c r="D404" s="3" t="str">
        <x:v>TC_NEWS_057</x:v>
      </x:c>
      <x:c r="E404" s="3" t="str">
        <x:v>content text 21 ký tự</x:v>
      </x:c>
      <x:c r="F404" s="3" t="str">
        <x:v>Designed — chưa thực thi</x:v>
      </x:c>
      <x:c r="G404" s="3" t="str">
        <x:v>Nguồn: backend/src/modules/cms/cms.routes.ts.  Baseline: docs/ba/02-requirements/VGG_REQ-WORKBOOK_v0.1_2026-09-04.xlsx / Requirements; Hành vi clipboard mới là quan sát code, chưa phải yêu cầu phê duyệt</x:v>
      </x:c>
    </x:row>
    <x:row r="405" ht="36" customHeight="1">
      <x:c r="A405" s="3" t="str">
        <x:v>PUB-003</x:v>
      </x:c>
      <x:c r="B405" s="3" t="str">
        <x:v>NEWS</x:v>
      </x:c>
      <x:c r="C405" s="3" t="str">
        <x:v>API công khai chỉ được trả tin trạng thái PUBLISHED và đúng điều kiện thời gian công bố.</x:v>
      </x:c>
      <x:c r="D405" s="3" t="str">
        <x:v>TC_NEWS_058</x:v>
      </x:c>
      <x:c r="E405" s="3" t="str">
        <x:v>/api/public/news limit=0</x:v>
      </x:c>
      <x:c r="F405" s="3" t="str">
        <x:v>Designed — chưa thực thi</x:v>
      </x:c>
      <x:c r="G405" s="3" t="str">
        <x:v>Nguồn: backend/src/modules/cms/cms.routes.ts.  Baseline: docs/ba/02-requirements/VGG_REQ-WORKBOOK_v0.1_2026-09-04.xlsx / Requirements; </x:v>
      </x:c>
    </x:row>
    <x:row r="406" ht="36" customHeight="1">
      <x:c r="A406" s="3" t="str">
        <x:v>PUB-003</x:v>
      </x:c>
      <x:c r="B406" s="3" t="str">
        <x:v>NEWS</x:v>
      </x:c>
      <x:c r="C406" s="3" t="str">
        <x:v>API công khai chỉ được trả tin trạng thái PUBLISHED và đúng điều kiện thời gian công bố.</x:v>
      </x:c>
      <x:c r="D406" s="3" t="str">
        <x:v>TC_NEWS_059</x:v>
      </x:c>
      <x:c r="E406" s="3" t="str">
        <x:v>/api/public/news limit=1</x:v>
      </x:c>
      <x:c r="F406" s="3" t="str">
        <x:v>Designed — chưa thực thi</x:v>
      </x:c>
      <x:c r="G406" s="3" t="str">
        <x:v>Nguồn: backend/src/modules/cms/cms.routes.ts.  Baseline: docs/ba/02-requirements/VGG_REQ-WORKBOOK_v0.1_2026-09-04.xlsx / Requirements; </x:v>
      </x:c>
    </x:row>
    <x:row r="407" ht="36" customHeight="1">
      <x:c r="A407" s="3" t="str">
        <x:v>PUB-003</x:v>
      </x:c>
      <x:c r="B407" s="3" t="str">
        <x:v>NEWS</x:v>
      </x:c>
      <x:c r="C407" s="3" t="str">
        <x:v>API công khai chỉ được trả tin trạng thái PUBLISHED và đúng điều kiện thời gian công bố.</x:v>
      </x:c>
      <x:c r="D407" s="3" t="str">
        <x:v>TC_NEWS_060</x:v>
      </x:c>
      <x:c r="E407" s="3" t="str">
        <x:v>/api/public/news limit=2</x:v>
      </x:c>
      <x:c r="F407" s="3" t="str">
        <x:v>Designed — chưa thực thi</x:v>
      </x:c>
      <x:c r="G407" s="3" t="str">
        <x:v>Nguồn: backend/src/modules/cms/cms.routes.ts.  Baseline: docs/ba/02-requirements/VGG_REQ-WORKBOOK_v0.1_2026-09-04.xlsx / Requirements; </x:v>
      </x:c>
    </x:row>
    <x:row r="408" ht="36" customHeight="1">
      <x:c r="A408" s="3" t="str">
        <x:v>PUB-003</x:v>
      </x:c>
      <x:c r="B408" s="3" t="str">
        <x:v>NEWS</x:v>
      </x:c>
      <x:c r="C408" s="3" t="str">
        <x:v>API công khai chỉ được trả tin trạng thái PUBLISHED và đúng điều kiện thời gian công bố.</x:v>
      </x:c>
      <x:c r="D408" s="3" t="str">
        <x:v>TC_NEWS_061</x:v>
      </x:c>
      <x:c r="E408" s="3" t="str">
        <x:v>/api/public/news limit=99</x:v>
      </x:c>
      <x:c r="F408" s="3" t="str">
        <x:v>Designed — chưa thực thi</x:v>
      </x:c>
      <x:c r="G408" s="3" t="str">
        <x:v>Nguồn: backend/src/modules/cms/cms.routes.ts.  Baseline: docs/ba/02-requirements/VGG_REQ-WORKBOOK_v0.1_2026-09-04.xlsx / Requirements; </x:v>
      </x:c>
    </x:row>
    <x:row r="409" ht="36" customHeight="1">
      <x:c r="A409" s="3" t="str">
        <x:v>PUB-003</x:v>
      </x:c>
      <x:c r="B409" s="3" t="str">
        <x:v>NEWS</x:v>
      </x:c>
      <x:c r="C409" s="3" t="str">
        <x:v>API công khai chỉ được trả tin trạng thái PUBLISHED và đúng điều kiện thời gian công bố.</x:v>
      </x:c>
      <x:c r="D409" s="3" t="str">
        <x:v>TC_NEWS_062</x:v>
      </x:c>
      <x:c r="E409" s="3" t="str">
        <x:v>/api/public/news limit=100</x:v>
      </x:c>
      <x:c r="F409" s="3" t="str">
        <x:v>Designed — chưa thực thi</x:v>
      </x:c>
      <x:c r="G409" s="3" t="str">
        <x:v>Nguồn: backend/src/modules/cms/cms.routes.ts.  Baseline: docs/ba/02-requirements/VGG_REQ-WORKBOOK_v0.1_2026-09-04.xlsx / Requirements; </x:v>
      </x:c>
    </x:row>
    <x:row r="410" ht="36" customHeight="1">
      <x:c r="A410" s="3" t="str">
        <x:v>PUB-003</x:v>
      </x:c>
      <x:c r="B410" s="3" t="str">
        <x:v>NEWS</x:v>
      </x:c>
      <x:c r="C410" s="3" t="str">
        <x:v>API công khai chỉ được trả tin trạng thái PUBLISHED và đúng điều kiện thời gian công bố.</x:v>
      </x:c>
      <x:c r="D410" s="3" t="str">
        <x:v>TC_NEWS_063</x:v>
      </x:c>
      <x:c r="E410" s="3" t="str">
        <x:v>/api/public/news limit=101</x:v>
      </x:c>
      <x:c r="F410" s="3" t="str">
        <x:v>Designed — chưa thực thi</x:v>
      </x:c>
      <x:c r="G410" s="3" t="str">
        <x:v>Nguồn: backend/src/modules/cms/cms.routes.ts.  Baseline: docs/ba/02-requirements/VGG_REQ-WORKBOOK_v0.1_2026-09-04.xlsx / Requirements; </x:v>
      </x:c>
    </x:row>
    <x:row r="411" ht="36" customHeight="1">
      <x:c r="A411" s="3" t="str">
        <x:v>PUB-003</x:v>
      </x:c>
      <x:c r="B411" s="3" t="str">
        <x:v>NEWS</x:v>
      </x:c>
      <x:c r="C411" s="3" t="str">
        <x:v>API công khai chỉ được trả tin trạng thái PUBLISHED và đúng điều kiện thời gian công bố.</x:v>
      </x:c>
      <x:c r="D411" s="3" t="str">
        <x:v>TC_NEWS_064</x:v>
      </x:c>
      <x:c r="E411" s="3" t="str">
        <x:v>/api/public/news page=0</x:v>
      </x:c>
      <x:c r="F411" s="3" t="str">
        <x:v>Designed — chưa thực thi</x:v>
      </x:c>
      <x:c r="G411" s="3" t="str">
        <x:v>Nguồn: backend/src/modules/cms/cms.routes.ts.  Baseline: docs/ba/02-requirements/VGG_REQ-WORKBOOK_v0.1_2026-09-04.xlsx / Requirements; </x:v>
      </x:c>
    </x:row>
    <x:row r="412" ht="36" customHeight="1">
      <x:c r="A412" s="3" t="str">
        <x:v>PUB-003</x:v>
      </x:c>
      <x:c r="B412" s="3" t="str">
        <x:v>NEWS</x:v>
      </x:c>
      <x:c r="C412" s="3" t="str">
        <x:v>API công khai chỉ được trả tin trạng thái PUBLISHED và đúng điều kiện thời gian công bố.</x:v>
      </x:c>
      <x:c r="D412" s="3" t="str">
        <x:v>TC_NEWS_065</x:v>
      </x:c>
      <x:c r="E412" s="3" t="str">
        <x:v>/api/public/news page=1</x:v>
      </x:c>
      <x:c r="F412" s="3" t="str">
        <x:v>Designed — chưa thực thi</x:v>
      </x:c>
      <x:c r="G412" s="3" t="str">
        <x:v>Nguồn: backend/src/modules/cms/cms.routes.ts.  Baseline: docs/ba/02-requirements/VGG_REQ-WORKBOOK_v0.1_2026-09-04.xlsx / Requirements; </x:v>
      </x:c>
    </x:row>
    <x:row r="413" ht="36" customHeight="1">
      <x:c r="A413" s="3" t="str">
        <x:v>PUB-003</x:v>
      </x:c>
      <x:c r="B413" s="3" t="str">
        <x:v>NEWS</x:v>
      </x:c>
      <x:c r="C413" s="3" t="str">
        <x:v>API công khai chỉ được trả tin trạng thái PUBLISHED và đúng điều kiện thời gian công bố.</x:v>
      </x:c>
      <x:c r="D413" s="3" t="str">
        <x:v>TC_NEWS_066</x:v>
      </x:c>
      <x:c r="E413" s="3" t="str">
        <x:v>/api/public/news page=2</x:v>
      </x:c>
      <x:c r="F413" s="3" t="str">
        <x:v>Designed — chưa thực thi</x:v>
      </x:c>
      <x:c r="G413" s="3" t="str">
        <x:v>Nguồn: backend/src/modules/cms/cms.routes.ts.  Baseline: docs/ba/02-requirements/VGG_REQ-WORKBOOK_v0.1_2026-09-04.xlsx / Requirements; </x:v>
      </x:c>
    </x:row>
    <x:row r="414" ht="36" customHeight="1">
      <x:c r="A414" s="3" t="str">
        <x:v>PUB-003</x:v>
      </x:c>
      <x:c r="B414" s="3" t="str">
        <x:v>NEWS</x:v>
      </x:c>
      <x:c r="C414" s="3" t="str">
        <x:v>API công khai chỉ được trả tin trạng thái PUBLISHED và đúng điều kiện thời gian công bố.</x:v>
      </x:c>
      <x:c r="D414" s="3" t="str">
        <x:v>TC_NEWS_067</x:v>
      </x:c>
      <x:c r="E414" s="3" t="str">
        <x:v>/api/public/news page=-1</x:v>
      </x:c>
      <x:c r="F414" s="3" t="str">
        <x:v>Designed — chưa thực thi</x:v>
      </x:c>
      <x:c r="G414" s="3" t="str">
        <x:v>Nguồn: backend/src/modules/cms/cms.routes.ts.  Baseline: docs/ba/02-requirements/VGG_REQ-WORKBOOK_v0.1_2026-09-04.xlsx / Requirements; </x:v>
      </x:c>
    </x:row>
    <x:row r="415" ht="36" customHeight="1">
      <x:c r="A415" s="3" t="str">
        <x:v>PUB-003</x:v>
      </x:c>
      <x:c r="B415" s="3" t="str">
        <x:v>NEWS</x:v>
      </x:c>
      <x:c r="C415" s="3" t="str">
        <x:v>API công khai chỉ được trả tin trạng thái PUBLISHED và đúng điều kiện thời gian công bố.</x:v>
      </x:c>
      <x:c r="D415" s="3" t="str">
        <x:v>TC_NEWS_068</x:v>
      </x:c>
      <x:c r="E415" s="3" t="str">
        <x:v>/api/public/news page=1.5</x:v>
      </x:c>
      <x:c r="F415" s="3" t="str">
        <x:v>Designed — chưa thực thi</x:v>
      </x:c>
      <x:c r="G415" s="3" t="str">
        <x:v>Nguồn: backend/src/modules/cms/cms.routes.ts.  Baseline: docs/ba/02-requirements/VGG_REQ-WORKBOOK_v0.1_2026-09-04.xlsx / Requirements; </x:v>
      </x:c>
    </x:row>
    <x:row r="416" ht="36" customHeight="1">
      <x:c r="A416" s="3" t="str">
        <x:v>RES-001</x:v>
      </x:c>
      <x:c r="B416" s="3" t="str">
        <x:v>RESOURCE</x:v>
      </x:c>
      <x:c r="C416" s="3" t="str">
        <x:v>Người có resources.create phải tải tệp được phép và tạo bản ghi gắn danh mục.</x:v>
      </x:c>
      <x:c r="D416" s="3" t="str">
        <x:v>TC_RESOURCE_066</x:v>
      </x:c>
      <x:c r="E416" s="3" t="str">
        <x:v>/api/admin/resources limit=0</x:v>
      </x:c>
      <x:c r="F416" s="3" t="str">
        <x:v>Designed — chưa thực thi</x:v>
      </x:c>
      <x:c r="G416" s="3" t="str">
        <x:v>Nguồn: backend/src/modules/cms/cms.routes.ts.  Baseline: docs/ba/02-requirements/VGG_REQ-WORKBOOK_v0.1_2026-09-04.xlsx / Requirements; Backend 50 MB, Admin mặc định 25 MB: cần thống nhất</x:v>
      </x:c>
    </x:row>
    <x:row r="417" ht="36" customHeight="1">
      <x:c r="A417" s="3" t="str">
        <x:v>RES-001</x:v>
      </x:c>
      <x:c r="B417" s="3" t="str">
        <x:v>RESOURCE</x:v>
      </x:c>
      <x:c r="C417" s="3" t="str">
        <x:v>Người có resources.create phải tải tệp được phép và tạo bản ghi gắn danh mục.</x:v>
      </x:c>
      <x:c r="D417" s="3" t="str">
        <x:v>TC_RESOURCE_067</x:v>
      </x:c>
      <x:c r="E417" s="3" t="str">
        <x:v>/api/admin/resources limit=1</x:v>
      </x:c>
      <x:c r="F417" s="3" t="str">
        <x:v>Designed — chưa thực thi</x:v>
      </x:c>
      <x:c r="G417" s="3" t="str">
        <x:v>Nguồn: backend/src/modules/cms/cms.routes.ts.  Baseline: docs/ba/02-requirements/VGG_REQ-WORKBOOK_v0.1_2026-09-04.xlsx / Requirements; Backend 50 MB, Admin mặc định 25 MB: cần thống nhất</x:v>
      </x:c>
    </x:row>
    <x:row r="418" ht="36" customHeight="1">
      <x:c r="A418" s="3" t="str">
        <x:v>RES-001</x:v>
      </x:c>
      <x:c r="B418" s="3" t="str">
        <x:v>RESOURCE</x:v>
      </x:c>
      <x:c r="C418" s="3" t="str">
        <x:v>Người có resources.create phải tải tệp được phép và tạo bản ghi gắn danh mục.</x:v>
      </x:c>
      <x:c r="D418" s="3" t="str">
        <x:v>TC_RESOURCE_068</x:v>
      </x:c>
      <x:c r="E418" s="3" t="str">
        <x:v>/api/admin/resources limit=2</x:v>
      </x:c>
      <x:c r="F418" s="3" t="str">
        <x:v>Designed — chưa thực thi</x:v>
      </x:c>
      <x:c r="G418" s="3" t="str">
        <x:v>Nguồn: backend/src/modules/cms/cms.routes.ts.  Baseline: docs/ba/02-requirements/VGG_REQ-WORKBOOK_v0.1_2026-09-04.xlsx / Requirements; Backend 50 MB, Admin mặc định 25 MB: cần thống nhất</x:v>
      </x:c>
    </x:row>
    <x:row r="419" ht="36" customHeight="1">
      <x:c r="A419" s="3" t="str">
        <x:v>RES-001</x:v>
      </x:c>
      <x:c r="B419" s="3" t="str">
        <x:v>RESOURCE</x:v>
      </x:c>
      <x:c r="C419" s="3" t="str">
        <x:v>Người có resources.create phải tải tệp được phép và tạo bản ghi gắn danh mục.</x:v>
      </x:c>
      <x:c r="D419" s="3" t="str">
        <x:v>TC_RESOURCE_069</x:v>
      </x:c>
      <x:c r="E419" s="3" t="str">
        <x:v>/api/admin/resources limit=99</x:v>
      </x:c>
      <x:c r="F419" s="3" t="str">
        <x:v>Designed — chưa thực thi</x:v>
      </x:c>
      <x:c r="G419" s="3" t="str">
        <x:v>Nguồn: backend/src/modules/cms/cms.routes.ts.  Baseline: docs/ba/02-requirements/VGG_REQ-WORKBOOK_v0.1_2026-09-04.xlsx / Requirements; Backend 50 MB, Admin mặc định 25 MB: cần thống nhất</x:v>
      </x:c>
    </x:row>
    <x:row r="420" ht="36" customHeight="1">
      <x:c r="A420" s="3" t="str">
        <x:v>RES-001</x:v>
      </x:c>
      <x:c r="B420" s="3" t="str">
        <x:v>RESOURCE</x:v>
      </x:c>
      <x:c r="C420" s="3" t="str">
        <x:v>Người có resources.create phải tải tệp được phép và tạo bản ghi gắn danh mục.</x:v>
      </x:c>
      <x:c r="D420" s="3" t="str">
        <x:v>TC_RESOURCE_070</x:v>
      </x:c>
      <x:c r="E420" s="3" t="str">
        <x:v>/api/admin/resources limit=100</x:v>
      </x:c>
      <x:c r="F420" s="3" t="str">
        <x:v>Designed — chưa thực thi</x:v>
      </x:c>
      <x:c r="G420" s="3" t="str">
        <x:v>Nguồn: backend/src/modules/cms/cms.routes.ts.  Baseline: docs/ba/02-requirements/VGG_REQ-WORKBOOK_v0.1_2026-09-04.xlsx / Requirements; Backend 50 MB, Admin mặc định 25 MB: cần thống nhất</x:v>
      </x:c>
    </x:row>
    <x:row r="421" ht="36" customHeight="1">
      <x:c r="A421" s="3" t="str">
        <x:v>RES-001</x:v>
      </x:c>
      <x:c r="B421" s="3" t="str">
        <x:v>RESOURCE</x:v>
      </x:c>
      <x:c r="C421" s="3" t="str">
        <x:v>Người có resources.create phải tải tệp được phép và tạo bản ghi gắn danh mục.</x:v>
      </x:c>
      <x:c r="D421" s="3" t="str">
        <x:v>TC_RESOURCE_071</x:v>
      </x:c>
      <x:c r="E421" s="3" t="str">
        <x:v>/api/admin/resources limit=101</x:v>
      </x:c>
      <x:c r="F421" s="3" t="str">
        <x:v>Designed — chưa thực thi</x:v>
      </x:c>
      <x:c r="G421" s="3" t="str">
        <x:v>Nguồn: backend/src/modules/cms/cms.routes.ts.  Baseline: docs/ba/02-requirements/VGG_REQ-WORKBOOK_v0.1_2026-09-04.xlsx / Requirements; Backend 50 MB, Admin mặc định 25 MB: cần thống nhất</x:v>
      </x:c>
    </x:row>
    <x:row r="422" ht="36" customHeight="1">
      <x:c r="A422" s="3" t="str">
        <x:v>RES-001</x:v>
      </x:c>
      <x:c r="B422" s="3" t="str">
        <x:v>RESOURCE</x:v>
      </x:c>
      <x:c r="C422" s="3" t="str">
        <x:v>Người có resources.create phải tải tệp được phép và tạo bản ghi gắn danh mục.</x:v>
      </x:c>
      <x:c r="D422" s="3" t="str">
        <x:v>TC_RESOURCE_072</x:v>
      </x:c>
      <x:c r="E422" s="3" t="str">
        <x:v>/api/admin/resources page=0</x:v>
      </x:c>
      <x:c r="F422" s="3" t="str">
        <x:v>Designed — chưa thực thi</x:v>
      </x:c>
      <x:c r="G422" s="3" t="str">
        <x:v>Nguồn: backend/src/modules/cms/cms.routes.ts.  Baseline: docs/ba/02-requirements/VGG_REQ-WORKBOOK_v0.1_2026-09-04.xlsx / Requirements; Backend 50 MB, Admin mặc định 25 MB: cần thống nhất</x:v>
      </x:c>
    </x:row>
    <x:row r="423" ht="36" customHeight="1">
      <x:c r="A423" s="3" t="str">
        <x:v>RES-001</x:v>
      </x:c>
      <x:c r="B423" s="3" t="str">
        <x:v>RESOURCE</x:v>
      </x:c>
      <x:c r="C423" s="3" t="str">
        <x:v>Người có resources.create phải tải tệp được phép và tạo bản ghi gắn danh mục.</x:v>
      </x:c>
      <x:c r="D423" s="3" t="str">
        <x:v>TC_RESOURCE_073</x:v>
      </x:c>
      <x:c r="E423" s="3" t="str">
        <x:v>/api/admin/resources page=1</x:v>
      </x:c>
      <x:c r="F423" s="3" t="str">
        <x:v>Designed — chưa thực thi</x:v>
      </x:c>
      <x:c r="G423" s="3" t="str">
        <x:v>Nguồn: backend/src/modules/cms/cms.routes.ts.  Baseline: docs/ba/02-requirements/VGG_REQ-WORKBOOK_v0.1_2026-09-04.xlsx / Requirements; Backend 50 MB, Admin mặc định 25 MB: cần thống nhất</x:v>
      </x:c>
    </x:row>
    <x:row r="424" ht="36" customHeight="1">
      <x:c r="A424" s="3" t="str">
        <x:v>RES-001</x:v>
      </x:c>
      <x:c r="B424" s="3" t="str">
        <x:v>RESOURCE</x:v>
      </x:c>
      <x:c r="C424" s="3" t="str">
        <x:v>Người có resources.create phải tải tệp được phép và tạo bản ghi gắn danh mục.</x:v>
      </x:c>
      <x:c r="D424" s="3" t="str">
        <x:v>TC_RESOURCE_074</x:v>
      </x:c>
      <x:c r="E424" s="3" t="str">
        <x:v>/api/admin/resources page=2</x:v>
      </x:c>
      <x:c r="F424" s="3" t="str">
        <x:v>Designed — chưa thực thi</x:v>
      </x:c>
      <x:c r="G424" s="3" t="str">
        <x:v>Nguồn: backend/src/modules/cms/cms.routes.ts.  Baseline: docs/ba/02-requirements/VGG_REQ-WORKBOOK_v0.1_2026-09-04.xlsx / Requirements; Backend 50 MB, Admin mặc định 25 MB: cần thống nhất</x:v>
      </x:c>
    </x:row>
    <x:row r="425" ht="36" customHeight="1">
      <x:c r="A425" s="3" t="str">
        <x:v>RES-001</x:v>
      </x:c>
      <x:c r="B425" s="3" t="str">
        <x:v>RESOURCE</x:v>
      </x:c>
      <x:c r="C425" s="3" t="str">
        <x:v>Người có resources.create phải tải tệp được phép và tạo bản ghi gắn danh mục.</x:v>
      </x:c>
      <x:c r="D425" s="3" t="str">
        <x:v>TC_RESOURCE_075</x:v>
      </x:c>
      <x:c r="E425" s="3" t="str">
        <x:v>/api/admin/resources page=-1</x:v>
      </x:c>
      <x:c r="F425" s="3" t="str">
        <x:v>Designed — chưa thực thi</x:v>
      </x:c>
      <x:c r="G425" s="3" t="str">
        <x:v>Nguồn: backend/src/modules/cms/cms.routes.ts.  Baseline: docs/ba/02-requirements/VGG_REQ-WORKBOOK_v0.1_2026-09-04.xlsx / Requirements; Backend 50 MB, Admin mặc định 25 MB: cần thống nhất</x:v>
      </x:c>
    </x:row>
    <x:row r="426" ht="36" customHeight="1">
      <x:c r="A426" s="3" t="str">
        <x:v>RES-001</x:v>
      </x:c>
      <x:c r="B426" s="3" t="str">
        <x:v>RESOURCE</x:v>
      </x:c>
      <x:c r="C426" s="3" t="str">
        <x:v>Người có resources.create phải tải tệp được phép và tạo bản ghi gắn danh mục.</x:v>
      </x:c>
      <x:c r="D426" s="3" t="str">
        <x:v>TC_RESOURCE_076</x:v>
      </x:c>
      <x:c r="E426" s="3" t="str">
        <x:v>/api/admin/resources page=1.5</x:v>
      </x:c>
      <x:c r="F426" s="3" t="str">
        <x:v>Designed — chưa thực thi</x:v>
      </x:c>
      <x:c r="G426" s="3" t="str">
        <x:v>Nguồn: backend/src/modules/cms/cms.routes.ts.  Baseline: docs/ba/02-requirements/VGG_REQ-WORKBOOK_v0.1_2026-09-04.xlsx / Requirements; Backend 50 MB, Admin mặc định 25 MB: cần thống nhất</x:v>
      </x:c>
    </x:row>
    <x:row r="427" ht="36" customHeight="1">
      <x:c r="A427" s="3" t="str">
        <x:v>NEWS-003</x:v>
      </x:c>
      <x:c r="B427" s="3" t="str">
        <x:v>MEDIA</x:v>
      </x:c>
      <x:c r="C427" s="3" t="str">
        <x:v>Hệ thống phải nhận JPG/PNG/WebP/AVIF tối đa 8 MB và lưu trong kho đối tượng.</x:v>
      </x:c>
      <x:c r="D427" s="3" t="str">
        <x:v>TC_MEDIA_001</x:v>
      </x:c>
      <x:c r="E427" s="3" t="str">
        <x:v>Upload JPG hợp lệ</x:v>
      </x:c>
      <x:c r="F427" s="3" t="str">
        <x:v>Designed — chưa thực thi</x:v>
      </x:c>
      <x:c r="G427" s="3" t="str">
        <x:v>Nguồn: admin/src/app/api/cms/upload-image/route.ts.  Baseline: docs/ba/02-requirements/VGG_REQ-WORKBOOK_v0.1_2026-09-04.xlsx / Requirements; </x:v>
      </x:c>
    </x:row>
    <x:row r="428" ht="36" customHeight="1">
      <x:c r="A428" s="3" t="str">
        <x:v>NEWS-003</x:v>
      </x:c>
      <x:c r="B428" s="3" t="str">
        <x:v>MEDIA</x:v>
      </x:c>
      <x:c r="C428" s="3" t="str">
        <x:v>Hệ thống phải nhận JPG/PNG/WebP/AVIF tối đa 8 MB và lưu trong kho đối tượng.</x:v>
      </x:c>
      <x:c r="D428" s="3" t="str">
        <x:v>TC_MEDIA_002</x:v>
      </x:c>
      <x:c r="E428" s="3" t="str">
        <x:v>Upload PNG hợp lệ</x:v>
      </x:c>
      <x:c r="F428" s="3" t="str">
        <x:v>Designed — chưa thực thi</x:v>
      </x:c>
      <x:c r="G428" s="3" t="str">
        <x:v>Nguồn: admin/src/app/api/cms/upload-image/route.ts.  Baseline: docs/ba/02-requirements/VGG_REQ-WORKBOOK_v0.1_2026-09-04.xlsx / Requirements; </x:v>
      </x:c>
    </x:row>
    <x:row r="429" ht="36" customHeight="1">
      <x:c r="A429" s="3" t="str">
        <x:v>NEWS-003</x:v>
      </x:c>
      <x:c r="B429" s="3" t="str">
        <x:v>MEDIA</x:v>
      </x:c>
      <x:c r="C429" s="3" t="str">
        <x:v>Hệ thống phải nhận JPG/PNG/WebP/AVIF tối đa 8 MB và lưu trong kho đối tượng.</x:v>
      </x:c>
      <x:c r="D429" s="3" t="str">
        <x:v>TC_MEDIA_003</x:v>
      </x:c>
      <x:c r="E429" s="3" t="str">
        <x:v>Upload WEBP hợp lệ</x:v>
      </x:c>
      <x:c r="F429" s="3" t="str">
        <x:v>Designed — chưa thực thi</x:v>
      </x:c>
      <x:c r="G429" s="3" t="str">
        <x:v>Nguồn: admin/src/app/api/cms/upload-image/route.ts.  Baseline: docs/ba/02-requirements/VGG_REQ-WORKBOOK_v0.1_2026-09-04.xlsx / Requirements; </x:v>
      </x:c>
    </x:row>
    <x:row r="430" ht="36" customHeight="1">
      <x:c r="A430" s="3" t="str">
        <x:v>NEWS-003</x:v>
      </x:c>
      <x:c r="B430" s="3" t="str">
        <x:v>MEDIA</x:v>
      </x:c>
      <x:c r="C430" s="3" t="str">
        <x:v>Hệ thống phải nhận JPG/PNG/WebP/AVIF tối đa 8 MB và lưu trong kho đối tượng.</x:v>
      </x:c>
      <x:c r="D430" s="3" t="str">
        <x:v>TC_MEDIA_004</x:v>
      </x:c>
      <x:c r="E430" s="3" t="str">
        <x:v>Upload AVIF hợp lệ</x:v>
      </x:c>
      <x:c r="F430" s="3" t="str">
        <x:v>Designed — chưa thực thi</x:v>
      </x:c>
      <x:c r="G430" s="3" t="str">
        <x:v>Nguồn: admin/src/app/api/cms/upload-image/route.ts.  Baseline: docs/ba/02-requirements/VGG_REQ-WORKBOOK_v0.1_2026-09-04.xlsx / Requirements; </x:v>
      </x:c>
    </x:row>
    <x:row r="431" ht="49" customHeight="1">
      <x:c r="A431" s="3" t="str">
        <x:v>NEWS-003</x:v>
      </x:c>
      <x:c r="B431" s="3" t="str">
        <x:v>MEDIA</x:v>
      </x:c>
      <x:c r="C431" s="3" t="str">
        <x:v>Hệ thống phải nhận JPG/PNG/WebP/AVIF tối đa 8 MB và lưu trong kho đối tượng.</x:v>
      </x:c>
      <x:c r="D431" s="3" t="str">
        <x:v>TC_MEDIA_005</x:v>
      </x:c>
      <x:c r="E431" s="3" t="str">
        <x:v>/api/cms/upload-image: 0 bytes</x:v>
      </x:c>
      <x:c r="F431" s="3" t="str">
        <x:v>Designed — chưa thực thi</x:v>
      </x:c>
      <x:c r="G431" s="3" t="str">
        <x:v>Nguồn: admin/src/app/api/cms/upload-image/route.ts. Upload resource giả định STORAGE_MAX_RESOURCE_FILE_MB=25 trên QA; thay bộ biên nếu môi trường chọn ngưỡng khác. Baseline: docs/ba/02-requirements/VGG_REQ-WORKBOOK_v0.1_2026-09-04.xlsx / Requirements; </x:v>
      </x:c>
    </x:row>
    <x:row r="432" ht="49" customHeight="1">
      <x:c r="A432" s="3" t="str">
        <x:v>NEWS-003</x:v>
      </x:c>
      <x:c r="B432" s="3" t="str">
        <x:v>MEDIA</x:v>
      </x:c>
      <x:c r="C432" s="3" t="str">
        <x:v>Hệ thống phải nhận JPG/PNG/WebP/AVIF tối đa 8 MB và lưu trong kho đối tượng.</x:v>
      </x:c>
      <x:c r="D432" s="3" t="str">
        <x:v>TC_MEDIA_006</x:v>
      </x:c>
      <x:c r="E432" s="3" t="str">
        <x:v>/api/cms/upload-image: 1 bytes</x:v>
      </x:c>
      <x:c r="F432" s="3" t="str">
        <x:v>Designed — chưa thực thi</x:v>
      </x:c>
      <x:c r="G432" s="3" t="str">
        <x:v>Nguồn: admin/src/app/api/cms/upload-image/route.ts. Upload resource giả định STORAGE_MAX_RESOURCE_FILE_MB=25 trên QA; thay bộ biên nếu môi trường chọn ngưỡng khác. Baseline: docs/ba/02-requirements/VGG_REQ-WORKBOOK_v0.1_2026-09-04.xlsx / Requirements; </x:v>
      </x:c>
    </x:row>
    <x:row r="433" ht="49" customHeight="1">
      <x:c r="A433" s="3" t="str">
        <x:v>NEWS-003</x:v>
      </x:c>
      <x:c r="B433" s="3" t="str">
        <x:v>MEDIA</x:v>
      </x:c>
      <x:c r="C433" s="3" t="str">
        <x:v>Hệ thống phải nhận JPG/PNG/WebP/AVIF tối đa 8 MB và lưu trong kho đối tượng.</x:v>
      </x:c>
      <x:c r="D433" s="3" t="str">
        <x:v>TC_MEDIA_007</x:v>
      </x:c>
      <x:c r="E433" s="3" t="str">
        <x:v>/api/cms/upload-image: 2 bytes</x:v>
      </x:c>
      <x:c r="F433" s="3" t="str">
        <x:v>Designed — chưa thực thi</x:v>
      </x:c>
      <x:c r="G433" s="3" t="str">
        <x:v>Nguồn: admin/src/app/api/cms/upload-image/route.ts. Upload resource giả định STORAGE_MAX_RESOURCE_FILE_MB=25 trên QA; thay bộ biên nếu môi trường chọn ngưỡng khác. Baseline: docs/ba/02-requirements/VGG_REQ-WORKBOOK_v0.1_2026-09-04.xlsx / Requirements; </x:v>
      </x:c>
    </x:row>
    <x:row r="434" ht="49" customHeight="1">
      <x:c r="A434" s="3" t="str">
        <x:v>NEWS-003</x:v>
      </x:c>
      <x:c r="B434" s="3" t="str">
        <x:v>MEDIA</x:v>
      </x:c>
      <x:c r="C434" s="3" t="str">
        <x:v>Hệ thống phải nhận JPG/PNG/WebP/AVIF tối đa 8 MB và lưu trong kho đối tượng.</x:v>
      </x:c>
      <x:c r="D434" s="3" t="str">
        <x:v>TC_MEDIA_008</x:v>
      </x:c>
      <x:c r="E434" s="3" t="str">
        <x:v>/api/cms/upload-image: 8388607 bytes</x:v>
      </x:c>
      <x:c r="F434" s="3" t="str">
        <x:v>Designed — chưa thực thi</x:v>
      </x:c>
      <x:c r="G434" s="3" t="str">
        <x:v>Nguồn: admin/src/app/api/cms/upload-image/route.ts. Upload resource giả định STORAGE_MAX_RESOURCE_FILE_MB=25 trên QA; thay bộ biên nếu môi trường chọn ngưỡng khác. Baseline: docs/ba/02-requirements/VGG_REQ-WORKBOOK_v0.1_2026-09-04.xlsx / Requirements; </x:v>
      </x:c>
    </x:row>
    <x:row r="435" ht="49" customHeight="1">
      <x:c r="A435" s="3" t="str">
        <x:v>NEWS-003</x:v>
      </x:c>
      <x:c r="B435" s="3" t="str">
        <x:v>MEDIA</x:v>
      </x:c>
      <x:c r="C435" s="3" t="str">
        <x:v>Hệ thống phải nhận JPG/PNG/WebP/AVIF tối đa 8 MB và lưu trong kho đối tượng.</x:v>
      </x:c>
      <x:c r="D435" s="3" t="str">
        <x:v>TC_MEDIA_009</x:v>
      </x:c>
      <x:c r="E435" s="3" t="str">
        <x:v>/api/cms/upload-image: 8388608 bytes</x:v>
      </x:c>
      <x:c r="F435" s="3" t="str">
        <x:v>Designed — chưa thực thi</x:v>
      </x:c>
      <x:c r="G435" s="3" t="str">
        <x:v>Nguồn: admin/src/app/api/cms/upload-image/route.ts. Upload resource giả định STORAGE_MAX_RESOURCE_FILE_MB=25 trên QA; thay bộ biên nếu môi trường chọn ngưỡng khác. Baseline: docs/ba/02-requirements/VGG_REQ-WORKBOOK_v0.1_2026-09-04.xlsx / Requirements; </x:v>
      </x:c>
    </x:row>
    <x:row r="436" ht="49" customHeight="1">
      <x:c r="A436" s="3" t="str">
        <x:v>NEWS-003</x:v>
      </x:c>
      <x:c r="B436" s="3" t="str">
        <x:v>MEDIA</x:v>
      </x:c>
      <x:c r="C436" s="3" t="str">
        <x:v>Hệ thống phải nhận JPG/PNG/WebP/AVIF tối đa 8 MB và lưu trong kho đối tượng.</x:v>
      </x:c>
      <x:c r="D436" s="3" t="str">
        <x:v>TC_MEDIA_010</x:v>
      </x:c>
      <x:c r="E436" s="3" t="str">
        <x:v>/api/cms/upload-image: 8388609 bytes</x:v>
      </x:c>
      <x:c r="F436" s="3" t="str">
        <x:v>Designed — chưa thực thi</x:v>
      </x:c>
      <x:c r="G436" s="3" t="str">
        <x:v>Nguồn: admin/src/app/api/cms/upload-image/route.ts. Upload resource giả định STORAGE_MAX_RESOURCE_FILE_MB=25 trên QA; thay bộ biên nếu môi trường chọn ngưỡng khác. Baseline: docs/ba/02-requirements/VGG_REQ-WORKBOOK_v0.1_2026-09-04.xlsx / Requirements; </x:v>
      </x:c>
    </x:row>
    <x:row r="437" ht="36" customHeight="1">
      <x:c r="A437" s="3" t="str">
        <x:v>NEWS-003</x:v>
      </x:c>
      <x:c r="B437" s="3" t="str">
        <x:v>MEDIA</x:v>
      </x:c>
      <x:c r="C437" s="3" t="str">
        <x:v>Hệ thống phải nhận JPG/PNG/WebP/AVIF tối đa 8 MB và lưu trong kho đối tượng.</x:v>
      </x:c>
      <x:c r="D437" s="3" t="str">
        <x:v>TC_MEDIA_011</x:v>
      </x:c>
      <x:c r="E437" s="3" t="str">
        <x:v>Sai extension tại /api/cms/upload-image</x:v>
      </x:c>
      <x:c r="F437" s="3" t="str">
        <x:v>Designed — chưa thực thi</x:v>
      </x:c>
      <x:c r="G437" s="3" t="str">
        <x:v>Nguồn: admin/src/app/api/cms/upload-image/route.ts.  Baseline: docs/ba/02-requirements/VGG_REQ-WORKBOOK_v0.1_2026-09-04.xlsx / Requirements; </x:v>
      </x:c>
    </x:row>
    <x:row r="438" ht="36" customHeight="1">
      <x:c r="A438" s="3" t="str">
        <x:v>NEWS-003</x:v>
      </x:c>
      <x:c r="B438" s="3" t="str">
        <x:v>MEDIA</x:v>
      </x:c>
      <x:c r="C438" s="3" t="str">
        <x:v>Hệ thống phải nhận JPG/PNG/WebP/AVIF tối đa 8 MB và lưu trong kho đối tượng.</x:v>
      </x:c>
      <x:c r="D438" s="3" t="str">
        <x:v>TC_MEDIA_012</x:v>
      </x:c>
      <x:c r="E438" s="3" t="str">
        <x:v>Giả mạo extension tại /api/cms/upload-image</x:v>
      </x:c>
      <x:c r="F438" s="3" t="str">
        <x:v>Designed — chưa thực thi</x:v>
      </x:c>
      <x:c r="G438" s="3" t="str">
        <x:v>Nguồn: admin/src/app/api/cms/upload-image/route.ts.  Baseline: docs/ba/02-requirements/VGG_REQ-WORKBOOK_v0.1_2026-09-04.xlsx / Requirements; </x:v>
      </x:c>
    </x:row>
    <x:row r="439" ht="36" customHeight="1">
      <x:c r="A439" s="3" t="str">
        <x:v>NEWS-003</x:v>
      </x:c>
      <x:c r="B439" s="3" t="str">
        <x:v>MEDIA</x:v>
      </x:c>
      <x:c r="C439" s="3" t="str">
        <x:v>Hệ thống phải nhận JPG/PNG/WebP/AVIF tối đa 8 MB và lưu trong kho đối tượng.</x:v>
      </x:c>
      <x:c r="D439" s="3" t="str">
        <x:v>TC_MEDIA_013</x:v>
      </x:c>
      <x:c r="E439" s="3" t="str">
        <x:v>Header hợp lệ nhưng file hỏng tại /api/cms/upload-image</x:v>
      </x:c>
      <x:c r="F439" s="3" t="str">
        <x:v>Designed — chưa thực thi</x:v>
      </x:c>
      <x:c r="G439" s="3" t="str">
        <x:v>Nguồn: admin/src/app/api/cms/upload-image/route.ts.  Baseline: docs/ba/02-requirements/VGG_REQ-WORKBOOK_v0.1_2026-09-04.xlsx / Requirements; </x:v>
      </x:c>
    </x:row>
    <x:row r="440" ht="36" customHeight="1">
      <x:c r="A440" s="3" t="str">
        <x:v>NEWS-003</x:v>
      </x:c>
      <x:c r="B440" s="3" t="str">
        <x:v>MEDIA</x:v>
      </x:c>
      <x:c r="C440" s="3" t="str">
        <x:v>Hệ thống phải nhận JPG/PNG/WebP/AVIF tối đa 8 MB và lưu trong kho đối tượng.</x:v>
      </x:c>
      <x:c r="D440" s="3" t="str">
        <x:v>TC_MEDIA_014</x:v>
      </x:c>
      <x:c r="E440" s="3" t="str">
        <x:v>Tên tiếng Việt tại /api/cms/upload-image</x:v>
      </x:c>
      <x:c r="F440" s="3" t="str">
        <x:v>Designed — chưa thực thi</x:v>
      </x:c>
      <x:c r="G440" s="3" t="str">
        <x:v>Nguồn: admin/src/app/api/cms/upload-image/route.ts.  Baseline: docs/ba/02-requirements/VGG_REQ-WORKBOOK_v0.1_2026-09-04.xlsx / Requirements; </x:v>
      </x:c>
    </x:row>
    <x:row r="441" ht="36" customHeight="1">
      <x:c r="A441" s="3" t="str">
        <x:v>NEWS-003</x:v>
      </x:c>
      <x:c r="B441" s="3" t="str">
        <x:v>MEDIA</x:v>
      </x:c>
      <x:c r="C441" s="3" t="str">
        <x:v>Hệ thống phải nhận JPG/PNG/WebP/AVIF tối đa 8 MB và lưu trong kho đối tượng.</x:v>
      </x:c>
      <x:c r="D441" s="3" t="str">
        <x:v>TC_MEDIA_015</x:v>
      </x:c>
      <x:c r="E441" s="3" t="str">
        <x:v>Trùng tên tại /api/cms/upload-image</x:v>
      </x:c>
      <x:c r="F441" s="3" t="str">
        <x:v>Designed — chưa thực thi</x:v>
      </x:c>
      <x:c r="G441" s="3" t="str">
        <x:v>Nguồn: admin/src/app/api/cms/upload-image/route.ts.  Baseline: docs/ba/02-requirements/VGG_REQ-WORKBOOK_v0.1_2026-09-04.xlsx / Requirements; </x:v>
      </x:c>
    </x:row>
    <x:row r="442" ht="36" customHeight="1">
      <x:c r="A442" s="3" t="str">
        <x:v>NEWS-003</x:v>
      </x:c>
      <x:c r="B442" s="3" t="str">
        <x:v>MEDIA</x:v>
      </x:c>
      <x:c r="C442" s="3" t="str">
        <x:v>Hệ thống phải nhận JPG/PNG/WebP/AVIF tối đa 8 MB và lưu trong kho đối tượng.</x:v>
      </x:c>
      <x:c r="D442" s="3" t="str">
        <x:v>TC_MEDIA_016</x:v>
      </x:c>
      <x:c r="E442" s="3" t="str">
        <x:v>Tên có traversal tại /api/cms/upload-image</x:v>
      </x:c>
      <x:c r="F442" s="3" t="str">
        <x:v>Designed — chưa thực thi</x:v>
      </x:c>
      <x:c r="G442" s="3" t="str">
        <x:v>Nguồn: admin/src/app/api/cms/upload-image/route.ts.  Baseline: docs/ba/02-requirements/VGG_REQ-WORKBOOK_v0.1_2026-09-04.xlsx / Requirements; </x:v>
      </x:c>
    </x:row>
    <x:row r="443" ht="36" customHeight="1">
      <x:c r="A443" s="3" t="str">
        <x:v>NEWS-003</x:v>
      </x:c>
      <x:c r="B443" s="3" t="str">
        <x:v>MEDIA</x:v>
      </x:c>
      <x:c r="C443" s="3" t="str">
        <x:v>Hệ thống phải nhận JPG/PNG/WebP/AVIF tối đa 8 MB và lưu trong kho đối tượng.</x:v>
      </x:c>
      <x:c r="D443" s="3" t="str">
        <x:v>TC_MEDIA_017</x:v>
      </x:c>
      <x:c r="E443" s="3" t="str">
        <x:v>Storage ngắt tại /api/cms/upload-image</x:v>
      </x:c>
      <x:c r="F443" s="3" t="str">
        <x:v>Designed — chưa thực thi</x:v>
      </x:c>
      <x:c r="G443" s="3" t="str">
        <x:v>Nguồn: admin/src/app/api/cms/upload-image/route.ts.  Baseline: docs/ba/02-requirements/VGG_REQ-WORKBOOK_v0.1_2026-09-04.xlsx / Requirements; </x:v>
      </x:c>
    </x:row>
    <x:row r="444" ht="36" customHeight="1">
      <x:c r="A444" s="3" t="str">
        <x:v>NEWS-003</x:v>
      </x:c>
      <x:c r="B444" s="3" t="str">
        <x:v>MEDIA</x:v>
      </x:c>
      <x:c r="C444" s="3" t="str">
        <x:v>Hệ thống phải nhận JPG/PNG/WebP/AVIF tối đa 8 MB và lưu trong kho đối tượng.</x:v>
      </x:c>
      <x:c r="D444" s="3" t="str">
        <x:v>TC_MEDIA_018</x:v>
      </x:c>
      <x:c r="E444" s="3" t="str">
        <x:v>Mất mạng giữa upload tại /api/cms/upload-image</x:v>
      </x:c>
      <x:c r="F444" s="3" t="str">
        <x:v>Designed — chưa thực thi</x:v>
      </x:c>
      <x:c r="G444" s="3" t="str">
        <x:v>Nguồn: admin/src/app/api/cms/upload-image/route.ts.  Baseline: docs/ba/02-requirements/VGG_REQ-WORKBOOK_v0.1_2026-09-04.xlsx / Requirements; </x:v>
      </x:c>
    </x:row>
    <x:row r="445" ht="36" customHeight="1">
      <x:c r="A445" s="3" t="str">
        <x:v>NEWS-002</x:v>
      </x:c>
      <x:c r="B445" s="3" t="str">
        <x:v>WORD</x:v>
      </x:c>
      <x:c r="C445" s="3" t="str">
        <x:v>Trình soạn thảo phải hỗ trợ định dạng cho phép và làm sạch HTML trước khi lưu/hiển thị.</x:v>
      </x:c>
      <x:c r="D445" s="3" t="str">
        <x:v>TC_WORD_001</x:v>
      </x:c>
      <x:c r="E445" s="3" t="str">
        <x:v>Upload DOCX hợp lệ</x:v>
      </x:c>
      <x:c r="F445" s="3" t="str">
        <x:v>Designed — chưa thực thi</x:v>
      </x:c>
      <x:c r="G445" s="3" t="str">
        <x:v>Nguồn: admin/src/app/api/cms/import-word/route.ts.  Baseline: docs/ba/02-requirements/VGG_REQ-WORKBOOK_v0.1_2026-09-04.xlsx / Requirements; Hành vi clipboard mới là quan sát code, chưa phải yêu cầu phê duyệt</x:v>
      </x:c>
    </x:row>
    <x:row r="446" ht="49" customHeight="1">
      <x:c r="A446" s="3" t="str">
        <x:v>NEWS-002</x:v>
      </x:c>
      <x:c r="B446" s="3" t="str">
        <x:v>WORD</x:v>
      </x:c>
      <x:c r="C446" s="3" t="str">
        <x:v>Trình soạn thảo phải hỗ trợ định dạng cho phép và làm sạch HTML trước khi lưu/hiển thị.</x:v>
      </x:c>
      <x:c r="D446" s="3" t="str">
        <x:v>TC_WORD_002</x:v>
      </x:c>
      <x:c r="E446" s="3" t="str">
        <x:v>/api/cms/import-word: 0 bytes</x:v>
      </x:c>
      <x:c r="F446" s="3" t="str">
        <x:v>Designed — chưa thực thi</x:v>
      </x:c>
      <x:c r="G446" s="3" t="str">
        <x:v>Nguồn: admin/src/app/api/cms/import-word/route.ts. Upload resource giả định STORAGE_MAX_RESOURCE_FILE_MB=25 trên QA; thay bộ biên nếu môi trường chọn ngưỡng khác. Baseline: docs/ba/02-requirements/VGG_REQ-WORKBOOK_v0.1_2026-09-04.xlsx / Requirements; Hành vi clipboard mới là quan sát code, chưa phải yêu cầu phê duyệt</x:v>
      </x:c>
    </x:row>
    <x:row r="447" ht="49" customHeight="1">
      <x:c r="A447" s="3" t="str">
        <x:v>NEWS-002</x:v>
      </x:c>
      <x:c r="B447" s="3" t="str">
        <x:v>WORD</x:v>
      </x:c>
      <x:c r="C447" s="3" t="str">
        <x:v>Trình soạn thảo phải hỗ trợ định dạng cho phép và làm sạch HTML trước khi lưu/hiển thị.</x:v>
      </x:c>
      <x:c r="D447" s="3" t="str">
        <x:v>TC_WORD_003</x:v>
      </x:c>
      <x:c r="E447" s="3" t="str">
        <x:v>/api/cms/import-word: 1 bytes</x:v>
      </x:c>
      <x:c r="F447" s="3" t="str">
        <x:v>Designed — chưa thực thi</x:v>
      </x:c>
      <x:c r="G447" s="3" t="str">
        <x:v>Nguồn: admin/src/app/api/cms/import-word/route.ts. Upload resource giả định STORAGE_MAX_RESOURCE_FILE_MB=25 trên QA; thay bộ biên nếu môi trường chọn ngưỡng khác. Baseline: docs/ba/02-requirements/VGG_REQ-WORKBOOK_v0.1_2026-09-04.xlsx / Requirements; Hành vi clipboard mới là quan sát code, chưa phải yêu cầu phê duyệt</x:v>
      </x:c>
    </x:row>
    <x:row r="448" ht="49" customHeight="1">
      <x:c r="A448" s="3" t="str">
        <x:v>NEWS-002</x:v>
      </x:c>
      <x:c r="B448" s="3" t="str">
        <x:v>WORD</x:v>
      </x:c>
      <x:c r="C448" s="3" t="str">
        <x:v>Trình soạn thảo phải hỗ trợ định dạng cho phép và làm sạch HTML trước khi lưu/hiển thị.</x:v>
      </x:c>
      <x:c r="D448" s="3" t="str">
        <x:v>TC_WORD_004</x:v>
      </x:c>
      <x:c r="E448" s="3" t="str">
        <x:v>/api/cms/import-word: 2 bytes</x:v>
      </x:c>
      <x:c r="F448" s="3" t="str">
        <x:v>Designed — chưa thực thi</x:v>
      </x:c>
      <x:c r="G448" s="3" t="str">
        <x:v>Nguồn: admin/src/app/api/cms/import-word/route.ts. Upload resource giả định STORAGE_MAX_RESOURCE_FILE_MB=25 trên QA; thay bộ biên nếu môi trường chọn ngưỡng khác. Baseline: docs/ba/02-requirements/VGG_REQ-WORKBOOK_v0.1_2026-09-04.xlsx / Requirements; Hành vi clipboard mới là quan sát code, chưa phải yêu cầu phê duyệt</x:v>
      </x:c>
    </x:row>
    <x:row r="449" ht="49" customHeight="1">
      <x:c r="A449" s="3" t="str">
        <x:v>NEWS-002</x:v>
      </x:c>
      <x:c r="B449" s="3" t="str">
        <x:v>WORD</x:v>
      </x:c>
      <x:c r="C449" s="3" t="str">
        <x:v>Trình soạn thảo phải hỗ trợ định dạng cho phép và làm sạch HTML trước khi lưu/hiển thị.</x:v>
      </x:c>
      <x:c r="D449" s="3" t="str">
        <x:v>TC_WORD_005</x:v>
      </x:c>
      <x:c r="E449" s="3" t="str">
        <x:v>/api/cms/import-word: 10485759 bytes</x:v>
      </x:c>
      <x:c r="F449" s="3" t="str">
        <x:v>Designed — chưa thực thi</x:v>
      </x:c>
      <x:c r="G449" s="3" t="str">
        <x:v>Nguồn: admin/src/app/api/cms/import-word/route.ts. Upload resource giả định STORAGE_MAX_RESOURCE_FILE_MB=25 trên QA; thay bộ biên nếu môi trường chọn ngưỡng khác. Baseline: docs/ba/02-requirements/VGG_REQ-WORKBOOK_v0.1_2026-09-04.xlsx / Requirements; Hành vi clipboard mới là quan sát code, chưa phải yêu cầu phê duyệt</x:v>
      </x:c>
    </x:row>
    <x:row r="450" ht="49" customHeight="1">
      <x:c r="A450" s="3" t="str">
        <x:v>NEWS-002</x:v>
      </x:c>
      <x:c r="B450" s="3" t="str">
        <x:v>WORD</x:v>
      </x:c>
      <x:c r="C450" s="3" t="str">
        <x:v>Trình soạn thảo phải hỗ trợ định dạng cho phép và làm sạch HTML trước khi lưu/hiển thị.</x:v>
      </x:c>
      <x:c r="D450" s="3" t="str">
        <x:v>TC_WORD_006</x:v>
      </x:c>
      <x:c r="E450" s="3" t="str">
        <x:v>/api/cms/import-word: 10485760 bytes</x:v>
      </x:c>
      <x:c r="F450" s="3" t="str">
        <x:v>Designed — chưa thực thi</x:v>
      </x:c>
      <x:c r="G450" s="3" t="str">
        <x:v>Nguồn: admin/src/app/api/cms/import-word/route.ts. Upload resource giả định STORAGE_MAX_RESOURCE_FILE_MB=25 trên QA; thay bộ biên nếu môi trường chọn ngưỡng khác. Baseline: docs/ba/02-requirements/VGG_REQ-WORKBOOK_v0.1_2026-09-04.xlsx / Requirements; Hành vi clipboard mới là quan sát code, chưa phải yêu cầu phê duyệt</x:v>
      </x:c>
    </x:row>
    <x:row r="451" ht="49" customHeight="1">
      <x:c r="A451" s="3" t="str">
        <x:v>NEWS-002</x:v>
      </x:c>
      <x:c r="B451" s="3" t="str">
        <x:v>WORD</x:v>
      </x:c>
      <x:c r="C451" s="3" t="str">
        <x:v>Trình soạn thảo phải hỗ trợ định dạng cho phép và làm sạch HTML trước khi lưu/hiển thị.</x:v>
      </x:c>
      <x:c r="D451" s="3" t="str">
        <x:v>TC_WORD_007</x:v>
      </x:c>
      <x:c r="E451" s="3" t="str">
        <x:v>/api/cms/import-word: 10485761 bytes</x:v>
      </x:c>
      <x:c r="F451" s="3" t="str">
        <x:v>Designed — chưa thực thi</x:v>
      </x:c>
      <x:c r="G451" s="3" t="str">
        <x:v>Nguồn: admin/src/app/api/cms/import-word/route.ts. Upload resource giả định STORAGE_MAX_RESOURCE_FILE_MB=25 trên QA; thay bộ biên nếu môi trường chọn ngưỡng khác. Baseline: docs/ba/02-requirements/VGG_REQ-WORKBOOK_v0.1_2026-09-04.xlsx / Requirements; Hành vi clipboard mới là quan sát code, chưa phải yêu cầu phê duyệt</x:v>
      </x:c>
    </x:row>
    <x:row r="452" ht="36" customHeight="1">
      <x:c r="A452" s="3" t="str">
        <x:v>NEWS-002</x:v>
      </x:c>
      <x:c r="B452" s="3" t="str">
        <x:v>WORD</x:v>
      </x:c>
      <x:c r="C452" s="3" t="str">
        <x:v>Trình soạn thảo phải hỗ trợ định dạng cho phép và làm sạch HTML trước khi lưu/hiển thị.</x:v>
      </x:c>
      <x:c r="D452" s="3" t="str">
        <x:v>TC_WORD_008</x:v>
      </x:c>
      <x:c r="E452" s="3" t="str">
        <x:v>Sai extension tại /api/cms/import-word</x:v>
      </x:c>
      <x:c r="F452" s="3" t="str">
        <x:v>Designed — chưa thực thi</x:v>
      </x:c>
      <x:c r="G452" s="3" t="str">
        <x:v>Nguồn: admin/src/app/api/cms/import-word/route.ts.  Baseline: docs/ba/02-requirements/VGG_REQ-WORKBOOK_v0.1_2026-09-04.xlsx / Requirements; Hành vi clipboard mới là quan sát code, chưa phải yêu cầu phê duyệt</x:v>
      </x:c>
    </x:row>
    <x:row r="453" ht="36" customHeight="1">
      <x:c r="A453" s="3" t="str">
        <x:v>NEWS-002</x:v>
      </x:c>
      <x:c r="B453" s="3" t="str">
        <x:v>WORD</x:v>
      </x:c>
      <x:c r="C453" s="3" t="str">
        <x:v>Trình soạn thảo phải hỗ trợ định dạng cho phép và làm sạch HTML trước khi lưu/hiển thị.</x:v>
      </x:c>
      <x:c r="D453" s="3" t="str">
        <x:v>TC_WORD_009</x:v>
      </x:c>
      <x:c r="E453" s="3" t="str">
        <x:v>Giả mạo extension tại /api/cms/import-word</x:v>
      </x:c>
      <x:c r="F453" s="3" t="str">
        <x:v>Designed — chưa thực thi</x:v>
      </x:c>
      <x:c r="G453" s="3" t="str">
        <x:v>Nguồn: admin/src/app/api/cms/import-word/route.ts.  Baseline: docs/ba/02-requirements/VGG_REQ-WORKBOOK_v0.1_2026-09-04.xlsx / Requirements; Hành vi clipboard mới là quan sát code, chưa phải yêu cầu phê duyệt</x:v>
      </x:c>
    </x:row>
    <x:row r="454" ht="36" customHeight="1">
      <x:c r="A454" s="3" t="str">
        <x:v>NEWS-002</x:v>
      </x:c>
      <x:c r="B454" s="3" t="str">
        <x:v>WORD</x:v>
      </x:c>
      <x:c r="C454" s="3" t="str">
        <x:v>Trình soạn thảo phải hỗ trợ định dạng cho phép và làm sạch HTML trước khi lưu/hiển thị.</x:v>
      </x:c>
      <x:c r="D454" s="3" t="str">
        <x:v>TC_WORD_010</x:v>
      </x:c>
      <x:c r="E454" s="3" t="str">
        <x:v>Header hợp lệ nhưng file hỏng tại /api/cms/import-word</x:v>
      </x:c>
      <x:c r="F454" s="3" t="str">
        <x:v>Designed — chưa thực thi</x:v>
      </x:c>
      <x:c r="G454" s="3" t="str">
        <x:v>Nguồn: admin/src/app/api/cms/import-word/route.ts.  Baseline: docs/ba/02-requirements/VGG_REQ-WORKBOOK_v0.1_2026-09-04.xlsx / Requirements; Hành vi clipboard mới là quan sát code, chưa phải yêu cầu phê duyệt</x:v>
      </x:c>
    </x:row>
    <x:row r="455" ht="36" customHeight="1">
      <x:c r="A455" s="3" t="str">
        <x:v>NEWS-002</x:v>
      </x:c>
      <x:c r="B455" s="3" t="str">
        <x:v>WORD</x:v>
      </x:c>
      <x:c r="C455" s="3" t="str">
        <x:v>Trình soạn thảo phải hỗ trợ định dạng cho phép và làm sạch HTML trước khi lưu/hiển thị.</x:v>
      </x:c>
      <x:c r="D455" s="3" t="str">
        <x:v>TC_WORD_011</x:v>
      </x:c>
      <x:c r="E455" s="3" t="str">
        <x:v>Tên tiếng Việt tại /api/cms/import-word</x:v>
      </x:c>
      <x:c r="F455" s="3" t="str">
        <x:v>Designed — chưa thực thi</x:v>
      </x:c>
      <x:c r="G455" s="3" t="str">
        <x:v>Nguồn: admin/src/app/api/cms/import-word/route.ts.  Baseline: docs/ba/02-requirements/VGG_REQ-WORKBOOK_v0.1_2026-09-04.xlsx / Requirements; Hành vi clipboard mới là quan sát code, chưa phải yêu cầu phê duyệt</x:v>
      </x:c>
    </x:row>
    <x:row r="456" ht="36" customHeight="1">
      <x:c r="A456" s="3" t="str">
        <x:v>NEWS-002</x:v>
      </x:c>
      <x:c r="B456" s="3" t="str">
        <x:v>WORD</x:v>
      </x:c>
      <x:c r="C456" s="3" t="str">
        <x:v>Trình soạn thảo phải hỗ trợ định dạng cho phép và làm sạch HTML trước khi lưu/hiển thị.</x:v>
      </x:c>
      <x:c r="D456" s="3" t="str">
        <x:v>TC_WORD_012</x:v>
      </x:c>
      <x:c r="E456" s="3" t="str">
        <x:v>Trùng tên tại /api/cms/import-word</x:v>
      </x:c>
      <x:c r="F456" s="3" t="str">
        <x:v>Designed — chưa thực thi</x:v>
      </x:c>
      <x:c r="G456" s="3" t="str">
        <x:v>Nguồn: admin/src/app/api/cms/import-word/route.ts.  Baseline: docs/ba/02-requirements/VGG_REQ-WORKBOOK_v0.1_2026-09-04.xlsx / Requirements; Hành vi clipboard mới là quan sát code, chưa phải yêu cầu phê duyệt</x:v>
      </x:c>
    </x:row>
    <x:row r="457" ht="36" customHeight="1">
      <x:c r="A457" s="3" t="str">
        <x:v>NEWS-002</x:v>
      </x:c>
      <x:c r="B457" s="3" t="str">
        <x:v>WORD</x:v>
      </x:c>
      <x:c r="C457" s="3" t="str">
        <x:v>Trình soạn thảo phải hỗ trợ định dạng cho phép và làm sạch HTML trước khi lưu/hiển thị.</x:v>
      </x:c>
      <x:c r="D457" s="3" t="str">
        <x:v>TC_WORD_013</x:v>
      </x:c>
      <x:c r="E457" s="3" t="str">
        <x:v>Tên có traversal tại /api/cms/import-word</x:v>
      </x:c>
      <x:c r="F457" s="3" t="str">
        <x:v>Designed — chưa thực thi</x:v>
      </x:c>
      <x:c r="G457" s="3" t="str">
        <x:v>Nguồn: admin/src/app/api/cms/import-word/route.ts.  Baseline: docs/ba/02-requirements/VGG_REQ-WORKBOOK_v0.1_2026-09-04.xlsx / Requirements; Hành vi clipboard mới là quan sát code, chưa phải yêu cầu phê duyệt</x:v>
      </x:c>
    </x:row>
    <x:row r="458" ht="36" customHeight="1">
      <x:c r="A458" s="3" t="str">
        <x:v>NEWS-002</x:v>
      </x:c>
      <x:c r="B458" s="3" t="str">
        <x:v>WORD</x:v>
      </x:c>
      <x:c r="C458" s="3" t="str">
        <x:v>Trình soạn thảo phải hỗ trợ định dạng cho phép và làm sạch HTML trước khi lưu/hiển thị.</x:v>
      </x:c>
      <x:c r="D458" s="3" t="str">
        <x:v>TC_WORD_014</x:v>
      </x:c>
      <x:c r="E458" s="3" t="str">
        <x:v>Storage ngắt tại /api/cms/import-word</x:v>
      </x:c>
      <x:c r="F458" s="3" t="str">
        <x:v>Designed — chưa thực thi</x:v>
      </x:c>
      <x:c r="G458" s="3" t="str">
        <x:v>Nguồn: admin/src/app/api/cms/import-word/route.ts.  Baseline: docs/ba/02-requirements/VGG_REQ-WORKBOOK_v0.1_2026-09-04.xlsx / Requirements; Hành vi clipboard mới là quan sát code, chưa phải yêu cầu phê duyệt</x:v>
      </x:c>
    </x:row>
    <x:row r="459" ht="36" customHeight="1">
      <x:c r="A459" s="3" t="str">
        <x:v>NEWS-002</x:v>
      </x:c>
      <x:c r="B459" s="3" t="str">
        <x:v>WORD</x:v>
      </x:c>
      <x:c r="C459" s="3" t="str">
        <x:v>Trình soạn thảo phải hỗ trợ định dạng cho phép và làm sạch HTML trước khi lưu/hiển thị.</x:v>
      </x:c>
      <x:c r="D459" s="3" t="str">
        <x:v>TC_WORD_015</x:v>
      </x:c>
      <x:c r="E459" s="3" t="str">
        <x:v>Mất mạng giữa upload tại /api/cms/import-word</x:v>
      </x:c>
      <x:c r="F459" s="3" t="str">
        <x:v>Designed — chưa thực thi</x:v>
      </x:c>
      <x:c r="G459" s="3" t="str">
        <x:v>Nguồn: admin/src/app/api/cms/import-word/route.ts.  Baseline: docs/ba/02-requirements/VGG_REQ-WORKBOOK_v0.1_2026-09-04.xlsx / Requirements; Hành vi clipboard mới là quan sát code, chưa phải yêu cầu phê duyệt</x:v>
      </x:c>
    </x:row>
    <x:row r="460" ht="36" customHeight="1">
      <x:c r="A460" s="3" t="str">
        <x:v>RES-001</x:v>
      </x:c>
      <x:c r="B460" s="3" t="str">
        <x:v>UPLOAD</x:v>
      </x:c>
      <x:c r="C460" s="3" t="str">
        <x:v>Người có resources.create phải tải tệp được phép và tạo bản ghi gắn danh mục.</x:v>
      </x:c>
      <x:c r="D460" s="3" t="str">
        <x:v>TC_UPLOAD_001</x:v>
      </x:c>
      <x:c r="E460" s="3" t="str">
        <x:v>Upload PDF hợp lệ</x:v>
      </x:c>
      <x:c r="F460" s="3" t="str">
        <x:v>Designed — chưa thực thi</x:v>
      </x:c>
      <x:c r="G460" s="3" t="str">
        <x:v>Nguồn: admin/src/app/api/cms/upload-resource/route.ts.  Baseline: docs/ba/02-requirements/VGG_REQ-WORKBOOK_v0.1_2026-09-04.xlsx / Requirements; Backend 50 MB, Admin mặc định 25 MB: cần thống nhất</x:v>
      </x:c>
    </x:row>
    <x:row r="461" ht="36" customHeight="1">
      <x:c r="A461" s="3" t="str">
        <x:v>RES-001</x:v>
      </x:c>
      <x:c r="B461" s="3" t="str">
        <x:v>UPLOAD</x:v>
      </x:c>
      <x:c r="C461" s="3" t="str">
        <x:v>Người có resources.create phải tải tệp được phép và tạo bản ghi gắn danh mục.</x:v>
      </x:c>
      <x:c r="D461" s="3" t="str">
        <x:v>TC_UPLOAD_002</x:v>
      </x:c>
      <x:c r="E461" s="3" t="str">
        <x:v>Upload DOC hợp lệ</x:v>
      </x:c>
      <x:c r="F461" s="3" t="str">
        <x:v>Designed — chưa thực thi</x:v>
      </x:c>
      <x:c r="G461" s="3" t="str">
        <x:v>Nguồn: admin/src/app/api/cms/upload-resource/route.ts.  Baseline: docs/ba/02-requirements/VGG_REQ-WORKBOOK_v0.1_2026-09-04.xlsx / Requirements; Backend 50 MB, Admin mặc định 25 MB: cần thống nhất</x:v>
      </x:c>
    </x:row>
    <x:row r="462" ht="36" customHeight="1">
      <x:c r="A462" s="3" t="str">
        <x:v>RES-001</x:v>
      </x:c>
      <x:c r="B462" s="3" t="str">
        <x:v>UPLOAD</x:v>
      </x:c>
      <x:c r="C462" s="3" t="str">
        <x:v>Người có resources.create phải tải tệp được phép và tạo bản ghi gắn danh mục.</x:v>
      </x:c>
      <x:c r="D462" s="3" t="str">
        <x:v>TC_UPLOAD_003</x:v>
      </x:c>
      <x:c r="E462" s="3" t="str">
        <x:v>Upload DOCX hợp lệ</x:v>
      </x:c>
      <x:c r="F462" s="3" t="str">
        <x:v>Designed — chưa thực thi</x:v>
      </x:c>
      <x:c r="G462" s="3" t="str">
        <x:v>Nguồn: admin/src/app/api/cms/upload-resource/route.ts.  Baseline: docs/ba/02-requirements/VGG_REQ-WORKBOOK_v0.1_2026-09-04.xlsx / Requirements; Backend 50 MB, Admin mặc định 25 MB: cần thống nhất</x:v>
      </x:c>
    </x:row>
    <x:row r="463" ht="36" customHeight="1">
      <x:c r="A463" s="3" t="str">
        <x:v>RES-001</x:v>
      </x:c>
      <x:c r="B463" s="3" t="str">
        <x:v>UPLOAD</x:v>
      </x:c>
      <x:c r="C463" s="3" t="str">
        <x:v>Người có resources.create phải tải tệp được phép và tạo bản ghi gắn danh mục.</x:v>
      </x:c>
      <x:c r="D463" s="3" t="str">
        <x:v>TC_UPLOAD_004</x:v>
      </x:c>
      <x:c r="E463" s="3" t="str">
        <x:v>Upload XLS hợp lệ</x:v>
      </x:c>
      <x:c r="F463" s="3" t="str">
        <x:v>Designed — chưa thực thi</x:v>
      </x:c>
      <x:c r="G463" s="3" t="str">
        <x:v>Nguồn: admin/src/app/api/cms/upload-resource/route.ts.  Baseline: docs/ba/02-requirements/VGG_REQ-WORKBOOK_v0.1_2026-09-04.xlsx / Requirements; Backend 50 MB, Admin mặc định 25 MB: cần thống nhất</x:v>
      </x:c>
    </x:row>
    <x:row r="464" ht="36" customHeight="1">
      <x:c r="A464" s="3" t="str">
        <x:v>RES-001</x:v>
      </x:c>
      <x:c r="B464" s="3" t="str">
        <x:v>UPLOAD</x:v>
      </x:c>
      <x:c r="C464" s="3" t="str">
        <x:v>Người có resources.create phải tải tệp được phép và tạo bản ghi gắn danh mục.</x:v>
      </x:c>
      <x:c r="D464" s="3" t="str">
        <x:v>TC_UPLOAD_005</x:v>
      </x:c>
      <x:c r="E464" s="3" t="str">
        <x:v>Upload XLSX hợp lệ</x:v>
      </x:c>
      <x:c r="F464" s="3" t="str">
        <x:v>Designed — chưa thực thi</x:v>
      </x:c>
      <x:c r="G464" s="3" t="str">
        <x:v>Nguồn: admin/src/app/api/cms/upload-resource/route.ts.  Baseline: docs/ba/02-requirements/VGG_REQ-WORKBOOK_v0.1_2026-09-04.xlsx / Requirements; Backend 50 MB, Admin mặc định 25 MB: cần thống nhất</x:v>
      </x:c>
    </x:row>
    <x:row r="465" ht="36" customHeight="1">
      <x:c r="A465" s="3" t="str">
        <x:v>RES-001</x:v>
      </x:c>
      <x:c r="B465" s="3" t="str">
        <x:v>UPLOAD</x:v>
      </x:c>
      <x:c r="C465" s="3" t="str">
        <x:v>Người có resources.create phải tải tệp được phép và tạo bản ghi gắn danh mục.</x:v>
      </x:c>
      <x:c r="D465" s="3" t="str">
        <x:v>TC_UPLOAD_006</x:v>
      </x:c>
      <x:c r="E465" s="3" t="str">
        <x:v>Upload JPG hợp lệ</x:v>
      </x:c>
      <x:c r="F465" s="3" t="str">
        <x:v>Designed — chưa thực thi</x:v>
      </x:c>
      <x:c r="G465" s="3" t="str">
        <x:v>Nguồn: admin/src/app/api/cms/upload-resource/route.ts.  Baseline: docs/ba/02-requirements/VGG_REQ-WORKBOOK_v0.1_2026-09-04.xlsx / Requirements; Backend 50 MB, Admin mặc định 25 MB: cần thống nhất</x:v>
      </x:c>
    </x:row>
    <x:row r="466" ht="36" customHeight="1">
      <x:c r="A466" s="3" t="str">
        <x:v>RES-001</x:v>
      </x:c>
      <x:c r="B466" s="3" t="str">
        <x:v>UPLOAD</x:v>
      </x:c>
      <x:c r="C466" s="3" t="str">
        <x:v>Người có resources.create phải tải tệp được phép và tạo bản ghi gắn danh mục.</x:v>
      </x:c>
      <x:c r="D466" s="3" t="str">
        <x:v>TC_UPLOAD_007</x:v>
      </x:c>
      <x:c r="E466" s="3" t="str">
        <x:v>Upload JPEG hợp lệ</x:v>
      </x:c>
      <x:c r="F466" s="3" t="str">
        <x:v>Designed — chưa thực thi</x:v>
      </x:c>
      <x:c r="G466" s="3" t="str">
        <x:v>Nguồn: admin/src/app/api/cms/upload-resource/route.ts.  Baseline: docs/ba/02-requirements/VGG_REQ-WORKBOOK_v0.1_2026-09-04.xlsx / Requirements; Backend 50 MB, Admin mặc định 25 MB: cần thống nhất</x:v>
      </x:c>
    </x:row>
    <x:row r="467" ht="36" customHeight="1">
      <x:c r="A467" s="3" t="str">
        <x:v>RES-001</x:v>
      </x:c>
      <x:c r="B467" s="3" t="str">
        <x:v>UPLOAD</x:v>
      </x:c>
      <x:c r="C467" s="3" t="str">
        <x:v>Người có resources.create phải tải tệp được phép và tạo bản ghi gắn danh mục.</x:v>
      </x:c>
      <x:c r="D467" s="3" t="str">
        <x:v>TC_UPLOAD_008</x:v>
      </x:c>
      <x:c r="E467" s="3" t="str">
        <x:v>Upload PNG hợp lệ</x:v>
      </x:c>
      <x:c r="F467" s="3" t="str">
        <x:v>Designed — chưa thực thi</x:v>
      </x:c>
      <x:c r="G467" s="3" t="str">
        <x:v>Nguồn: admin/src/app/api/cms/upload-resource/route.ts.  Baseline: docs/ba/02-requirements/VGG_REQ-WORKBOOK_v0.1_2026-09-04.xlsx / Requirements; Backend 50 MB, Admin mặc định 25 MB: cần thống nhất</x:v>
      </x:c>
    </x:row>
    <x:row r="468" ht="49" customHeight="1">
      <x:c r="A468" s="3" t="str">
        <x:v>RES-001</x:v>
      </x:c>
      <x:c r="B468" s="3" t="str">
        <x:v>UPLOAD</x:v>
      </x:c>
      <x:c r="C468" s="3" t="str">
        <x:v>Người có resources.create phải tải tệp được phép và tạo bản ghi gắn danh mục.</x:v>
      </x:c>
      <x:c r="D468" s="3" t="str">
        <x:v>TC_UPLOAD_009</x:v>
      </x:c>
      <x:c r="E468" s="3" t="str">
        <x:v>/api/cms/upload-resource: 0 bytes</x:v>
      </x:c>
      <x:c r="F468" s="3" t="str">
        <x:v>Designed — chưa thực thi</x:v>
      </x:c>
      <x:c r="G468" s="3" t="str">
        <x:v>Nguồn: admin/src/app/api/cms/upload-resource/route.ts. Upload resource giả định STORAGE_MAX_RESOURCE_FILE_MB=25 trên QA; thay bộ biên nếu môi trường chọn ngưỡng khác. Baseline: docs/ba/02-requirements/VGG_REQ-WORKBOOK_v0.1_2026-09-04.xlsx / Requirements; Backend 50 MB, Admin mặc định 25 MB: cần thống nhất</x:v>
      </x:c>
    </x:row>
    <x:row r="469" ht="49" customHeight="1">
      <x:c r="A469" s="3" t="str">
        <x:v>RES-001</x:v>
      </x:c>
      <x:c r="B469" s="3" t="str">
        <x:v>UPLOAD</x:v>
      </x:c>
      <x:c r="C469" s="3" t="str">
        <x:v>Người có resources.create phải tải tệp được phép và tạo bản ghi gắn danh mục.</x:v>
      </x:c>
      <x:c r="D469" s="3" t="str">
        <x:v>TC_UPLOAD_010</x:v>
      </x:c>
      <x:c r="E469" s="3" t="str">
        <x:v>/api/cms/upload-resource: 1 bytes</x:v>
      </x:c>
      <x:c r="F469" s="3" t="str">
        <x:v>Designed — chưa thực thi</x:v>
      </x:c>
      <x:c r="G469" s="3" t="str">
        <x:v>Nguồn: admin/src/app/api/cms/upload-resource/route.ts. Upload resource giả định STORAGE_MAX_RESOURCE_FILE_MB=25 trên QA; thay bộ biên nếu môi trường chọn ngưỡng khác. Baseline: docs/ba/02-requirements/VGG_REQ-WORKBOOK_v0.1_2026-09-04.xlsx / Requirements; Backend 50 MB, Admin mặc định 25 MB: cần thống nhất</x:v>
      </x:c>
    </x:row>
    <x:row r="470" ht="49" customHeight="1">
      <x:c r="A470" s="3" t="str">
        <x:v>RES-001</x:v>
      </x:c>
      <x:c r="B470" s="3" t="str">
        <x:v>UPLOAD</x:v>
      </x:c>
      <x:c r="C470" s="3" t="str">
        <x:v>Người có resources.create phải tải tệp được phép và tạo bản ghi gắn danh mục.</x:v>
      </x:c>
      <x:c r="D470" s="3" t="str">
        <x:v>TC_UPLOAD_011</x:v>
      </x:c>
      <x:c r="E470" s="3" t="str">
        <x:v>/api/cms/upload-resource: 2 bytes</x:v>
      </x:c>
      <x:c r="F470" s="3" t="str">
        <x:v>Designed — chưa thực thi</x:v>
      </x:c>
      <x:c r="G470" s="3" t="str">
        <x:v>Nguồn: admin/src/app/api/cms/upload-resource/route.ts. Upload resource giả định STORAGE_MAX_RESOURCE_FILE_MB=25 trên QA; thay bộ biên nếu môi trường chọn ngưỡng khác. Baseline: docs/ba/02-requirements/VGG_REQ-WORKBOOK_v0.1_2026-09-04.xlsx / Requirements; Backend 50 MB, Admin mặc định 25 MB: cần thống nhất</x:v>
      </x:c>
    </x:row>
    <x:row r="471" ht="49" customHeight="1">
      <x:c r="A471" s="3" t="str">
        <x:v>RES-001</x:v>
      </x:c>
      <x:c r="B471" s="3" t="str">
        <x:v>UPLOAD</x:v>
      </x:c>
      <x:c r="C471" s="3" t="str">
        <x:v>Người có resources.create phải tải tệp được phép và tạo bản ghi gắn danh mục.</x:v>
      </x:c>
      <x:c r="D471" s="3" t="str">
        <x:v>TC_UPLOAD_012</x:v>
      </x:c>
      <x:c r="E471" s="3" t="str">
        <x:v>/api/cms/upload-resource: 26214399 bytes</x:v>
      </x:c>
      <x:c r="F471" s="3" t="str">
        <x:v>Designed — chưa thực thi</x:v>
      </x:c>
      <x:c r="G471" s="3" t="str">
        <x:v>Nguồn: admin/src/app/api/cms/upload-resource/route.ts. Upload resource giả định STORAGE_MAX_RESOURCE_FILE_MB=25 trên QA; thay bộ biên nếu môi trường chọn ngưỡng khác. Baseline: docs/ba/02-requirements/VGG_REQ-WORKBOOK_v0.1_2026-09-04.xlsx / Requirements; Backend 50 MB, Admin mặc định 25 MB: cần thống nhất</x:v>
      </x:c>
    </x:row>
    <x:row r="472" ht="49" customHeight="1">
      <x:c r="A472" s="3" t="str">
        <x:v>RES-001</x:v>
      </x:c>
      <x:c r="B472" s="3" t="str">
        <x:v>UPLOAD</x:v>
      </x:c>
      <x:c r="C472" s="3" t="str">
        <x:v>Người có resources.create phải tải tệp được phép và tạo bản ghi gắn danh mục.</x:v>
      </x:c>
      <x:c r="D472" s="3" t="str">
        <x:v>TC_UPLOAD_013</x:v>
      </x:c>
      <x:c r="E472" s="3" t="str">
        <x:v>/api/cms/upload-resource: 26214400 bytes</x:v>
      </x:c>
      <x:c r="F472" s="3" t="str">
        <x:v>Designed — chưa thực thi</x:v>
      </x:c>
      <x:c r="G472" s="3" t="str">
        <x:v>Nguồn: admin/src/app/api/cms/upload-resource/route.ts. Upload resource giả định STORAGE_MAX_RESOURCE_FILE_MB=25 trên QA; thay bộ biên nếu môi trường chọn ngưỡng khác. Baseline: docs/ba/02-requirements/VGG_REQ-WORKBOOK_v0.1_2026-09-04.xlsx / Requirements; Backend 50 MB, Admin mặc định 25 MB: cần thống nhất</x:v>
      </x:c>
    </x:row>
    <x:row r="473" ht="49" customHeight="1">
      <x:c r="A473" s="3" t="str">
        <x:v>RES-001</x:v>
      </x:c>
      <x:c r="B473" s="3" t="str">
        <x:v>UPLOAD</x:v>
      </x:c>
      <x:c r="C473" s="3" t="str">
        <x:v>Người có resources.create phải tải tệp được phép và tạo bản ghi gắn danh mục.</x:v>
      </x:c>
      <x:c r="D473" s="3" t="str">
        <x:v>TC_UPLOAD_014</x:v>
      </x:c>
      <x:c r="E473" s="3" t="str">
        <x:v>/api/cms/upload-resource: 26214401 bytes</x:v>
      </x:c>
      <x:c r="F473" s="3" t="str">
        <x:v>Designed — chưa thực thi</x:v>
      </x:c>
      <x:c r="G473" s="3" t="str">
        <x:v>Nguồn: admin/src/app/api/cms/upload-resource/route.ts. Upload resource giả định STORAGE_MAX_RESOURCE_FILE_MB=25 trên QA; thay bộ biên nếu môi trường chọn ngưỡng khác. Baseline: docs/ba/02-requirements/VGG_REQ-WORKBOOK_v0.1_2026-09-04.xlsx / Requirements; Backend 50 MB, Admin mặc định 25 MB: cần thống nhất</x:v>
      </x:c>
    </x:row>
    <x:row r="474" ht="36" customHeight="1">
      <x:c r="A474" s="3" t="str">
        <x:v>RES-001</x:v>
      </x:c>
      <x:c r="B474" s="3" t="str">
        <x:v>UPLOAD</x:v>
      </x:c>
      <x:c r="C474" s="3" t="str">
        <x:v>Người có resources.create phải tải tệp được phép và tạo bản ghi gắn danh mục.</x:v>
      </x:c>
      <x:c r="D474" s="3" t="str">
        <x:v>TC_UPLOAD_015</x:v>
      </x:c>
      <x:c r="E474" s="3" t="str">
        <x:v>Sai extension tại /api/cms/upload-resource</x:v>
      </x:c>
      <x:c r="F474" s="3" t="str">
        <x:v>Designed — chưa thực thi</x:v>
      </x:c>
      <x:c r="G474" s="3" t="str">
        <x:v>Nguồn: admin/src/app/api/cms/upload-resource/route.ts.  Baseline: docs/ba/02-requirements/VGG_REQ-WORKBOOK_v0.1_2026-09-04.xlsx / Requirements; Backend 50 MB, Admin mặc định 25 MB: cần thống nhất</x:v>
      </x:c>
    </x:row>
    <x:row r="475" ht="36" customHeight="1">
      <x:c r="A475" s="3" t="str">
        <x:v>RES-001</x:v>
      </x:c>
      <x:c r="B475" s="3" t="str">
        <x:v>UPLOAD</x:v>
      </x:c>
      <x:c r="C475" s="3" t="str">
        <x:v>Người có resources.create phải tải tệp được phép và tạo bản ghi gắn danh mục.</x:v>
      </x:c>
      <x:c r="D475" s="3" t="str">
        <x:v>TC_UPLOAD_016</x:v>
      </x:c>
      <x:c r="E475" s="3" t="str">
        <x:v>Giả mạo extension tại /api/cms/upload-resource</x:v>
      </x:c>
      <x:c r="F475" s="3" t="str">
        <x:v>Designed — chưa thực thi</x:v>
      </x:c>
      <x:c r="G475" s="3" t="str">
        <x:v>Nguồn: admin/src/app/api/cms/upload-resource/route.ts.  Baseline: docs/ba/02-requirements/VGG_REQ-WORKBOOK_v0.1_2026-09-04.xlsx / Requirements; Backend 50 MB, Admin mặc định 25 MB: cần thống nhất</x:v>
      </x:c>
    </x:row>
    <x:row r="476" ht="36" customHeight="1">
      <x:c r="A476" s="3" t="str">
        <x:v>RES-001</x:v>
      </x:c>
      <x:c r="B476" s="3" t="str">
        <x:v>UPLOAD</x:v>
      </x:c>
      <x:c r="C476" s="3" t="str">
        <x:v>Người có resources.create phải tải tệp được phép và tạo bản ghi gắn danh mục.</x:v>
      </x:c>
      <x:c r="D476" s="3" t="str">
        <x:v>TC_UPLOAD_017</x:v>
      </x:c>
      <x:c r="E476" s="3" t="str">
        <x:v>Header hợp lệ nhưng file hỏng tại /api/cms/upload-resource</x:v>
      </x:c>
      <x:c r="F476" s="3" t="str">
        <x:v>Designed — chưa thực thi</x:v>
      </x:c>
      <x:c r="G476" s="3" t="str">
        <x:v>Nguồn: admin/src/app/api/cms/upload-resource/route.ts.  Baseline: docs/ba/02-requirements/VGG_REQ-WORKBOOK_v0.1_2026-09-04.xlsx / Requirements; Backend 50 MB, Admin mặc định 25 MB: cần thống nhất</x:v>
      </x:c>
    </x:row>
    <x:row r="477" ht="36" customHeight="1">
      <x:c r="A477" s="3" t="str">
        <x:v>RES-001</x:v>
      </x:c>
      <x:c r="B477" s="3" t="str">
        <x:v>UPLOAD</x:v>
      </x:c>
      <x:c r="C477" s="3" t="str">
        <x:v>Người có resources.create phải tải tệp được phép và tạo bản ghi gắn danh mục.</x:v>
      </x:c>
      <x:c r="D477" s="3" t="str">
        <x:v>TC_UPLOAD_018</x:v>
      </x:c>
      <x:c r="E477" s="3" t="str">
        <x:v>Tên tiếng Việt tại /api/cms/upload-resource</x:v>
      </x:c>
      <x:c r="F477" s="3" t="str">
        <x:v>Designed — chưa thực thi</x:v>
      </x:c>
      <x:c r="G477" s="3" t="str">
        <x:v>Nguồn: admin/src/app/api/cms/upload-resource/route.ts.  Baseline: docs/ba/02-requirements/VGG_REQ-WORKBOOK_v0.1_2026-09-04.xlsx / Requirements; Backend 50 MB, Admin mặc định 25 MB: cần thống nhất</x:v>
      </x:c>
    </x:row>
    <x:row r="478" ht="36" customHeight="1">
      <x:c r="A478" s="3" t="str">
        <x:v>RES-001</x:v>
      </x:c>
      <x:c r="B478" s="3" t="str">
        <x:v>UPLOAD</x:v>
      </x:c>
      <x:c r="C478" s="3" t="str">
        <x:v>Người có resources.create phải tải tệp được phép và tạo bản ghi gắn danh mục.</x:v>
      </x:c>
      <x:c r="D478" s="3" t="str">
        <x:v>TC_UPLOAD_019</x:v>
      </x:c>
      <x:c r="E478" s="3" t="str">
        <x:v>Trùng tên tại /api/cms/upload-resource</x:v>
      </x:c>
      <x:c r="F478" s="3" t="str">
        <x:v>Designed — chưa thực thi</x:v>
      </x:c>
      <x:c r="G478" s="3" t="str">
        <x:v>Nguồn: admin/src/app/api/cms/upload-resource/route.ts.  Baseline: docs/ba/02-requirements/VGG_REQ-WORKBOOK_v0.1_2026-09-04.xlsx / Requirements; Backend 50 MB, Admin mặc định 25 MB: cần thống nhất</x:v>
      </x:c>
    </x:row>
    <x:row r="479" ht="36" customHeight="1">
      <x:c r="A479" s="3" t="str">
        <x:v>RES-001</x:v>
      </x:c>
      <x:c r="B479" s="3" t="str">
        <x:v>UPLOAD</x:v>
      </x:c>
      <x:c r="C479" s="3" t="str">
        <x:v>Người có resources.create phải tải tệp được phép và tạo bản ghi gắn danh mục.</x:v>
      </x:c>
      <x:c r="D479" s="3" t="str">
        <x:v>TC_UPLOAD_020</x:v>
      </x:c>
      <x:c r="E479" s="3" t="str">
        <x:v>Tên có traversal tại /api/cms/upload-resource</x:v>
      </x:c>
      <x:c r="F479" s="3" t="str">
        <x:v>Designed — chưa thực thi</x:v>
      </x:c>
      <x:c r="G479" s="3" t="str">
        <x:v>Nguồn: admin/src/app/api/cms/upload-resource/route.ts.  Baseline: docs/ba/02-requirements/VGG_REQ-WORKBOOK_v0.1_2026-09-04.xlsx / Requirements; Backend 50 MB, Admin mặc định 25 MB: cần thống nhất</x:v>
      </x:c>
    </x:row>
    <x:row r="480" ht="36" customHeight="1">
      <x:c r="A480" s="3" t="str">
        <x:v>RES-001</x:v>
      </x:c>
      <x:c r="B480" s="3" t="str">
        <x:v>UPLOAD</x:v>
      </x:c>
      <x:c r="C480" s="3" t="str">
        <x:v>Người có resources.create phải tải tệp được phép và tạo bản ghi gắn danh mục.</x:v>
      </x:c>
      <x:c r="D480" s="3" t="str">
        <x:v>TC_UPLOAD_021</x:v>
      </x:c>
      <x:c r="E480" s="3" t="str">
        <x:v>Storage ngắt tại /api/cms/upload-resource</x:v>
      </x:c>
      <x:c r="F480" s="3" t="str">
        <x:v>Designed — chưa thực thi</x:v>
      </x:c>
      <x:c r="G480" s="3" t="str">
        <x:v>Nguồn: admin/src/app/api/cms/upload-resource/route.ts.  Baseline: docs/ba/02-requirements/VGG_REQ-WORKBOOK_v0.1_2026-09-04.xlsx / Requirements; Backend 50 MB, Admin mặc định 25 MB: cần thống nhất</x:v>
      </x:c>
    </x:row>
    <x:row r="481" ht="36" customHeight="1">
      <x:c r="A481" s="3" t="str">
        <x:v>RES-001</x:v>
      </x:c>
      <x:c r="B481" s="3" t="str">
        <x:v>UPLOAD</x:v>
      </x:c>
      <x:c r="C481" s="3" t="str">
        <x:v>Người có resources.create phải tải tệp được phép và tạo bản ghi gắn danh mục.</x:v>
      </x:c>
      <x:c r="D481" s="3" t="str">
        <x:v>TC_UPLOAD_022</x:v>
      </x:c>
      <x:c r="E481" s="3" t="str">
        <x:v>Mất mạng giữa upload tại /api/cms/upload-resource</x:v>
      </x:c>
      <x:c r="F481" s="3" t="str">
        <x:v>Designed — chưa thực thi</x:v>
      </x:c>
      <x:c r="G481" s="3" t="str">
        <x:v>Nguồn: admin/src/app/api/cms/upload-resource/route.ts.  Baseline: docs/ba/02-requirements/VGG_REQ-WORKBOOK_v0.1_2026-09-04.xlsx / Requirements; Backend 50 MB, Admin mặc định 25 MB: cần thống nhất</x:v>
      </x:c>
    </x:row>
    <x:row r="482" ht="49" customHeight="1">
      <x:c r="A482" s="3" t="str">
        <x:v>OBS-API</x:v>
      </x:c>
      <x:c r="B482" s="3" t="str">
        <x:v>API</x:v>
      </x:c>
      <x:c r="C482" s="3" t="str">
        <x:v>Hợp đồng BACKEND</x:v>
      </x:c>
      <x:c r="D482" s="3" t="str">
        <x:v>TC_API_001</x:v>
      </x:c>
      <x:c r="E482" s="3" t="str">
        <x:v>GET BACKEND /health hợp lệ</x:v>
      </x:c>
      <x:c r="F482" s="3" t="str">
        <x:v>Designed — chưa thực thi</x:v>
      </x:c>
      <x:c r="G482" s="3" t="str">
        <x:v>Nguồn: backend/src/app.ts:24. Đối với proxy CMS giữ nguyên status/body upstream. Thay placeholder bằng ID/object key fixture; GET không gửi body. Baseline: backend/src/app.ts:24; Yêu cầu suy ra từ code, chưa phải baseline đã phê duyệt.</x:v>
      </x:c>
    </x:row>
    <x:row r="483" ht="49" customHeight="1">
      <x:c r="A483" s="3" t="str">
        <x:v>OBS-API</x:v>
      </x:c>
      <x:c r="B483" s="3" t="str">
        <x:v>API</x:v>
      </x:c>
      <x:c r="C483" s="3" t="str">
        <x:v>Hợp đồng BACKEND</x:v>
      </x:c>
      <x:c r="D483" s="3" t="str">
        <x:v>TC_API_002</x:v>
      </x:c>
      <x:c r="E483" s="3" t="str">
        <x:v>GET BACKEND /ready hợp lệ</x:v>
      </x:c>
      <x:c r="F483" s="3" t="str">
        <x:v>Designed — chưa thực thi</x:v>
      </x:c>
      <x:c r="G483" s="3" t="str">
        <x:v>Nguồn: backend/src/app.ts:25. Đối với proxy CMS giữ nguyên status/body upstream. Thay placeholder bằng ID/object key fixture; GET không gửi body. Baseline: backend/src/app.ts:24; Yêu cầu suy ra từ code, chưa phải baseline đã phê duyệt.</x:v>
      </x:c>
    </x:row>
    <x:row r="484" ht="49" customHeight="1">
      <x:c r="A484" s="3" t="str">
        <x:v>OBS-API</x:v>
      </x:c>
      <x:c r="B484" s="3" t="str">
        <x:v>API</x:v>
      </x:c>
      <x:c r="C484" s="3" t="str">
        <x:v>Hợp đồng BACKEND</x:v>
      </x:c>
      <x:c r="D484" s="3" t="str">
        <x:v>TC_API_003</x:v>
      </x:c>
      <x:c r="E484" s="3" t="str">
        <x:v>POST BACKEND /api/admin/auth/login hợp lệ</x:v>
      </x:c>
      <x:c r="F484" s="3" t="str">
        <x:v>Designed — chưa thực thi</x:v>
      </x:c>
      <x:c r="G484" s="3" t="str">
        <x:v>Nguồn: backend/src/modules/auth/auth.routes.ts:10. Đối với proxy CMS giữ nguyên status/body upstream. Thay placeholder bằng ID/object key fixture; GET không gửi body. Baseline: backend/src/app.ts:24; Yêu cầu suy ra từ code, chưa phải baseline đã phê duyệt.</x:v>
      </x:c>
    </x:row>
    <x:row r="485" ht="36" customHeight="1">
      <x:c r="A485" s="3" t="str">
        <x:v>OBS-API</x:v>
      </x:c>
      <x:c r="B485" s="3" t="str">
        <x:v>API</x:v>
      </x:c>
      <x:c r="C485" s="3" t="str">
        <x:v>Hợp đồng BACKEND</x:v>
      </x:c>
      <x:c r="D485" s="3" t="str">
        <x:v>TC_API_004</x:v>
      </x:c>
      <x:c r="E485" s="3" t="str">
        <x:v>POST BACKEND /api/admin/auth/login JSON hỏng</x:v>
      </x:c>
      <x:c r="F485" s="3" t="str">
        <x:v>Designed — chưa thực thi</x:v>
      </x:c>
      <x:c r="G485" s="3" t="str">
        <x:v>Nguồn: backend/src/modules/auth/auth.routes.ts:10.  Baseline: backend/src/app.ts:24; Yêu cầu suy ra từ code, chưa phải baseline đã phê duyệt.</x:v>
      </x:c>
    </x:row>
    <x:row r="486" ht="49" customHeight="1">
      <x:c r="A486" s="3" t="str">
        <x:v>OBS-API</x:v>
      </x:c>
      <x:c r="B486" s="3" t="str">
        <x:v>API</x:v>
      </x:c>
      <x:c r="C486" s="3" t="str">
        <x:v>Hợp đồng BACKEND</x:v>
      </x:c>
      <x:c r="D486" s="3" t="str">
        <x:v>TC_API_005</x:v>
      </x:c>
      <x:c r="E486" s="3" t="str">
        <x:v>GET BACKEND /api/admin/auth/me hợp lệ</x:v>
      </x:c>
      <x:c r="F486" s="3" t="str">
        <x:v>Designed — chưa thực thi</x:v>
      </x:c>
      <x:c r="G486" s="3" t="str">
        <x:v>Nguồn: backend/src/modules/auth/auth.routes.ts:19. Đối với proxy CMS giữ nguyên status/body upstream. Thay placeholder bằng ID/object key fixture; GET không gửi body. Baseline: backend/src/app.ts:24; Yêu cầu suy ra từ code, chưa phải baseline đã phê duyệt.</x:v>
      </x:c>
    </x:row>
    <x:row r="487" ht="36" customHeight="1">
      <x:c r="A487" s="3" t="str">
        <x:v>NFR-001</x:v>
      </x:c>
      <x:c r="B487" s="3" t="str">
        <x:v>PERMISSION</x:v>
      </x:c>
      <x:c r="C487" s="3" t="str">
        <x:v>Hệ thống phải áp dụng RBAC phía server, cookie HttpOnly, băm mật khẩu, CORS giới hạn, rate limit và làm sạch HTML.</x:v>
      </x:c>
      <x:c r="D487" s="3" t="str">
        <x:v>TC_PERMISSION_001</x:v>
      </x:c>
      <x:c r="E487" s="3" t="str">
        <x:v>GET BACKEND /api/admin/auth/me không có phiên</x:v>
      </x:c>
      <x:c r="F487" s="3" t="str">
        <x:v>Designed — chưa thực thi</x:v>
      </x:c>
      <x:c r="G487" s="3" t="str">
        <x:v>Nguồn: backend/src/modules/auth/auth.routes.ts:19.  Baseline: docs/ba/02-requirements/VGG_REQ-WORKBOOK_v0.1_2026-09-04.xlsx / Requirements; Tiêu chuẩn ATTT chính thức cần xác nhận</x:v>
      </x:c>
    </x:row>
    <x:row r="488" ht="36" customHeight="1">
      <x:c r="A488" s="3" t="str">
        <x:v>NFR-001</x:v>
      </x:c>
      <x:c r="B488" s="3" t="str">
        <x:v>PERMISSION</x:v>
      </x:c>
      <x:c r="C488" s="3" t="str">
        <x:v>Hệ thống phải áp dụng RBAC phía server, cookie HttpOnly, băm mật khẩu, CORS giới hạn, rate limit và làm sạch HTML.</x:v>
      </x:c>
      <x:c r="D488" s="3" t="str">
        <x:v>TC_PERMISSION_002</x:v>
      </x:c>
      <x:c r="E488" s="3" t="str">
        <x:v>GET BACKEND /api/admin/auth/me hết hạn</x:v>
      </x:c>
      <x:c r="F488" s="3" t="str">
        <x:v>Designed — chưa thực thi</x:v>
      </x:c>
      <x:c r="G488" s="3" t="str">
        <x:v>Nguồn: backend/src/modules/auth/auth.routes.ts:19.  Baseline: docs/ba/02-requirements/VGG_REQ-WORKBOOK_v0.1_2026-09-04.xlsx / Requirements; Tiêu chuẩn ATTT chính thức cần xác nhận</x:v>
      </x:c>
    </x:row>
    <x:row r="489" ht="49" customHeight="1">
      <x:c r="A489" s="3" t="str">
        <x:v>OBS-API</x:v>
      </x:c>
      <x:c r="B489" s="3" t="str">
        <x:v>API</x:v>
      </x:c>
      <x:c r="C489" s="3" t="str">
        <x:v>Hợp đồng BACKEND</x:v>
      </x:c>
      <x:c r="D489" s="3" t="str">
        <x:v>TC_API_006</x:v>
      </x:c>
      <x:c r="E489" s="3" t="str">
        <x:v>POST BACKEND /api/admin/auth/logout hợp lệ</x:v>
      </x:c>
      <x:c r="F489" s="3" t="str">
        <x:v>Designed — chưa thực thi</x:v>
      </x:c>
      <x:c r="G489" s="3" t="str">
        <x:v>Nguồn: backend/src/modules/auth/auth.routes.ts:25. Đối với proxy CMS giữ nguyên status/body upstream. Thay placeholder bằng ID/object key fixture; GET không gửi body. Baseline: backend/src/app.ts:24; Yêu cầu suy ra từ code, chưa phải baseline đã phê duyệt.</x:v>
      </x:c>
    </x:row>
    <x:row r="490" ht="49" customHeight="1">
      <x:c r="A490" s="3" t="str">
        <x:v>OBS-API</x:v>
      </x:c>
      <x:c r="B490" s="3" t="str">
        <x:v>API</x:v>
      </x:c>
      <x:c r="C490" s="3" t="str">
        <x:v>Hợp đồng BACKEND</x:v>
      </x:c>
      <x:c r="D490" s="3" t="str">
        <x:v>TC_API_007</x:v>
      </x:c>
      <x:c r="E490" s="3" t="str">
        <x:v>GET BACKEND /api/public/media/* hợp lệ</x:v>
      </x:c>
      <x:c r="F490" s="3" t="str">
        <x:v>Designed — chưa thực thi</x:v>
      </x:c>
      <x:c r="G490" s="3" t="str">
        <x:v>Nguồn: backend/src/modules/cms/cms.routes.ts:127. Đối với proxy CMS giữ nguyên status/body upstream. Thay placeholder bằng ID/object key fixture; GET không gửi body. Baseline: backend/src/app.ts:24; Yêu cầu suy ra từ code, chưa phải baseline đã phê duyệt.</x:v>
      </x:c>
    </x:row>
    <x:row r="491" ht="49" customHeight="1">
      <x:c r="A491" s="3" t="str">
        <x:v>OBS-API</x:v>
      </x:c>
      <x:c r="B491" s="3" t="str">
        <x:v>API</x:v>
      </x:c>
      <x:c r="C491" s="3" t="str">
        <x:v>Hợp đồng BACKEND</x:v>
      </x:c>
      <x:c r="D491" s="3" t="str">
        <x:v>TC_API_008</x:v>
      </x:c>
      <x:c r="E491" s="3" t="str">
        <x:v>GET BACKEND /api/public/news hợp lệ</x:v>
      </x:c>
      <x:c r="F491" s="3" t="str">
        <x:v>Designed — chưa thực thi</x:v>
      </x:c>
      <x:c r="G491" s="3" t="str">
        <x:v>Nguồn: backend/src/modules/cms/cms.routes.ts:141. Đối với proxy CMS giữ nguyên status/body upstream. Thay placeholder bằng ID/object key fixture; GET không gửi body. Baseline: backend/src/app.ts:24; Yêu cầu suy ra từ code, chưa phải baseline đã phê duyệt.</x:v>
      </x:c>
    </x:row>
    <x:row r="492" ht="49" customHeight="1">
      <x:c r="A492" s="3" t="str">
        <x:v>OBS-API</x:v>
      </x:c>
      <x:c r="B492" s="3" t="str">
        <x:v>API</x:v>
      </x:c>
      <x:c r="C492" s="3" t="str">
        <x:v>Hợp đồng BACKEND</x:v>
      </x:c>
      <x:c r="D492" s="3" t="str">
        <x:v>TC_API_009</x:v>
      </x:c>
      <x:c r="E492" s="3" t="str">
        <x:v>GET BACKEND /api/public/news/:slug hợp lệ</x:v>
      </x:c>
      <x:c r="F492" s="3" t="str">
        <x:v>Designed — chưa thực thi</x:v>
      </x:c>
      <x:c r="G492" s="3" t="str">
        <x:v>Nguồn: backend/src/modules/cms/cms.routes.ts:150. Đối với proxy CMS giữ nguyên status/body upstream. Thay placeholder bằng ID/object key fixture; GET không gửi body. Baseline: backend/src/app.ts:24; Yêu cầu suy ra từ code, chưa phải baseline đã phê duyệt.</x:v>
      </x:c>
    </x:row>
    <x:row r="493" ht="49" customHeight="1">
      <x:c r="A493" s="3" t="str">
        <x:v>OBS-API</x:v>
      </x:c>
      <x:c r="B493" s="3" t="str">
        <x:v>API</x:v>
      </x:c>
      <x:c r="C493" s="3" t="str">
        <x:v>Hợp đồng BACKEND</x:v>
      </x:c>
      <x:c r="D493" s="3" t="str">
        <x:v>TC_API_010</x:v>
      </x:c>
      <x:c r="E493" s="3" t="str">
        <x:v>GET BACKEND /api/public/resources hợp lệ</x:v>
      </x:c>
      <x:c r="F493" s="3" t="str">
        <x:v>Designed — chưa thực thi</x:v>
      </x:c>
      <x:c r="G493" s="3" t="str">
        <x:v>Nguồn: backend/src/modules/cms/cms.routes.ts:156. Đối với proxy CMS giữ nguyên status/body upstream. Thay placeholder bằng ID/object key fixture; GET không gửi body. Baseline: backend/src/app.ts:24; Yêu cầu suy ra từ code, chưa phải baseline đã phê duyệt.</x:v>
      </x:c>
    </x:row>
    <x:row r="494" ht="49" customHeight="1">
      <x:c r="A494" s="3" t="str">
        <x:v>OBS-API</x:v>
      </x:c>
      <x:c r="B494" s="3" t="str">
        <x:v>API</x:v>
      </x:c>
      <x:c r="C494" s="3" t="str">
        <x:v>Hợp đồng BACKEND</x:v>
      </x:c>
      <x:c r="D494" s="3" t="str">
        <x:v>TC_API_011</x:v>
      </x:c>
      <x:c r="E494" s="3" t="str">
        <x:v>GET BACKEND /api/public/site-content hợp lệ</x:v>
      </x:c>
      <x:c r="F494" s="3" t="str">
        <x:v>Designed — chưa thực thi</x:v>
      </x:c>
      <x:c r="G494" s="3" t="str">
        <x:v>Nguồn: backend/src/modules/cms/cms.routes.ts:157. Đối với proxy CMS giữ nguyên status/body upstream. Thay placeholder bằng ID/object key fixture; GET không gửi body. Baseline: backend/src/app.ts:24; Yêu cầu suy ra từ code, chưa phải baseline đã phê duyệt.</x:v>
      </x:c>
    </x:row>
    <x:row r="495" ht="49" customHeight="1">
      <x:c r="A495" s="3" t="str">
        <x:v>OBS-API</x:v>
      </x:c>
      <x:c r="B495" s="3" t="str">
        <x:v>API</x:v>
      </x:c>
      <x:c r="C495" s="3" t="str">
        <x:v>Hợp đồng BACKEND</x:v>
      </x:c>
      <x:c r="D495" s="3" t="str">
        <x:v>TC_API_012</x:v>
      </x:c>
      <x:c r="E495" s="3" t="str">
        <x:v>POST BACKEND /api/public/visits hợp lệ</x:v>
      </x:c>
      <x:c r="F495" s="3" t="str">
        <x:v>Designed — chưa thực thi</x:v>
      </x:c>
      <x:c r="G495" s="3" t="str">
        <x:v>Nguồn: backend/src/modules/cms/cms.routes.ts:158. Đối với proxy CMS giữ nguyên status/body upstream. Thay placeholder bằng ID/object key fixture; GET không gửi body. Baseline: backend/src/app.ts:24; Yêu cầu suy ra từ code, chưa phải baseline đã phê duyệt.</x:v>
      </x:c>
    </x:row>
    <x:row r="496" ht="36" customHeight="1">
      <x:c r="A496" s="3" t="str">
        <x:v>OBS-API</x:v>
      </x:c>
      <x:c r="B496" s="3" t="str">
        <x:v>API</x:v>
      </x:c>
      <x:c r="C496" s="3" t="str">
        <x:v>Hợp đồng BACKEND</x:v>
      </x:c>
      <x:c r="D496" s="3" t="str">
        <x:v>TC_API_013</x:v>
      </x:c>
      <x:c r="E496" s="3" t="str">
        <x:v>POST BACKEND /api/public/visits JSON hỏng</x:v>
      </x:c>
      <x:c r="F496" s="3" t="str">
        <x:v>Designed — chưa thực thi</x:v>
      </x:c>
      <x:c r="G496" s="3" t="str">
        <x:v>Nguồn: backend/src/modules/cms/cms.routes.ts:158.  Baseline: backend/src/app.ts:24; Yêu cầu suy ra từ code, chưa phải baseline đã phê duyệt.</x:v>
      </x:c>
    </x:row>
    <x:row r="497" ht="49" customHeight="1">
      <x:c r="A497" s="3" t="str">
        <x:v>OBS-API</x:v>
      </x:c>
      <x:c r="B497" s="3" t="str">
        <x:v>API</x:v>
      </x:c>
      <x:c r="C497" s="3" t="str">
        <x:v>Hợp đồng BACKEND</x:v>
      </x:c>
      <x:c r="D497" s="3" t="str">
        <x:v>TC_API_014</x:v>
      </x:c>
      <x:c r="E497" s="3" t="str">
        <x:v>GET BACKEND /api/admin/dashboard hợp lệ</x:v>
      </x:c>
      <x:c r="F497" s="3" t="str">
        <x:v>Designed — chưa thực thi</x:v>
      </x:c>
      <x:c r="G497" s="3" t="str">
        <x:v>Nguồn: backend/src/modules/cms/cms.routes.ts:160. Đối với proxy CMS giữ nguyên status/body upstream. Thay placeholder bằng ID/object key fixture; GET không gửi body. Baseline: backend/src/app.ts:24; Yêu cầu suy ra từ code, chưa phải baseline đã phê duyệt.</x:v>
      </x:c>
    </x:row>
    <x:row r="498" ht="36" customHeight="1">
      <x:c r="A498" s="3" t="str">
        <x:v>NFR-001</x:v>
      </x:c>
      <x:c r="B498" s="3" t="str">
        <x:v>PERMISSION</x:v>
      </x:c>
      <x:c r="C498" s="3" t="str">
        <x:v>Hệ thống phải áp dụng RBAC phía server, cookie HttpOnly, băm mật khẩu, CORS giới hạn, rate limit và làm sạch HTML.</x:v>
      </x:c>
      <x:c r="D498" s="3" t="str">
        <x:v>TC_PERMISSION_003</x:v>
      </x:c>
      <x:c r="E498" s="3" t="str">
        <x:v>GET BACKEND /api/admin/dashboard không có phiên</x:v>
      </x:c>
      <x:c r="F498" s="3" t="str">
        <x:v>Designed — chưa thực thi</x:v>
      </x:c>
      <x:c r="G498" s="3" t="str">
        <x:v>Nguồn: backend/src/modules/cms/cms.routes.ts:160.  Baseline: docs/ba/02-requirements/VGG_REQ-WORKBOOK_v0.1_2026-09-04.xlsx / Requirements; Tiêu chuẩn ATTT chính thức cần xác nhận</x:v>
      </x:c>
    </x:row>
    <x:row r="499" ht="36" customHeight="1">
      <x:c r="A499" s="3" t="str">
        <x:v>NFR-001</x:v>
      </x:c>
      <x:c r="B499" s="3" t="str">
        <x:v>PERMISSION</x:v>
      </x:c>
      <x:c r="C499" s="3" t="str">
        <x:v>Hệ thống phải áp dụng RBAC phía server, cookie HttpOnly, băm mật khẩu, CORS giới hạn, rate limit và làm sạch HTML.</x:v>
      </x:c>
      <x:c r="D499" s="3" t="str">
        <x:v>TC_PERMISSION_004</x:v>
      </x:c>
      <x:c r="E499" s="3" t="str">
        <x:v>GET BACKEND /api/admin/dashboard hết hạn</x:v>
      </x:c>
      <x:c r="F499" s="3" t="str">
        <x:v>Designed — chưa thực thi</x:v>
      </x:c>
      <x:c r="G499" s="3" t="str">
        <x:v>Nguồn: backend/src/modules/cms/cms.routes.ts:160.  Baseline: docs/ba/02-requirements/VGG_REQ-WORKBOOK_v0.1_2026-09-04.xlsx / Requirements; Tiêu chuẩn ATTT chính thức cần xác nhận</x:v>
      </x:c>
    </x:row>
    <x:row r="500" ht="36" customHeight="1">
      <x:c r="A500" s="3" t="str">
        <x:v>NFR-001</x:v>
      </x:c>
      <x:c r="B500" s="3" t="str">
        <x:v>PERMISSION</x:v>
      </x:c>
      <x:c r="C500" s="3" t="str">
        <x:v>Hệ thống phải áp dụng RBAC phía server, cookie HttpOnly, băm mật khẩu, CORS giới hạn, rate limit và làm sạch HTML.</x:v>
      </x:c>
      <x:c r="D500" s="3" t="str">
        <x:v>TC_PERMISSION_005</x:v>
      </x:c>
      <x:c r="E500" s="3" t="str">
        <x:v>GET BACKEND /api/admin/dashboard thiếu dashboard.view</x:v>
      </x:c>
      <x:c r="F500" s="3" t="str">
        <x:v>Designed — chưa thực thi</x:v>
      </x:c>
      <x:c r="G500" s="3" t="str">
        <x:v>Nguồn: backend/src/modules/cms/cms.routes.ts:160.  Baseline: docs/ba/02-requirements/VGG_REQ-WORKBOOK_v0.1_2026-09-04.xlsx / Requirements; Tiêu chuẩn ATTT chính thức cần xác nhận</x:v>
      </x:c>
    </x:row>
    <x:row r="501" ht="49" customHeight="1">
      <x:c r="A501" s="3" t="str">
        <x:v>OBS-API</x:v>
      </x:c>
      <x:c r="B501" s="3" t="str">
        <x:v>API</x:v>
      </x:c>
      <x:c r="C501" s="3" t="str">
        <x:v>Hợp đồng BACKEND</x:v>
      </x:c>
      <x:c r="D501" s="3" t="str">
        <x:v>TC_API_015</x:v>
      </x:c>
      <x:c r="E501" s="3" t="str">
        <x:v>GET BACKEND /api/admin/news hợp lệ</x:v>
      </x:c>
      <x:c r="F501" s="3" t="str">
        <x:v>Designed — chưa thực thi</x:v>
      </x:c>
      <x:c r="G501" s="3" t="str">
        <x:v>Nguồn: backend/src/modules/cms/cms.routes.ts:295. Đối với proxy CMS giữ nguyên status/body upstream. Thay placeholder bằng ID/object key fixture; GET không gửi body. Baseline: backend/src/app.ts:24; Yêu cầu suy ra từ code, chưa phải baseline đã phê duyệt.</x:v>
      </x:c>
    </x:row>
    <x:row r="502" ht="36" customHeight="1">
      <x:c r="A502" s="3" t="str">
        <x:v>NFR-001</x:v>
      </x:c>
      <x:c r="B502" s="3" t="str">
        <x:v>PERMISSION</x:v>
      </x:c>
      <x:c r="C502" s="3" t="str">
        <x:v>Hệ thống phải áp dụng RBAC phía server, cookie HttpOnly, băm mật khẩu, CORS giới hạn, rate limit và làm sạch HTML.</x:v>
      </x:c>
      <x:c r="D502" s="3" t="str">
        <x:v>TC_PERMISSION_006</x:v>
      </x:c>
      <x:c r="E502" s="3" t="str">
        <x:v>GET BACKEND /api/admin/news không có phiên</x:v>
      </x:c>
      <x:c r="F502" s="3" t="str">
        <x:v>Designed — chưa thực thi</x:v>
      </x:c>
      <x:c r="G502" s="3" t="str">
        <x:v>Nguồn: backend/src/modules/cms/cms.routes.ts:295.  Baseline: docs/ba/02-requirements/VGG_REQ-WORKBOOK_v0.1_2026-09-04.xlsx / Requirements; Tiêu chuẩn ATTT chính thức cần xác nhận</x:v>
      </x:c>
    </x:row>
    <x:row r="503" ht="36" customHeight="1">
      <x:c r="A503" s="3" t="str">
        <x:v>NFR-001</x:v>
      </x:c>
      <x:c r="B503" s="3" t="str">
        <x:v>PERMISSION</x:v>
      </x:c>
      <x:c r="C503" s="3" t="str">
        <x:v>Hệ thống phải áp dụng RBAC phía server, cookie HttpOnly, băm mật khẩu, CORS giới hạn, rate limit và làm sạch HTML.</x:v>
      </x:c>
      <x:c r="D503" s="3" t="str">
        <x:v>TC_PERMISSION_007</x:v>
      </x:c>
      <x:c r="E503" s="3" t="str">
        <x:v>GET BACKEND /api/admin/news hết hạn</x:v>
      </x:c>
      <x:c r="F503" s="3" t="str">
        <x:v>Designed — chưa thực thi</x:v>
      </x:c>
      <x:c r="G503" s="3" t="str">
        <x:v>Nguồn: backend/src/modules/cms/cms.routes.ts:295.  Baseline: docs/ba/02-requirements/VGG_REQ-WORKBOOK_v0.1_2026-09-04.xlsx / Requirements; Tiêu chuẩn ATTT chính thức cần xác nhận</x:v>
      </x:c>
    </x:row>
    <x:row r="504" ht="36" customHeight="1">
      <x:c r="A504" s="3" t="str">
        <x:v>NFR-001</x:v>
      </x:c>
      <x:c r="B504" s="3" t="str">
        <x:v>PERMISSION</x:v>
      </x:c>
      <x:c r="C504" s="3" t="str">
        <x:v>Hệ thống phải áp dụng RBAC phía server, cookie HttpOnly, băm mật khẩu, CORS giới hạn, rate limit và làm sạch HTML.</x:v>
      </x:c>
      <x:c r="D504" s="3" t="str">
        <x:v>TC_PERMISSION_008</x:v>
      </x:c>
      <x:c r="E504" s="3" t="str">
        <x:v>GET BACKEND /api/admin/news thiếu news.view</x:v>
      </x:c>
      <x:c r="F504" s="3" t="str">
        <x:v>Designed — chưa thực thi</x:v>
      </x:c>
      <x:c r="G504" s="3" t="str">
        <x:v>Nguồn: backend/src/modules/cms/cms.routes.ts:295.  Baseline: docs/ba/02-requirements/VGG_REQ-WORKBOOK_v0.1_2026-09-04.xlsx / Requirements; Tiêu chuẩn ATTT chính thức cần xác nhận</x:v>
      </x:c>
    </x:row>
    <x:row r="505" ht="49" customHeight="1">
      <x:c r="A505" s="3" t="str">
        <x:v>OBS-API</x:v>
      </x:c>
      <x:c r="B505" s="3" t="str">
        <x:v>API</x:v>
      </x:c>
      <x:c r="C505" s="3" t="str">
        <x:v>Hợp đồng BACKEND</x:v>
      </x:c>
      <x:c r="D505" s="3" t="str">
        <x:v>TC_API_016</x:v>
      </x:c>
      <x:c r="E505" s="3" t="str">
        <x:v>GET BACKEND /api/admin/news/:id hợp lệ</x:v>
      </x:c>
      <x:c r="F505" s="3" t="str">
        <x:v>Designed — chưa thực thi</x:v>
      </x:c>
      <x:c r="G505" s="3" t="str">
        <x:v>Nguồn: backend/src/modules/cms/cms.routes.ts:296. Đối với proxy CMS giữ nguyên status/body upstream. Thay placeholder bằng ID/object key fixture; GET không gửi body. Baseline: backend/src/app.ts:24; Yêu cầu suy ra từ code, chưa phải baseline đã phê duyệt.</x:v>
      </x:c>
    </x:row>
    <x:row r="506" ht="36" customHeight="1">
      <x:c r="A506" s="3" t="str">
        <x:v>NFR-001</x:v>
      </x:c>
      <x:c r="B506" s="3" t="str">
        <x:v>PERMISSION</x:v>
      </x:c>
      <x:c r="C506" s="3" t="str">
        <x:v>Hệ thống phải áp dụng RBAC phía server, cookie HttpOnly, băm mật khẩu, CORS giới hạn, rate limit và làm sạch HTML.</x:v>
      </x:c>
      <x:c r="D506" s="3" t="str">
        <x:v>TC_PERMISSION_009</x:v>
      </x:c>
      <x:c r="E506" s="3" t="str">
        <x:v>GET BACKEND /api/admin/news/:id không có phiên</x:v>
      </x:c>
      <x:c r="F506" s="3" t="str">
        <x:v>Designed — chưa thực thi</x:v>
      </x:c>
      <x:c r="G506" s="3" t="str">
        <x:v>Nguồn: backend/src/modules/cms/cms.routes.ts:296.  Baseline: docs/ba/02-requirements/VGG_REQ-WORKBOOK_v0.1_2026-09-04.xlsx / Requirements; Tiêu chuẩn ATTT chính thức cần xác nhận</x:v>
      </x:c>
    </x:row>
    <x:row r="507" ht="36" customHeight="1">
      <x:c r="A507" s="3" t="str">
        <x:v>NFR-001</x:v>
      </x:c>
      <x:c r="B507" s="3" t="str">
        <x:v>PERMISSION</x:v>
      </x:c>
      <x:c r="C507" s="3" t="str">
        <x:v>Hệ thống phải áp dụng RBAC phía server, cookie HttpOnly, băm mật khẩu, CORS giới hạn, rate limit và làm sạch HTML.</x:v>
      </x:c>
      <x:c r="D507" s="3" t="str">
        <x:v>TC_PERMISSION_010</x:v>
      </x:c>
      <x:c r="E507" s="3" t="str">
        <x:v>GET BACKEND /api/admin/news/:id hết hạn</x:v>
      </x:c>
      <x:c r="F507" s="3" t="str">
        <x:v>Designed — chưa thực thi</x:v>
      </x:c>
      <x:c r="G507" s="3" t="str">
        <x:v>Nguồn: backend/src/modules/cms/cms.routes.ts:296.  Baseline: docs/ba/02-requirements/VGG_REQ-WORKBOOK_v0.1_2026-09-04.xlsx / Requirements; Tiêu chuẩn ATTT chính thức cần xác nhận</x:v>
      </x:c>
    </x:row>
    <x:row r="508" ht="36" customHeight="1">
      <x:c r="A508" s="3" t="str">
        <x:v>NFR-001</x:v>
      </x:c>
      <x:c r="B508" s="3" t="str">
        <x:v>PERMISSION</x:v>
      </x:c>
      <x:c r="C508" s="3" t="str">
        <x:v>Hệ thống phải áp dụng RBAC phía server, cookie HttpOnly, băm mật khẩu, CORS giới hạn, rate limit và làm sạch HTML.</x:v>
      </x:c>
      <x:c r="D508" s="3" t="str">
        <x:v>TC_PERMISSION_011</x:v>
      </x:c>
      <x:c r="E508" s="3" t="str">
        <x:v>GET BACKEND /api/admin/news/:id thiếu news.view</x:v>
      </x:c>
      <x:c r="F508" s="3" t="str">
        <x:v>Designed — chưa thực thi</x:v>
      </x:c>
      <x:c r="G508" s="3" t="str">
        <x:v>Nguồn: backend/src/modules/cms/cms.routes.ts:296.  Baseline: docs/ba/02-requirements/VGG_REQ-WORKBOOK_v0.1_2026-09-04.xlsx / Requirements; Tiêu chuẩn ATTT chính thức cần xác nhận</x:v>
      </x:c>
    </x:row>
    <x:row r="509" ht="49" customHeight="1">
      <x:c r="A509" s="3" t="str">
        <x:v>OBS-API</x:v>
      </x:c>
      <x:c r="B509" s="3" t="str">
        <x:v>API</x:v>
      </x:c>
      <x:c r="C509" s="3" t="str">
        <x:v>Hợp đồng BACKEND</x:v>
      </x:c>
      <x:c r="D509" s="3" t="str">
        <x:v>TC_API_017</x:v>
      </x:c>
      <x:c r="E509" s="3" t="str">
        <x:v>POST BACKEND /api/admin/news hợp lệ</x:v>
      </x:c>
      <x:c r="F509" s="3" t="str">
        <x:v>Designed — chưa thực thi</x:v>
      </x:c>
      <x:c r="G509" s="3" t="str">
        <x:v>Nguồn: backend/src/modules/cms/cms.routes.ts:295. Đối với proxy CMS giữ nguyên status/body upstream. Thay placeholder bằng ID/object key fixture; GET không gửi body. Baseline: backend/src/app.ts:24; Yêu cầu suy ra từ code, chưa phải baseline đã phê duyệt.</x:v>
      </x:c>
    </x:row>
    <x:row r="510" ht="36" customHeight="1">
      <x:c r="A510" s="3" t="str">
        <x:v>NFR-001</x:v>
      </x:c>
      <x:c r="B510" s="3" t="str">
        <x:v>PERMISSION</x:v>
      </x:c>
      <x:c r="C510" s="3" t="str">
        <x:v>Hệ thống phải áp dụng RBAC phía server, cookie HttpOnly, băm mật khẩu, CORS giới hạn, rate limit và làm sạch HTML.</x:v>
      </x:c>
      <x:c r="D510" s="3" t="str">
        <x:v>TC_PERMISSION_012</x:v>
      </x:c>
      <x:c r="E510" s="3" t="str">
        <x:v>POST BACKEND /api/admin/news không có phiên</x:v>
      </x:c>
      <x:c r="F510" s="3" t="str">
        <x:v>Designed — chưa thực thi</x:v>
      </x:c>
      <x:c r="G510" s="3" t="str">
        <x:v>Nguồn: backend/src/modules/cms/cms.routes.ts:295.  Baseline: docs/ba/02-requirements/VGG_REQ-WORKBOOK_v0.1_2026-09-04.xlsx / Requirements; Tiêu chuẩn ATTT chính thức cần xác nhận</x:v>
      </x:c>
    </x:row>
    <x:row r="511" ht="36" customHeight="1">
      <x:c r="A511" s="3" t="str">
        <x:v>NFR-001</x:v>
      </x:c>
      <x:c r="B511" s="3" t="str">
        <x:v>PERMISSION</x:v>
      </x:c>
      <x:c r="C511" s="3" t="str">
        <x:v>Hệ thống phải áp dụng RBAC phía server, cookie HttpOnly, băm mật khẩu, CORS giới hạn, rate limit và làm sạch HTML.</x:v>
      </x:c>
      <x:c r="D511" s="3" t="str">
        <x:v>TC_PERMISSION_013</x:v>
      </x:c>
      <x:c r="E511" s="3" t="str">
        <x:v>POST BACKEND /api/admin/news hết hạn</x:v>
      </x:c>
      <x:c r="F511" s="3" t="str">
        <x:v>Designed — chưa thực thi</x:v>
      </x:c>
      <x:c r="G511" s="3" t="str">
        <x:v>Nguồn: backend/src/modules/cms/cms.routes.ts:295.  Baseline: docs/ba/02-requirements/VGG_REQ-WORKBOOK_v0.1_2026-09-04.xlsx / Requirements; Tiêu chuẩn ATTT chính thức cần xác nhận</x:v>
      </x:c>
    </x:row>
    <x:row r="512" ht="36" customHeight="1">
      <x:c r="A512" s="3" t="str">
        <x:v>NFR-001</x:v>
      </x:c>
      <x:c r="B512" s="3" t="str">
        <x:v>PERMISSION</x:v>
      </x:c>
      <x:c r="C512" s="3" t="str">
        <x:v>Hệ thống phải áp dụng RBAC phía server, cookie HttpOnly, băm mật khẩu, CORS giới hạn, rate limit và làm sạch HTML.</x:v>
      </x:c>
      <x:c r="D512" s="3" t="str">
        <x:v>TC_PERMISSION_014</x:v>
      </x:c>
      <x:c r="E512" s="3" t="str">
        <x:v>POST BACKEND /api/admin/news thiếu news.create</x:v>
      </x:c>
      <x:c r="F512" s="3" t="str">
        <x:v>Designed — chưa thực thi</x:v>
      </x:c>
      <x:c r="G512" s="3" t="str">
        <x:v>Nguồn: backend/src/modules/cms/cms.routes.ts:295.  Baseline: docs/ba/02-requirements/VGG_REQ-WORKBOOK_v0.1_2026-09-04.xlsx / Requirements; Tiêu chuẩn ATTT chính thức cần xác nhận</x:v>
      </x:c>
    </x:row>
    <x:row r="513" ht="36" customHeight="1">
      <x:c r="A513" s="3" t="str">
        <x:v>OBS-API</x:v>
      </x:c>
      <x:c r="B513" s="3" t="str">
        <x:v>API</x:v>
      </x:c>
      <x:c r="C513" s="3" t="str">
        <x:v>Hợp đồng BACKEND</x:v>
      </x:c>
      <x:c r="D513" s="3" t="str">
        <x:v>TC_API_018</x:v>
      </x:c>
      <x:c r="E513" s="3" t="str">
        <x:v>POST BACKEND /api/admin/news JSON hỏng</x:v>
      </x:c>
      <x:c r="F513" s="3" t="str">
        <x:v>Designed — chưa thực thi</x:v>
      </x:c>
      <x:c r="G513" s="3" t="str">
        <x:v>Nguồn: backend/src/modules/cms/cms.routes.ts:295.  Baseline: backend/src/app.ts:24; Yêu cầu suy ra từ code, chưa phải baseline đã phê duyệt.</x:v>
      </x:c>
    </x:row>
    <x:row r="514" ht="49" customHeight="1">
      <x:c r="A514" s="3" t="str">
        <x:v>OBS-API</x:v>
      </x:c>
      <x:c r="B514" s="3" t="str">
        <x:v>API</x:v>
      </x:c>
      <x:c r="C514" s="3" t="str">
        <x:v>Hợp đồng BACKEND</x:v>
      </x:c>
      <x:c r="D514" s="3" t="str">
        <x:v>TC_API_019</x:v>
      </x:c>
      <x:c r="E514" s="3" t="str">
        <x:v>PUT BACKEND /api/admin/news/:id hợp lệ</x:v>
      </x:c>
      <x:c r="F514" s="3" t="str">
        <x:v>Designed — chưa thực thi</x:v>
      </x:c>
      <x:c r="G514" s="3" t="str">
        <x:v>Nguồn: backend/src/modules/cms/cms.routes.ts:296. Đối với proxy CMS giữ nguyên status/body upstream. Thay placeholder bằng ID/object key fixture; GET không gửi body. Baseline: backend/src/app.ts:24; Yêu cầu suy ra từ code, chưa phải baseline đã phê duyệt.</x:v>
      </x:c>
    </x:row>
    <x:row r="515" ht="36" customHeight="1">
      <x:c r="A515" s="3" t="str">
        <x:v>NFR-001</x:v>
      </x:c>
      <x:c r="B515" s="3" t="str">
        <x:v>PERMISSION</x:v>
      </x:c>
      <x:c r="C515" s="3" t="str">
        <x:v>Hệ thống phải áp dụng RBAC phía server, cookie HttpOnly, băm mật khẩu, CORS giới hạn, rate limit và làm sạch HTML.</x:v>
      </x:c>
      <x:c r="D515" s="3" t="str">
        <x:v>TC_PERMISSION_015</x:v>
      </x:c>
      <x:c r="E515" s="3" t="str">
        <x:v>PUT BACKEND /api/admin/news/:id không có phiên</x:v>
      </x:c>
      <x:c r="F515" s="3" t="str">
        <x:v>Designed — chưa thực thi</x:v>
      </x:c>
      <x:c r="G515" s="3" t="str">
        <x:v>Nguồn: backend/src/modules/cms/cms.routes.ts:296.  Baseline: docs/ba/02-requirements/VGG_REQ-WORKBOOK_v0.1_2026-09-04.xlsx / Requirements; Tiêu chuẩn ATTT chính thức cần xác nhận</x:v>
      </x:c>
    </x:row>
    <x:row r="516" ht="36" customHeight="1">
      <x:c r="A516" s="3" t="str">
        <x:v>NFR-001</x:v>
      </x:c>
      <x:c r="B516" s="3" t="str">
        <x:v>PERMISSION</x:v>
      </x:c>
      <x:c r="C516" s="3" t="str">
        <x:v>Hệ thống phải áp dụng RBAC phía server, cookie HttpOnly, băm mật khẩu, CORS giới hạn, rate limit và làm sạch HTML.</x:v>
      </x:c>
      <x:c r="D516" s="3" t="str">
        <x:v>TC_PERMISSION_016</x:v>
      </x:c>
      <x:c r="E516" s="3" t="str">
        <x:v>PUT BACKEND /api/admin/news/:id hết hạn</x:v>
      </x:c>
      <x:c r="F516" s="3" t="str">
        <x:v>Designed — chưa thực thi</x:v>
      </x:c>
      <x:c r="G516" s="3" t="str">
        <x:v>Nguồn: backend/src/modules/cms/cms.routes.ts:296.  Baseline: docs/ba/02-requirements/VGG_REQ-WORKBOOK_v0.1_2026-09-04.xlsx / Requirements; Tiêu chuẩn ATTT chính thức cần xác nhận</x:v>
      </x:c>
    </x:row>
    <x:row r="517" ht="36" customHeight="1">
      <x:c r="A517" s="3" t="str">
        <x:v>NFR-001</x:v>
      </x:c>
      <x:c r="B517" s="3" t="str">
        <x:v>PERMISSION</x:v>
      </x:c>
      <x:c r="C517" s="3" t="str">
        <x:v>Hệ thống phải áp dụng RBAC phía server, cookie HttpOnly, băm mật khẩu, CORS giới hạn, rate limit và làm sạch HTML.</x:v>
      </x:c>
      <x:c r="D517" s="3" t="str">
        <x:v>TC_PERMISSION_017</x:v>
      </x:c>
      <x:c r="E517" s="3" t="str">
        <x:v>PUT BACKEND /api/admin/news/:id thiếu news.update</x:v>
      </x:c>
      <x:c r="F517" s="3" t="str">
        <x:v>Designed — chưa thực thi</x:v>
      </x:c>
      <x:c r="G517" s="3" t="str">
        <x:v>Nguồn: backend/src/modules/cms/cms.routes.ts:296.  Baseline: docs/ba/02-requirements/VGG_REQ-WORKBOOK_v0.1_2026-09-04.xlsx / Requirements; Tiêu chuẩn ATTT chính thức cần xác nhận</x:v>
      </x:c>
    </x:row>
    <x:row r="518" ht="36" customHeight="1">
      <x:c r="A518" s="3" t="str">
        <x:v>OBS-API</x:v>
      </x:c>
      <x:c r="B518" s="3" t="str">
        <x:v>API</x:v>
      </x:c>
      <x:c r="C518" s="3" t="str">
        <x:v>Hợp đồng BACKEND</x:v>
      </x:c>
      <x:c r="D518" s="3" t="str">
        <x:v>TC_API_020</x:v>
      </x:c>
      <x:c r="E518" s="3" t="str">
        <x:v>PUT BACKEND /api/admin/news/:id JSON hỏng</x:v>
      </x:c>
      <x:c r="F518" s="3" t="str">
        <x:v>Designed — chưa thực thi</x:v>
      </x:c>
      <x:c r="G518" s="3" t="str">
        <x:v>Nguồn: backend/src/modules/cms/cms.routes.ts:296.  Baseline: backend/src/app.ts:24; Yêu cầu suy ra từ code, chưa phải baseline đã phê duyệt.</x:v>
      </x:c>
    </x:row>
    <x:row r="519" ht="49" customHeight="1">
      <x:c r="A519" s="3" t="str">
        <x:v>OBS-API</x:v>
      </x:c>
      <x:c r="B519" s="3" t="str">
        <x:v>API</x:v>
      </x:c>
      <x:c r="C519" s="3" t="str">
        <x:v>Hợp đồng BACKEND</x:v>
      </x:c>
      <x:c r="D519" s="3" t="str">
        <x:v>TC_API_021</x:v>
      </x:c>
      <x:c r="E519" s="3" t="str">
        <x:v>DELETE BACKEND /api/admin/news/:id hợp lệ</x:v>
      </x:c>
      <x:c r="F519" s="3" t="str">
        <x:v>Designed — chưa thực thi</x:v>
      </x:c>
      <x:c r="G519" s="3" t="str">
        <x:v>Nguồn: backend/src/modules/cms/cms.routes.ts:296. Đối với proxy CMS giữ nguyên status/body upstream. Thay placeholder bằng ID/object key fixture; GET không gửi body. Baseline: backend/src/app.ts:24; Yêu cầu suy ra từ code, chưa phải baseline đã phê duyệt.</x:v>
      </x:c>
    </x:row>
    <x:row r="520" ht="36" customHeight="1">
      <x:c r="A520" s="3" t="str">
        <x:v>NFR-001</x:v>
      </x:c>
      <x:c r="B520" s="3" t="str">
        <x:v>PERMISSION</x:v>
      </x:c>
      <x:c r="C520" s="3" t="str">
        <x:v>Hệ thống phải áp dụng RBAC phía server, cookie HttpOnly, băm mật khẩu, CORS giới hạn, rate limit và làm sạch HTML.</x:v>
      </x:c>
      <x:c r="D520" s="3" t="str">
        <x:v>TC_PERMISSION_018</x:v>
      </x:c>
      <x:c r="E520" s="3" t="str">
        <x:v>DELETE BACKEND /api/admin/news/:id không có phiên</x:v>
      </x:c>
      <x:c r="F520" s="3" t="str">
        <x:v>Designed — chưa thực thi</x:v>
      </x:c>
      <x:c r="G520" s="3" t="str">
        <x:v>Nguồn: backend/src/modules/cms/cms.routes.ts:296.  Baseline: docs/ba/02-requirements/VGG_REQ-WORKBOOK_v0.1_2026-09-04.xlsx / Requirements; Tiêu chuẩn ATTT chính thức cần xác nhận</x:v>
      </x:c>
    </x:row>
    <x:row r="521" ht="36" customHeight="1">
      <x:c r="A521" s="3" t="str">
        <x:v>NFR-001</x:v>
      </x:c>
      <x:c r="B521" s="3" t="str">
        <x:v>PERMISSION</x:v>
      </x:c>
      <x:c r="C521" s="3" t="str">
        <x:v>Hệ thống phải áp dụng RBAC phía server, cookie HttpOnly, băm mật khẩu, CORS giới hạn, rate limit và làm sạch HTML.</x:v>
      </x:c>
      <x:c r="D521" s="3" t="str">
        <x:v>TC_PERMISSION_019</x:v>
      </x:c>
      <x:c r="E521" s="3" t="str">
        <x:v>DELETE BACKEND /api/admin/news/:id hết hạn</x:v>
      </x:c>
      <x:c r="F521" s="3" t="str">
        <x:v>Designed — chưa thực thi</x:v>
      </x:c>
      <x:c r="G521" s="3" t="str">
        <x:v>Nguồn: backend/src/modules/cms/cms.routes.ts:296.  Baseline: docs/ba/02-requirements/VGG_REQ-WORKBOOK_v0.1_2026-09-04.xlsx / Requirements; Tiêu chuẩn ATTT chính thức cần xác nhận</x:v>
      </x:c>
    </x:row>
    <x:row r="522" ht="36" customHeight="1">
      <x:c r="A522" s="3" t="str">
        <x:v>NFR-001</x:v>
      </x:c>
      <x:c r="B522" s="3" t="str">
        <x:v>PERMISSION</x:v>
      </x:c>
      <x:c r="C522" s="3" t="str">
        <x:v>Hệ thống phải áp dụng RBAC phía server, cookie HttpOnly, băm mật khẩu, CORS giới hạn, rate limit và làm sạch HTML.</x:v>
      </x:c>
      <x:c r="D522" s="3" t="str">
        <x:v>TC_PERMISSION_020</x:v>
      </x:c>
      <x:c r="E522" s="3" t="str">
        <x:v>DELETE BACKEND /api/admin/news/:id thiếu news.delete</x:v>
      </x:c>
      <x:c r="F522" s="3" t="str">
        <x:v>Designed — chưa thực thi</x:v>
      </x:c>
      <x:c r="G522" s="3" t="str">
        <x:v>Nguồn: backend/src/modules/cms/cms.routes.ts:296.  Baseline: docs/ba/02-requirements/VGG_REQ-WORKBOOK_v0.1_2026-09-04.xlsx / Requirements; Tiêu chuẩn ATTT chính thức cần xác nhận</x:v>
      </x:c>
    </x:row>
    <x:row r="523" ht="49" customHeight="1">
      <x:c r="A523" s="3" t="str">
        <x:v>OBS-API</x:v>
      </x:c>
      <x:c r="B523" s="3" t="str">
        <x:v>API</x:v>
      </x:c>
      <x:c r="C523" s="3" t="str">
        <x:v>Hợp đồng BACKEND</x:v>
      </x:c>
      <x:c r="D523" s="3" t="str">
        <x:v>TC_API_022</x:v>
      </x:c>
      <x:c r="E523" s="3" t="str">
        <x:v>GET BACKEND /api/admin/resources hợp lệ</x:v>
      </x:c>
      <x:c r="F523" s="3" t="str">
        <x:v>Designed — chưa thực thi</x:v>
      </x:c>
      <x:c r="G523" s="3" t="str">
        <x:v>Nguồn: backend/src/modules/cms/cms.routes.ts:367. Đối với proxy CMS giữ nguyên status/body upstream. Thay placeholder bằng ID/object key fixture; GET không gửi body. Baseline: backend/src/app.ts:24; Yêu cầu suy ra từ code, chưa phải baseline đã phê duyệt.</x:v>
      </x:c>
    </x:row>
    <x:row r="524" ht="36" customHeight="1">
      <x:c r="A524" s="3" t="str">
        <x:v>NFR-001</x:v>
      </x:c>
      <x:c r="B524" s="3" t="str">
        <x:v>PERMISSION</x:v>
      </x:c>
      <x:c r="C524" s="3" t="str">
        <x:v>Hệ thống phải áp dụng RBAC phía server, cookie HttpOnly, băm mật khẩu, CORS giới hạn, rate limit và làm sạch HTML.</x:v>
      </x:c>
      <x:c r="D524" s="3" t="str">
        <x:v>TC_PERMISSION_021</x:v>
      </x:c>
      <x:c r="E524" s="3" t="str">
        <x:v>GET BACKEND /api/admin/resources không có phiên</x:v>
      </x:c>
      <x:c r="F524" s="3" t="str">
        <x:v>Designed — chưa thực thi</x:v>
      </x:c>
      <x:c r="G524" s="3" t="str">
        <x:v>Nguồn: backend/src/modules/cms/cms.routes.ts:367.  Baseline: docs/ba/02-requirements/VGG_REQ-WORKBOOK_v0.1_2026-09-04.xlsx / Requirements; Tiêu chuẩn ATTT chính thức cần xác nhận</x:v>
      </x:c>
    </x:row>
    <x:row r="525" ht="36" customHeight="1">
      <x:c r="A525" s="3" t="str">
        <x:v>NFR-001</x:v>
      </x:c>
      <x:c r="B525" s="3" t="str">
        <x:v>PERMISSION</x:v>
      </x:c>
      <x:c r="C525" s="3" t="str">
        <x:v>Hệ thống phải áp dụng RBAC phía server, cookie HttpOnly, băm mật khẩu, CORS giới hạn, rate limit và làm sạch HTML.</x:v>
      </x:c>
      <x:c r="D525" s="3" t="str">
        <x:v>TC_PERMISSION_022</x:v>
      </x:c>
      <x:c r="E525" s="3" t="str">
        <x:v>GET BACKEND /api/admin/resources hết hạn</x:v>
      </x:c>
      <x:c r="F525" s="3" t="str">
        <x:v>Designed — chưa thực thi</x:v>
      </x:c>
      <x:c r="G525" s="3" t="str">
        <x:v>Nguồn: backend/src/modules/cms/cms.routes.ts:367.  Baseline: docs/ba/02-requirements/VGG_REQ-WORKBOOK_v0.1_2026-09-04.xlsx / Requirements; Tiêu chuẩn ATTT chính thức cần xác nhận</x:v>
      </x:c>
    </x:row>
    <x:row r="526" ht="36" customHeight="1">
      <x:c r="A526" s="3" t="str">
        <x:v>NFR-001</x:v>
      </x:c>
      <x:c r="B526" s="3" t="str">
        <x:v>PERMISSION</x:v>
      </x:c>
      <x:c r="C526" s="3" t="str">
        <x:v>Hệ thống phải áp dụng RBAC phía server, cookie HttpOnly, băm mật khẩu, CORS giới hạn, rate limit và làm sạch HTML.</x:v>
      </x:c>
      <x:c r="D526" s="3" t="str">
        <x:v>TC_PERMISSION_023</x:v>
      </x:c>
      <x:c r="E526" s="3" t="str">
        <x:v>GET BACKEND /api/admin/resources thiếu resources.view</x:v>
      </x:c>
      <x:c r="F526" s="3" t="str">
        <x:v>Designed — chưa thực thi</x:v>
      </x:c>
      <x:c r="G526" s="3" t="str">
        <x:v>Nguồn: backend/src/modules/cms/cms.routes.ts:367.  Baseline: docs/ba/02-requirements/VGG_REQ-WORKBOOK_v0.1_2026-09-04.xlsx / Requirements; Tiêu chuẩn ATTT chính thức cần xác nhận</x:v>
      </x:c>
    </x:row>
    <x:row r="527" ht="49" customHeight="1">
      <x:c r="A527" s="3" t="str">
        <x:v>OBS-API</x:v>
      </x:c>
      <x:c r="B527" s="3" t="str">
        <x:v>API</x:v>
      </x:c>
      <x:c r="C527" s="3" t="str">
        <x:v>Hợp đồng BACKEND</x:v>
      </x:c>
      <x:c r="D527" s="3" t="str">
        <x:v>TC_API_023</x:v>
      </x:c>
      <x:c r="E527" s="3" t="str">
        <x:v>GET BACKEND /api/admin/resources/:id hợp lệ</x:v>
      </x:c>
      <x:c r="F527" s="3" t="str">
        <x:v>Designed — chưa thực thi</x:v>
      </x:c>
      <x:c r="G527" s="3" t="str">
        <x:v>Nguồn: backend/src/modules/cms/cms.routes.ts:378. Đối với proxy CMS giữ nguyên status/body upstream. Thay placeholder bằng ID/object key fixture; GET không gửi body. Baseline: backend/src/app.ts:24; Yêu cầu suy ra từ code, chưa phải baseline đã phê duyệt.</x:v>
      </x:c>
    </x:row>
    <x:row r="528" ht="36" customHeight="1">
      <x:c r="A528" s="3" t="str">
        <x:v>NFR-001</x:v>
      </x:c>
      <x:c r="B528" s="3" t="str">
        <x:v>PERMISSION</x:v>
      </x:c>
      <x:c r="C528" s="3" t="str">
        <x:v>Hệ thống phải áp dụng RBAC phía server, cookie HttpOnly, băm mật khẩu, CORS giới hạn, rate limit và làm sạch HTML.</x:v>
      </x:c>
      <x:c r="D528" s="3" t="str">
        <x:v>TC_PERMISSION_024</x:v>
      </x:c>
      <x:c r="E528" s="3" t="str">
        <x:v>GET BACKEND /api/admin/resources/:id không có phiên</x:v>
      </x:c>
      <x:c r="F528" s="3" t="str">
        <x:v>Designed — chưa thực thi</x:v>
      </x:c>
      <x:c r="G528" s="3" t="str">
        <x:v>Nguồn: backend/src/modules/cms/cms.routes.ts:378.  Baseline: docs/ba/02-requirements/VGG_REQ-WORKBOOK_v0.1_2026-09-04.xlsx / Requirements; Tiêu chuẩn ATTT chính thức cần xác nhận</x:v>
      </x:c>
    </x:row>
    <x:row r="529" ht="36" customHeight="1">
      <x:c r="A529" s="3" t="str">
        <x:v>NFR-001</x:v>
      </x:c>
      <x:c r="B529" s="3" t="str">
        <x:v>PERMISSION</x:v>
      </x:c>
      <x:c r="C529" s="3" t="str">
        <x:v>Hệ thống phải áp dụng RBAC phía server, cookie HttpOnly, băm mật khẩu, CORS giới hạn, rate limit và làm sạch HTML.</x:v>
      </x:c>
      <x:c r="D529" s="3" t="str">
        <x:v>TC_PERMISSION_025</x:v>
      </x:c>
      <x:c r="E529" s="3" t="str">
        <x:v>GET BACKEND /api/admin/resources/:id hết hạn</x:v>
      </x:c>
      <x:c r="F529" s="3" t="str">
        <x:v>Designed — chưa thực thi</x:v>
      </x:c>
      <x:c r="G529" s="3" t="str">
        <x:v>Nguồn: backend/src/modules/cms/cms.routes.ts:378.  Baseline: docs/ba/02-requirements/VGG_REQ-WORKBOOK_v0.1_2026-09-04.xlsx / Requirements; Tiêu chuẩn ATTT chính thức cần xác nhận</x:v>
      </x:c>
    </x:row>
    <x:row r="530" ht="36" customHeight="1">
      <x:c r="A530" s="3" t="str">
        <x:v>NFR-001</x:v>
      </x:c>
      <x:c r="B530" s="3" t="str">
        <x:v>PERMISSION</x:v>
      </x:c>
      <x:c r="C530" s="3" t="str">
        <x:v>Hệ thống phải áp dụng RBAC phía server, cookie HttpOnly, băm mật khẩu, CORS giới hạn, rate limit và làm sạch HTML.</x:v>
      </x:c>
      <x:c r="D530" s="3" t="str">
        <x:v>TC_PERMISSION_026</x:v>
      </x:c>
      <x:c r="E530" s="3" t="str">
        <x:v>GET BACKEND /api/admin/resources/:id thiếu resources.view</x:v>
      </x:c>
      <x:c r="F530" s="3" t="str">
        <x:v>Designed — chưa thực thi</x:v>
      </x:c>
      <x:c r="G530" s="3" t="str">
        <x:v>Nguồn: backend/src/modules/cms/cms.routes.ts:378.  Baseline: docs/ba/02-requirements/VGG_REQ-WORKBOOK_v0.1_2026-09-04.xlsx / Requirements; Tiêu chuẩn ATTT chính thức cần xác nhận</x:v>
      </x:c>
    </x:row>
    <x:row r="531" ht="49" customHeight="1">
      <x:c r="A531" s="3" t="str">
        <x:v>OBS-API</x:v>
      </x:c>
      <x:c r="B531" s="3" t="str">
        <x:v>API</x:v>
      </x:c>
      <x:c r="C531" s="3" t="str">
        <x:v>Hợp đồng BACKEND</x:v>
      </x:c>
      <x:c r="D531" s="3" t="str">
        <x:v>TC_API_024</x:v>
      </x:c>
      <x:c r="E531" s="3" t="str">
        <x:v>POST BACKEND /api/admin/resources hợp lệ</x:v>
      </x:c>
      <x:c r="F531" s="3" t="str">
        <x:v>Designed — chưa thực thi</x:v>
      </x:c>
      <x:c r="G531" s="3" t="str">
        <x:v>Nguồn: backend/src/modules/cms/cms.routes.ts:367. Đối với proxy CMS giữ nguyên status/body upstream. Thay placeholder bằng ID/object key fixture; GET không gửi body. Baseline: backend/src/app.ts:24; Yêu cầu suy ra từ code, chưa phải baseline đã phê duyệt.</x:v>
      </x:c>
    </x:row>
    <x:row r="532" ht="36" customHeight="1">
      <x:c r="A532" s="3" t="str">
        <x:v>NFR-001</x:v>
      </x:c>
      <x:c r="B532" s="3" t="str">
        <x:v>PERMISSION</x:v>
      </x:c>
      <x:c r="C532" s="3" t="str">
        <x:v>Hệ thống phải áp dụng RBAC phía server, cookie HttpOnly, băm mật khẩu, CORS giới hạn, rate limit và làm sạch HTML.</x:v>
      </x:c>
      <x:c r="D532" s="3" t="str">
        <x:v>TC_PERMISSION_027</x:v>
      </x:c>
      <x:c r="E532" s="3" t="str">
        <x:v>POST BACKEND /api/admin/resources không có phiên</x:v>
      </x:c>
      <x:c r="F532" s="3" t="str">
        <x:v>Designed — chưa thực thi</x:v>
      </x:c>
      <x:c r="G532" s="3" t="str">
        <x:v>Nguồn: backend/src/modules/cms/cms.routes.ts:367.  Baseline: docs/ba/02-requirements/VGG_REQ-WORKBOOK_v0.1_2026-09-04.xlsx / Requirements; Tiêu chuẩn ATTT chính thức cần xác nhận</x:v>
      </x:c>
    </x:row>
    <x:row r="533" ht="36" customHeight="1">
      <x:c r="A533" s="3" t="str">
        <x:v>NFR-001</x:v>
      </x:c>
      <x:c r="B533" s="3" t="str">
        <x:v>PERMISSION</x:v>
      </x:c>
      <x:c r="C533" s="3" t="str">
        <x:v>Hệ thống phải áp dụng RBAC phía server, cookie HttpOnly, băm mật khẩu, CORS giới hạn, rate limit và làm sạch HTML.</x:v>
      </x:c>
      <x:c r="D533" s="3" t="str">
        <x:v>TC_PERMISSION_028</x:v>
      </x:c>
      <x:c r="E533" s="3" t="str">
        <x:v>POST BACKEND /api/admin/resources hết hạn</x:v>
      </x:c>
      <x:c r="F533" s="3" t="str">
        <x:v>Designed — chưa thực thi</x:v>
      </x:c>
      <x:c r="G533" s="3" t="str">
        <x:v>Nguồn: backend/src/modules/cms/cms.routes.ts:367.  Baseline: docs/ba/02-requirements/VGG_REQ-WORKBOOK_v0.1_2026-09-04.xlsx / Requirements; Tiêu chuẩn ATTT chính thức cần xác nhận</x:v>
      </x:c>
    </x:row>
    <x:row r="534" ht="36" customHeight="1">
      <x:c r="A534" s="3" t="str">
        <x:v>NFR-001</x:v>
      </x:c>
      <x:c r="B534" s="3" t="str">
        <x:v>PERMISSION</x:v>
      </x:c>
      <x:c r="C534" s="3" t="str">
        <x:v>Hệ thống phải áp dụng RBAC phía server, cookie HttpOnly, băm mật khẩu, CORS giới hạn, rate limit và làm sạch HTML.</x:v>
      </x:c>
      <x:c r="D534" s="3" t="str">
        <x:v>TC_PERMISSION_029</x:v>
      </x:c>
      <x:c r="E534" s="3" t="str">
        <x:v>POST BACKEND /api/admin/resources thiếu resources.create</x:v>
      </x:c>
      <x:c r="F534" s="3" t="str">
        <x:v>Designed — chưa thực thi</x:v>
      </x:c>
      <x:c r="G534" s="3" t="str">
        <x:v>Nguồn: backend/src/modules/cms/cms.routes.ts:367.  Baseline: docs/ba/02-requirements/VGG_REQ-WORKBOOK_v0.1_2026-09-04.xlsx / Requirements; Tiêu chuẩn ATTT chính thức cần xác nhận</x:v>
      </x:c>
    </x:row>
    <x:row r="535" ht="36" customHeight="1">
      <x:c r="A535" s="3" t="str">
        <x:v>OBS-API</x:v>
      </x:c>
      <x:c r="B535" s="3" t="str">
        <x:v>API</x:v>
      </x:c>
      <x:c r="C535" s="3" t="str">
        <x:v>Hợp đồng BACKEND</x:v>
      </x:c>
      <x:c r="D535" s="3" t="str">
        <x:v>TC_API_025</x:v>
      </x:c>
      <x:c r="E535" s="3" t="str">
        <x:v>POST BACKEND /api/admin/resources JSON hỏng</x:v>
      </x:c>
      <x:c r="F535" s="3" t="str">
        <x:v>Designed — chưa thực thi</x:v>
      </x:c>
      <x:c r="G535" s="3" t="str">
        <x:v>Nguồn: backend/src/modules/cms/cms.routes.ts:367.  Baseline: backend/src/app.ts:24; Yêu cầu suy ra từ code, chưa phải baseline đã phê duyệt.</x:v>
      </x:c>
    </x:row>
    <x:row r="536" ht="49" customHeight="1">
      <x:c r="A536" s="3" t="str">
        <x:v>OBS-API</x:v>
      </x:c>
      <x:c r="B536" s="3" t="str">
        <x:v>API</x:v>
      </x:c>
      <x:c r="C536" s="3" t="str">
        <x:v>Hợp đồng BACKEND</x:v>
      </x:c>
      <x:c r="D536" s="3" t="str">
        <x:v>TC_API_026</x:v>
      </x:c>
      <x:c r="E536" s="3" t="str">
        <x:v>PUT BACKEND /api/admin/resources/:id hợp lệ</x:v>
      </x:c>
      <x:c r="F536" s="3" t="str">
        <x:v>Designed — chưa thực thi</x:v>
      </x:c>
      <x:c r="G536" s="3" t="str">
        <x:v>Nguồn: backend/src/modules/cms/cms.routes.ts:378. Đối với proxy CMS giữ nguyên status/body upstream. Thay placeholder bằng ID/object key fixture; GET không gửi body. Baseline: backend/src/app.ts:24; Yêu cầu suy ra từ code, chưa phải baseline đã phê duyệt.</x:v>
      </x:c>
    </x:row>
    <x:row r="537" ht="36" customHeight="1">
      <x:c r="A537" s="3" t="str">
        <x:v>NFR-001</x:v>
      </x:c>
      <x:c r="B537" s="3" t="str">
        <x:v>PERMISSION</x:v>
      </x:c>
      <x:c r="C537" s="3" t="str">
        <x:v>Hệ thống phải áp dụng RBAC phía server, cookie HttpOnly, băm mật khẩu, CORS giới hạn, rate limit và làm sạch HTML.</x:v>
      </x:c>
      <x:c r="D537" s="3" t="str">
        <x:v>TC_PERMISSION_030</x:v>
      </x:c>
      <x:c r="E537" s="3" t="str">
        <x:v>PUT BACKEND /api/admin/resources/:id không có phiên</x:v>
      </x:c>
      <x:c r="F537" s="3" t="str">
        <x:v>Designed — chưa thực thi</x:v>
      </x:c>
      <x:c r="G537" s="3" t="str">
        <x:v>Nguồn: backend/src/modules/cms/cms.routes.ts:378.  Baseline: docs/ba/02-requirements/VGG_REQ-WORKBOOK_v0.1_2026-09-04.xlsx / Requirements; Tiêu chuẩn ATTT chính thức cần xác nhận</x:v>
      </x:c>
    </x:row>
    <x:row r="538" ht="36" customHeight="1">
      <x:c r="A538" s="3" t="str">
        <x:v>NFR-001</x:v>
      </x:c>
      <x:c r="B538" s="3" t="str">
        <x:v>PERMISSION</x:v>
      </x:c>
      <x:c r="C538" s="3" t="str">
        <x:v>Hệ thống phải áp dụng RBAC phía server, cookie HttpOnly, băm mật khẩu, CORS giới hạn, rate limit và làm sạch HTML.</x:v>
      </x:c>
      <x:c r="D538" s="3" t="str">
        <x:v>TC_PERMISSION_031</x:v>
      </x:c>
      <x:c r="E538" s="3" t="str">
        <x:v>PUT BACKEND /api/admin/resources/:id hết hạn</x:v>
      </x:c>
      <x:c r="F538" s="3" t="str">
        <x:v>Designed — chưa thực thi</x:v>
      </x:c>
      <x:c r="G538" s="3" t="str">
        <x:v>Nguồn: backend/src/modules/cms/cms.routes.ts:378.  Baseline: docs/ba/02-requirements/VGG_REQ-WORKBOOK_v0.1_2026-09-04.xlsx / Requirements; Tiêu chuẩn ATTT chính thức cần xác nhận</x:v>
      </x:c>
    </x:row>
    <x:row r="539" ht="36" customHeight="1">
      <x:c r="A539" s="3" t="str">
        <x:v>NFR-001</x:v>
      </x:c>
      <x:c r="B539" s="3" t="str">
        <x:v>PERMISSION</x:v>
      </x:c>
      <x:c r="C539" s="3" t="str">
        <x:v>Hệ thống phải áp dụng RBAC phía server, cookie HttpOnly, băm mật khẩu, CORS giới hạn, rate limit và làm sạch HTML.</x:v>
      </x:c>
      <x:c r="D539" s="3" t="str">
        <x:v>TC_PERMISSION_032</x:v>
      </x:c>
      <x:c r="E539" s="3" t="str">
        <x:v>PUT BACKEND /api/admin/resources/:id thiếu resources.update</x:v>
      </x:c>
      <x:c r="F539" s="3" t="str">
        <x:v>Designed — chưa thực thi</x:v>
      </x:c>
      <x:c r="G539" s="3" t="str">
        <x:v>Nguồn: backend/src/modules/cms/cms.routes.ts:378.  Baseline: docs/ba/02-requirements/VGG_REQ-WORKBOOK_v0.1_2026-09-04.xlsx / Requirements; Tiêu chuẩn ATTT chính thức cần xác nhận</x:v>
      </x:c>
    </x:row>
    <x:row r="540" ht="36" customHeight="1">
      <x:c r="A540" s="3" t="str">
        <x:v>OBS-API</x:v>
      </x:c>
      <x:c r="B540" s="3" t="str">
        <x:v>API</x:v>
      </x:c>
      <x:c r="C540" s="3" t="str">
        <x:v>Hợp đồng BACKEND</x:v>
      </x:c>
      <x:c r="D540" s="3" t="str">
        <x:v>TC_API_027</x:v>
      </x:c>
      <x:c r="E540" s="3" t="str">
        <x:v>PUT BACKEND /api/admin/resources/:id JSON hỏng</x:v>
      </x:c>
      <x:c r="F540" s="3" t="str">
        <x:v>Designed — chưa thực thi</x:v>
      </x:c>
      <x:c r="G540" s="3" t="str">
        <x:v>Nguồn: backend/src/modules/cms/cms.routes.ts:378.  Baseline: backend/src/app.ts:24; Yêu cầu suy ra từ code, chưa phải baseline đã phê duyệt.</x:v>
      </x:c>
    </x:row>
    <x:row r="541" ht="49" customHeight="1">
      <x:c r="A541" s="3" t="str">
        <x:v>OBS-API</x:v>
      </x:c>
      <x:c r="B541" s="3" t="str">
        <x:v>API</x:v>
      </x:c>
      <x:c r="C541" s="3" t="str">
        <x:v>Hợp đồng BACKEND</x:v>
      </x:c>
      <x:c r="D541" s="3" t="str">
        <x:v>TC_API_028</x:v>
      </x:c>
      <x:c r="E541" s="3" t="str">
        <x:v>DELETE BACKEND /api/admin/resources/:id hợp lệ</x:v>
      </x:c>
      <x:c r="F541" s="3" t="str">
        <x:v>Designed — chưa thực thi</x:v>
      </x:c>
      <x:c r="G541" s="3" t="str">
        <x:v>Nguồn: backend/src/modules/cms/cms.routes.ts:378. Đối với proxy CMS giữ nguyên status/body upstream. Thay placeholder bằng ID/object key fixture; GET không gửi body. Baseline: backend/src/app.ts:24; Yêu cầu suy ra từ code, chưa phải baseline đã phê duyệt.</x:v>
      </x:c>
    </x:row>
    <x:row r="542" ht="36" customHeight="1">
      <x:c r="A542" s="3" t="str">
        <x:v>NFR-001</x:v>
      </x:c>
      <x:c r="B542" s="3" t="str">
        <x:v>PERMISSION</x:v>
      </x:c>
      <x:c r="C542" s="3" t="str">
        <x:v>Hệ thống phải áp dụng RBAC phía server, cookie HttpOnly, băm mật khẩu, CORS giới hạn, rate limit và làm sạch HTML.</x:v>
      </x:c>
      <x:c r="D542" s="3" t="str">
        <x:v>TC_PERMISSION_033</x:v>
      </x:c>
      <x:c r="E542" s="3" t="str">
        <x:v>DELETE BACKEND /api/admin/resources/:id không có phiên</x:v>
      </x:c>
      <x:c r="F542" s="3" t="str">
        <x:v>Designed — chưa thực thi</x:v>
      </x:c>
      <x:c r="G542" s="3" t="str">
        <x:v>Nguồn: backend/src/modules/cms/cms.routes.ts:378.  Baseline: docs/ba/02-requirements/VGG_REQ-WORKBOOK_v0.1_2026-09-04.xlsx / Requirements; Tiêu chuẩn ATTT chính thức cần xác nhận</x:v>
      </x:c>
    </x:row>
    <x:row r="543" ht="36" customHeight="1">
      <x:c r="A543" s="3" t="str">
        <x:v>NFR-001</x:v>
      </x:c>
      <x:c r="B543" s="3" t="str">
        <x:v>PERMISSION</x:v>
      </x:c>
      <x:c r="C543" s="3" t="str">
        <x:v>Hệ thống phải áp dụng RBAC phía server, cookie HttpOnly, băm mật khẩu, CORS giới hạn, rate limit và làm sạch HTML.</x:v>
      </x:c>
      <x:c r="D543" s="3" t="str">
        <x:v>TC_PERMISSION_034</x:v>
      </x:c>
      <x:c r="E543" s="3" t="str">
        <x:v>DELETE BACKEND /api/admin/resources/:id hết hạn</x:v>
      </x:c>
      <x:c r="F543" s="3" t="str">
        <x:v>Designed — chưa thực thi</x:v>
      </x:c>
      <x:c r="G543" s="3" t="str">
        <x:v>Nguồn: backend/src/modules/cms/cms.routes.ts:378.  Baseline: docs/ba/02-requirements/VGG_REQ-WORKBOOK_v0.1_2026-09-04.xlsx / Requirements; Tiêu chuẩn ATTT chính thức cần xác nhận</x:v>
      </x:c>
    </x:row>
    <x:row r="544" ht="36" customHeight="1">
      <x:c r="A544" s="3" t="str">
        <x:v>NFR-001</x:v>
      </x:c>
      <x:c r="B544" s="3" t="str">
        <x:v>PERMISSION</x:v>
      </x:c>
      <x:c r="C544" s="3" t="str">
        <x:v>Hệ thống phải áp dụng RBAC phía server, cookie HttpOnly, băm mật khẩu, CORS giới hạn, rate limit và làm sạch HTML.</x:v>
      </x:c>
      <x:c r="D544" s="3" t="str">
        <x:v>TC_PERMISSION_035</x:v>
      </x:c>
      <x:c r="E544" s="3" t="str">
        <x:v>DELETE BACKEND /api/admin/resources/:id thiếu resources.delete</x:v>
      </x:c>
      <x:c r="F544" s="3" t="str">
        <x:v>Designed — chưa thực thi</x:v>
      </x:c>
      <x:c r="G544" s="3" t="str">
        <x:v>Nguồn: backend/src/modules/cms/cms.routes.ts:378.  Baseline: docs/ba/02-requirements/VGG_REQ-WORKBOOK_v0.1_2026-09-04.xlsx / Requirements; Tiêu chuẩn ATTT chính thức cần xác nhận</x:v>
      </x:c>
    </x:row>
    <x:row r="545" ht="49" customHeight="1">
      <x:c r="A545" s="3" t="str">
        <x:v>OBS-API</x:v>
      </x:c>
      <x:c r="B545" s="3" t="str">
        <x:v>API</x:v>
      </x:c>
      <x:c r="C545" s="3" t="str">
        <x:v>Hợp đồng BACKEND</x:v>
      </x:c>
      <x:c r="D545" s="3" t="str">
        <x:v>TC_API_029</x:v>
      </x:c>
      <x:c r="E545" s="3" t="str">
        <x:v>GET BACKEND /api/admin/resource-categories hợp lệ</x:v>
      </x:c>
      <x:c r="F545" s="3" t="str">
        <x:v>Designed — chưa thực thi</x:v>
      </x:c>
      <x:c r="G545" s="3" t="str">
        <x:v>Nguồn: backend/src/modules/cms/cms.routes.ts:456. Đối với proxy CMS giữ nguyên status/body upstream. Thay placeholder bằng ID/object key fixture; GET không gửi body. Baseline: backend/src/app.ts:24; Yêu cầu suy ra từ code, chưa phải baseline đã phê duyệt.</x:v>
      </x:c>
    </x:row>
    <x:row r="546" ht="36" customHeight="1">
      <x:c r="A546" s="3" t="str">
        <x:v>NFR-001</x:v>
      </x:c>
      <x:c r="B546" s="3" t="str">
        <x:v>PERMISSION</x:v>
      </x:c>
      <x:c r="C546" s="3" t="str">
        <x:v>Hệ thống phải áp dụng RBAC phía server, cookie HttpOnly, băm mật khẩu, CORS giới hạn, rate limit và làm sạch HTML.</x:v>
      </x:c>
      <x:c r="D546" s="3" t="str">
        <x:v>TC_PERMISSION_036</x:v>
      </x:c>
      <x:c r="E546" s="3" t="str">
        <x:v>GET BACKEND /api/admin/resource-categories không có phiên</x:v>
      </x:c>
      <x:c r="F546" s="3" t="str">
        <x:v>Designed — chưa thực thi</x:v>
      </x:c>
      <x:c r="G546" s="3" t="str">
        <x:v>Nguồn: backend/src/modules/cms/cms.routes.ts:456.  Baseline: docs/ba/02-requirements/VGG_REQ-WORKBOOK_v0.1_2026-09-04.xlsx / Requirements; Tiêu chuẩn ATTT chính thức cần xác nhận</x:v>
      </x:c>
    </x:row>
    <x:row r="547" ht="36" customHeight="1">
      <x:c r="A547" s="3" t="str">
        <x:v>NFR-001</x:v>
      </x:c>
      <x:c r="B547" s="3" t="str">
        <x:v>PERMISSION</x:v>
      </x:c>
      <x:c r="C547" s="3" t="str">
        <x:v>Hệ thống phải áp dụng RBAC phía server, cookie HttpOnly, băm mật khẩu, CORS giới hạn, rate limit và làm sạch HTML.</x:v>
      </x:c>
      <x:c r="D547" s="3" t="str">
        <x:v>TC_PERMISSION_037</x:v>
      </x:c>
      <x:c r="E547" s="3" t="str">
        <x:v>GET BACKEND /api/admin/resource-categories hết hạn</x:v>
      </x:c>
      <x:c r="F547" s="3" t="str">
        <x:v>Designed — chưa thực thi</x:v>
      </x:c>
      <x:c r="G547" s="3" t="str">
        <x:v>Nguồn: backend/src/modules/cms/cms.routes.ts:456.  Baseline: docs/ba/02-requirements/VGG_REQ-WORKBOOK_v0.1_2026-09-04.xlsx / Requirements; Tiêu chuẩn ATTT chính thức cần xác nhận</x:v>
      </x:c>
    </x:row>
    <x:row r="548" ht="36" customHeight="1">
      <x:c r="A548" s="3" t="str">
        <x:v>NFR-001</x:v>
      </x:c>
      <x:c r="B548" s="3" t="str">
        <x:v>PERMISSION</x:v>
      </x:c>
      <x:c r="C548" s="3" t="str">
        <x:v>Hệ thống phải áp dụng RBAC phía server, cookie HttpOnly, băm mật khẩu, CORS giới hạn, rate limit và làm sạch HTML.</x:v>
      </x:c>
      <x:c r="D548" s="3" t="str">
        <x:v>TC_PERMISSION_038</x:v>
      </x:c>
      <x:c r="E548" s="3" t="str">
        <x:v>GET BACKEND /api/admin/resource-categories thiếu resources.view</x:v>
      </x:c>
      <x:c r="F548" s="3" t="str">
        <x:v>Designed — chưa thực thi</x:v>
      </x:c>
      <x:c r="G548" s="3" t="str">
        <x:v>Nguồn: backend/src/modules/cms/cms.routes.ts:456.  Baseline: docs/ba/02-requirements/VGG_REQ-WORKBOOK_v0.1_2026-09-04.xlsx / Requirements; Tiêu chuẩn ATTT chính thức cần xác nhận</x:v>
      </x:c>
    </x:row>
    <x:row r="549" ht="49" customHeight="1">
      <x:c r="A549" s="3" t="str">
        <x:v>OBS-API</x:v>
      </x:c>
      <x:c r="B549" s="3" t="str">
        <x:v>API</x:v>
      </x:c>
      <x:c r="C549" s="3" t="str">
        <x:v>Hợp đồng BACKEND</x:v>
      </x:c>
      <x:c r="D549" s="3" t="str">
        <x:v>TC_API_030</x:v>
      </x:c>
      <x:c r="E549" s="3" t="str">
        <x:v>POST BACKEND /api/admin/resource-categories hợp lệ</x:v>
      </x:c>
      <x:c r="F549" s="3" t="str">
        <x:v>Designed — chưa thực thi</x:v>
      </x:c>
      <x:c r="G549" s="3" t="str">
        <x:v>Nguồn: backend/src/modules/cms/cms.routes.ts:456. Đối với proxy CMS giữ nguyên status/body upstream. Thay placeholder bằng ID/object key fixture; GET không gửi body. Baseline: backend/src/app.ts:24; Yêu cầu suy ra từ code, chưa phải baseline đã phê duyệt.</x:v>
      </x:c>
    </x:row>
    <x:row r="550" ht="36" customHeight="1">
      <x:c r="A550" s="3" t="str">
        <x:v>NFR-001</x:v>
      </x:c>
      <x:c r="B550" s="3" t="str">
        <x:v>PERMISSION</x:v>
      </x:c>
      <x:c r="C550" s="3" t="str">
        <x:v>Hệ thống phải áp dụng RBAC phía server, cookie HttpOnly, băm mật khẩu, CORS giới hạn, rate limit và làm sạch HTML.</x:v>
      </x:c>
      <x:c r="D550" s="3" t="str">
        <x:v>TC_PERMISSION_039</x:v>
      </x:c>
      <x:c r="E550" s="3" t="str">
        <x:v>POST BACKEND /api/admin/resource-categories không có phiên</x:v>
      </x:c>
      <x:c r="F550" s="3" t="str">
        <x:v>Designed — chưa thực thi</x:v>
      </x:c>
      <x:c r="G550" s="3" t="str">
        <x:v>Nguồn: backend/src/modules/cms/cms.routes.ts:456.  Baseline: docs/ba/02-requirements/VGG_REQ-WORKBOOK_v0.1_2026-09-04.xlsx / Requirements; Tiêu chuẩn ATTT chính thức cần xác nhận</x:v>
      </x:c>
    </x:row>
    <x:row r="551" ht="36" customHeight="1">
      <x:c r="A551" s="3" t="str">
        <x:v>NFR-001</x:v>
      </x:c>
      <x:c r="B551" s="3" t="str">
        <x:v>PERMISSION</x:v>
      </x:c>
      <x:c r="C551" s="3" t="str">
        <x:v>Hệ thống phải áp dụng RBAC phía server, cookie HttpOnly, băm mật khẩu, CORS giới hạn, rate limit và làm sạch HTML.</x:v>
      </x:c>
      <x:c r="D551" s="3" t="str">
        <x:v>TC_PERMISSION_040</x:v>
      </x:c>
      <x:c r="E551" s="3" t="str">
        <x:v>POST BACKEND /api/admin/resource-categories hết hạn</x:v>
      </x:c>
      <x:c r="F551" s="3" t="str">
        <x:v>Designed — chưa thực thi</x:v>
      </x:c>
      <x:c r="G551" s="3" t="str">
        <x:v>Nguồn: backend/src/modules/cms/cms.routes.ts:456.  Baseline: docs/ba/02-requirements/VGG_REQ-WORKBOOK_v0.1_2026-09-04.xlsx / Requirements; Tiêu chuẩn ATTT chính thức cần xác nhận</x:v>
      </x:c>
    </x:row>
    <x:row r="552" ht="36" customHeight="1">
      <x:c r="A552" s="3" t="str">
        <x:v>NFR-001</x:v>
      </x:c>
      <x:c r="B552" s="3" t="str">
        <x:v>PERMISSION</x:v>
      </x:c>
      <x:c r="C552" s="3" t="str">
        <x:v>Hệ thống phải áp dụng RBAC phía server, cookie HttpOnly, băm mật khẩu, CORS giới hạn, rate limit và làm sạch HTML.</x:v>
      </x:c>
      <x:c r="D552" s="3" t="str">
        <x:v>TC_PERMISSION_041</x:v>
      </x:c>
      <x:c r="E552" s="3" t="str">
        <x:v>POST BACKEND /api/admin/resource-categories thiếu resources.create</x:v>
      </x:c>
      <x:c r="F552" s="3" t="str">
        <x:v>Designed — chưa thực thi</x:v>
      </x:c>
      <x:c r="G552" s="3" t="str">
        <x:v>Nguồn: backend/src/modules/cms/cms.routes.ts:456.  Baseline: docs/ba/02-requirements/VGG_REQ-WORKBOOK_v0.1_2026-09-04.xlsx / Requirements; Tiêu chuẩn ATTT chính thức cần xác nhận</x:v>
      </x:c>
    </x:row>
    <x:row r="553" ht="36" customHeight="1">
      <x:c r="A553" s="3" t="str">
        <x:v>OBS-API</x:v>
      </x:c>
      <x:c r="B553" s="3" t="str">
        <x:v>API</x:v>
      </x:c>
      <x:c r="C553" s="3" t="str">
        <x:v>Hợp đồng BACKEND</x:v>
      </x:c>
      <x:c r="D553" s="3" t="str">
        <x:v>TC_API_031</x:v>
      </x:c>
      <x:c r="E553" s="3" t="str">
        <x:v>POST BACKEND /api/admin/resource-categories JSON hỏng</x:v>
      </x:c>
      <x:c r="F553" s="3" t="str">
        <x:v>Designed — chưa thực thi</x:v>
      </x:c>
      <x:c r="G553" s="3" t="str">
        <x:v>Nguồn: backend/src/modules/cms/cms.routes.ts:456.  Baseline: backend/src/app.ts:24; Yêu cầu suy ra từ code, chưa phải baseline đã phê duyệt.</x:v>
      </x:c>
    </x:row>
    <x:row r="554" ht="49" customHeight="1">
      <x:c r="A554" s="3" t="str">
        <x:v>OBS-API</x:v>
      </x:c>
      <x:c r="B554" s="3" t="str">
        <x:v>API</x:v>
      </x:c>
      <x:c r="C554" s="3" t="str">
        <x:v>Hợp đồng BACKEND</x:v>
      </x:c>
      <x:c r="D554" s="3" t="str">
        <x:v>TC_API_032</x:v>
      </x:c>
      <x:c r="E554" s="3" t="str">
        <x:v>PUT BACKEND /api/admin/resource-categories/:id hợp lệ</x:v>
      </x:c>
      <x:c r="F554" s="3" t="str">
        <x:v>Designed — chưa thực thi</x:v>
      </x:c>
      <x:c r="G554" s="3" t="str">
        <x:v>Nguồn: backend/src/modules/cms/cms.routes.ts:458. Đối với proxy CMS giữ nguyên status/body upstream. Thay placeholder bằng ID/object key fixture; GET không gửi body. Baseline: backend/src/app.ts:24; Yêu cầu suy ra từ code, chưa phải baseline đã phê duyệt.</x:v>
      </x:c>
    </x:row>
    <x:row r="555" ht="36" customHeight="1">
      <x:c r="A555" s="3" t="str">
        <x:v>NFR-001</x:v>
      </x:c>
      <x:c r="B555" s="3" t="str">
        <x:v>PERMISSION</x:v>
      </x:c>
      <x:c r="C555" s="3" t="str">
        <x:v>Hệ thống phải áp dụng RBAC phía server, cookie HttpOnly, băm mật khẩu, CORS giới hạn, rate limit và làm sạch HTML.</x:v>
      </x:c>
      <x:c r="D555" s="3" t="str">
        <x:v>TC_PERMISSION_042</x:v>
      </x:c>
      <x:c r="E555" s="3" t="str">
        <x:v>PUT BACKEND /api/admin/resource-categories/:id không có phiên</x:v>
      </x:c>
      <x:c r="F555" s="3" t="str">
        <x:v>Designed — chưa thực thi</x:v>
      </x:c>
      <x:c r="G555" s="3" t="str">
        <x:v>Nguồn: backend/src/modules/cms/cms.routes.ts:458.  Baseline: docs/ba/02-requirements/VGG_REQ-WORKBOOK_v0.1_2026-09-04.xlsx / Requirements; Tiêu chuẩn ATTT chính thức cần xác nhận</x:v>
      </x:c>
    </x:row>
    <x:row r="556" ht="36" customHeight="1">
      <x:c r="A556" s="3" t="str">
        <x:v>NFR-001</x:v>
      </x:c>
      <x:c r="B556" s="3" t="str">
        <x:v>PERMISSION</x:v>
      </x:c>
      <x:c r="C556" s="3" t="str">
        <x:v>Hệ thống phải áp dụng RBAC phía server, cookie HttpOnly, băm mật khẩu, CORS giới hạn, rate limit và làm sạch HTML.</x:v>
      </x:c>
      <x:c r="D556" s="3" t="str">
        <x:v>TC_PERMISSION_043</x:v>
      </x:c>
      <x:c r="E556" s="3" t="str">
        <x:v>PUT BACKEND /api/admin/resource-categories/:id hết hạn</x:v>
      </x:c>
      <x:c r="F556" s="3" t="str">
        <x:v>Designed — chưa thực thi</x:v>
      </x:c>
      <x:c r="G556" s="3" t="str">
        <x:v>Nguồn: backend/src/modules/cms/cms.routes.ts:458.  Baseline: docs/ba/02-requirements/VGG_REQ-WORKBOOK_v0.1_2026-09-04.xlsx / Requirements; Tiêu chuẩn ATTT chính thức cần xác nhận</x:v>
      </x:c>
    </x:row>
    <x:row r="557" ht="36" customHeight="1">
      <x:c r="A557" s="3" t="str">
        <x:v>NFR-001</x:v>
      </x:c>
      <x:c r="B557" s="3" t="str">
        <x:v>PERMISSION</x:v>
      </x:c>
      <x:c r="C557" s="3" t="str">
        <x:v>Hệ thống phải áp dụng RBAC phía server, cookie HttpOnly, băm mật khẩu, CORS giới hạn, rate limit và làm sạch HTML.</x:v>
      </x:c>
      <x:c r="D557" s="3" t="str">
        <x:v>TC_PERMISSION_044</x:v>
      </x:c>
      <x:c r="E557" s="3" t="str">
        <x:v>PUT BACKEND /api/admin/resource-categories/:id thiếu resources.update</x:v>
      </x:c>
      <x:c r="F557" s="3" t="str">
        <x:v>Designed — chưa thực thi</x:v>
      </x:c>
      <x:c r="G557" s="3" t="str">
        <x:v>Nguồn: backend/src/modules/cms/cms.routes.ts:458.  Baseline: docs/ba/02-requirements/VGG_REQ-WORKBOOK_v0.1_2026-09-04.xlsx / Requirements; Tiêu chuẩn ATTT chính thức cần xác nhận</x:v>
      </x:c>
    </x:row>
    <x:row r="558" ht="36" customHeight="1">
      <x:c r="A558" s="3" t="str">
        <x:v>OBS-API</x:v>
      </x:c>
      <x:c r="B558" s="3" t="str">
        <x:v>API</x:v>
      </x:c>
      <x:c r="C558" s="3" t="str">
        <x:v>Hợp đồng BACKEND</x:v>
      </x:c>
      <x:c r="D558" s="3" t="str">
        <x:v>TC_API_033</x:v>
      </x:c>
      <x:c r="E558" s="3" t="str">
        <x:v>PUT BACKEND /api/admin/resource-categories/:id JSON hỏng</x:v>
      </x:c>
      <x:c r="F558" s="3" t="str">
        <x:v>Designed — chưa thực thi</x:v>
      </x:c>
      <x:c r="G558" s="3" t="str">
        <x:v>Nguồn: backend/src/modules/cms/cms.routes.ts:458.  Baseline: backend/src/app.ts:24; Yêu cầu suy ra từ code, chưa phải baseline đã phê duyệt.</x:v>
      </x:c>
    </x:row>
    <x:row r="559" ht="49" customHeight="1">
      <x:c r="A559" s="3" t="str">
        <x:v>OBS-API</x:v>
      </x:c>
      <x:c r="B559" s="3" t="str">
        <x:v>API</x:v>
      </x:c>
      <x:c r="C559" s="3" t="str">
        <x:v>Hợp đồng BACKEND</x:v>
      </x:c>
      <x:c r="D559" s="3" t="str">
        <x:v>TC_API_034</x:v>
      </x:c>
      <x:c r="E559" s="3" t="str">
        <x:v>DELETE BACKEND /api/admin/resource-categories/:id hợp lệ</x:v>
      </x:c>
      <x:c r="F559" s="3" t="str">
        <x:v>Designed — chưa thực thi</x:v>
      </x:c>
      <x:c r="G559" s="3" t="str">
        <x:v>Nguồn: backend/src/modules/cms/cms.routes.ts:458. Đối với proxy CMS giữ nguyên status/body upstream. Thay placeholder bằng ID/object key fixture; GET không gửi body. Baseline: backend/src/app.ts:24; Yêu cầu suy ra từ code, chưa phải baseline đã phê duyệt.</x:v>
      </x:c>
    </x:row>
    <x:row r="560" ht="36" customHeight="1">
      <x:c r="A560" s="3" t="str">
        <x:v>NFR-001</x:v>
      </x:c>
      <x:c r="B560" s="3" t="str">
        <x:v>PERMISSION</x:v>
      </x:c>
      <x:c r="C560" s="3" t="str">
        <x:v>Hệ thống phải áp dụng RBAC phía server, cookie HttpOnly, băm mật khẩu, CORS giới hạn, rate limit và làm sạch HTML.</x:v>
      </x:c>
      <x:c r="D560" s="3" t="str">
        <x:v>TC_PERMISSION_045</x:v>
      </x:c>
      <x:c r="E560" s="3" t="str">
        <x:v>DELETE BACKEND /api/admin/resource-categories/:id không có phiên</x:v>
      </x:c>
      <x:c r="F560" s="3" t="str">
        <x:v>Designed — chưa thực thi</x:v>
      </x:c>
      <x:c r="G560" s="3" t="str">
        <x:v>Nguồn: backend/src/modules/cms/cms.routes.ts:458.  Baseline: docs/ba/02-requirements/VGG_REQ-WORKBOOK_v0.1_2026-09-04.xlsx / Requirements; Tiêu chuẩn ATTT chính thức cần xác nhận</x:v>
      </x:c>
    </x:row>
    <x:row r="561" ht="36" customHeight="1">
      <x:c r="A561" s="3" t="str">
        <x:v>NFR-001</x:v>
      </x:c>
      <x:c r="B561" s="3" t="str">
        <x:v>PERMISSION</x:v>
      </x:c>
      <x:c r="C561" s="3" t="str">
        <x:v>Hệ thống phải áp dụng RBAC phía server, cookie HttpOnly, băm mật khẩu, CORS giới hạn, rate limit và làm sạch HTML.</x:v>
      </x:c>
      <x:c r="D561" s="3" t="str">
        <x:v>TC_PERMISSION_046</x:v>
      </x:c>
      <x:c r="E561" s="3" t="str">
        <x:v>DELETE BACKEND /api/admin/resource-categories/:id hết hạn</x:v>
      </x:c>
      <x:c r="F561" s="3" t="str">
        <x:v>Designed — chưa thực thi</x:v>
      </x:c>
      <x:c r="G561" s="3" t="str">
        <x:v>Nguồn: backend/src/modules/cms/cms.routes.ts:458.  Baseline: docs/ba/02-requirements/VGG_REQ-WORKBOOK_v0.1_2026-09-04.xlsx / Requirements; Tiêu chuẩn ATTT chính thức cần xác nhận</x:v>
      </x:c>
    </x:row>
    <x:row r="562" ht="36" customHeight="1">
      <x:c r="A562" s="3" t="str">
        <x:v>NFR-001</x:v>
      </x:c>
      <x:c r="B562" s="3" t="str">
        <x:v>PERMISSION</x:v>
      </x:c>
      <x:c r="C562" s="3" t="str">
        <x:v>Hệ thống phải áp dụng RBAC phía server, cookie HttpOnly, băm mật khẩu, CORS giới hạn, rate limit và làm sạch HTML.</x:v>
      </x:c>
      <x:c r="D562" s="3" t="str">
        <x:v>TC_PERMISSION_047</x:v>
      </x:c>
      <x:c r="E562" s="3" t="str">
        <x:v>DELETE BACKEND /api/admin/resource-categories/:id thiếu resources.delete</x:v>
      </x:c>
      <x:c r="F562" s="3" t="str">
        <x:v>Designed — chưa thực thi</x:v>
      </x:c>
      <x:c r="G562" s="3" t="str">
        <x:v>Nguồn: backend/src/modules/cms/cms.routes.ts:458.  Baseline: docs/ba/02-requirements/VGG_REQ-WORKBOOK_v0.1_2026-09-04.xlsx / Requirements; Tiêu chuẩn ATTT chính thức cần xác nhận</x:v>
      </x:c>
    </x:row>
    <x:row r="563" ht="49" customHeight="1">
      <x:c r="A563" s="3" t="str">
        <x:v>OBS-API</x:v>
      </x:c>
      <x:c r="B563" s="3" t="str">
        <x:v>API</x:v>
      </x:c>
      <x:c r="C563" s="3" t="str">
        <x:v>Hợp đồng BACKEND</x:v>
      </x:c>
      <x:c r="D563" s="3" t="str">
        <x:v>TC_API_035</x:v>
      </x:c>
      <x:c r="E563" s="3" t="str">
        <x:v>GET BACKEND /api/admin/applications hợp lệ</x:v>
      </x:c>
      <x:c r="F563" s="3" t="str">
        <x:v>Designed — chưa thực thi</x:v>
      </x:c>
      <x:c r="G563" s="3" t="str">
        <x:v>Nguồn: backend/src/modules/cms/cms.routes.ts:460. Đối với proxy CMS giữ nguyên status/body upstream. Thay placeholder bằng ID/object key fixture; GET không gửi body. Baseline: backend/src/app.ts:24; Yêu cầu suy ra từ code, chưa phải baseline đã phê duyệt.</x:v>
      </x:c>
    </x:row>
    <x:row r="564" ht="36" customHeight="1">
      <x:c r="A564" s="3" t="str">
        <x:v>NFR-001</x:v>
      </x:c>
      <x:c r="B564" s="3" t="str">
        <x:v>PERMISSION</x:v>
      </x:c>
      <x:c r="C564" s="3" t="str">
        <x:v>Hệ thống phải áp dụng RBAC phía server, cookie HttpOnly, băm mật khẩu, CORS giới hạn, rate limit và làm sạch HTML.</x:v>
      </x:c>
      <x:c r="D564" s="3" t="str">
        <x:v>TC_PERMISSION_048</x:v>
      </x:c>
      <x:c r="E564" s="3" t="str">
        <x:v>GET BACKEND /api/admin/applications không có phiên</x:v>
      </x:c>
      <x:c r="F564" s="3" t="str">
        <x:v>Designed — chưa thực thi</x:v>
      </x:c>
      <x:c r="G564" s="3" t="str">
        <x:v>Nguồn: backend/src/modules/cms/cms.routes.ts:460.  Baseline: docs/ba/02-requirements/VGG_REQ-WORKBOOK_v0.1_2026-09-04.xlsx / Requirements; Tiêu chuẩn ATTT chính thức cần xác nhận</x:v>
      </x:c>
    </x:row>
    <x:row r="565" ht="36" customHeight="1">
      <x:c r="A565" s="3" t="str">
        <x:v>NFR-001</x:v>
      </x:c>
      <x:c r="B565" s="3" t="str">
        <x:v>PERMISSION</x:v>
      </x:c>
      <x:c r="C565" s="3" t="str">
        <x:v>Hệ thống phải áp dụng RBAC phía server, cookie HttpOnly, băm mật khẩu, CORS giới hạn, rate limit và làm sạch HTML.</x:v>
      </x:c>
      <x:c r="D565" s="3" t="str">
        <x:v>TC_PERMISSION_049</x:v>
      </x:c>
      <x:c r="E565" s="3" t="str">
        <x:v>GET BACKEND /api/admin/applications hết hạn</x:v>
      </x:c>
      <x:c r="F565" s="3" t="str">
        <x:v>Designed — chưa thực thi</x:v>
      </x:c>
      <x:c r="G565" s="3" t="str">
        <x:v>Nguồn: backend/src/modules/cms/cms.routes.ts:460.  Baseline: docs/ba/02-requirements/VGG_REQ-WORKBOOK_v0.1_2026-09-04.xlsx / Requirements; Tiêu chuẩn ATTT chính thức cần xác nhận</x:v>
      </x:c>
    </x:row>
    <x:row r="566" ht="36" customHeight="1">
      <x:c r="A566" s="3" t="str">
        <x:v>NFR-001</x:v>
      </x:c>
      <x:c r="B566" s="3" t="str">
        <x:v>PERMISSION</x:v>
      </x:c>
      <x:c r="C566" s="3" t="str">
        <x:v>Hệ thống phải áp dụng RBAC phía server, cookie HttpOnly, băm mật khẩu, CORS giới hạn, rate limit và làm sạch HTML.</x:v>
      </x:c>
      <x:c r="D566" s="3" t="str">
        <x:v>TC_PERMISSION_050</x:v>
      </x:c>
      <x:c r="E566" s="3" t="str">
        <x:v>GET BACKEND /api/admin/applications thiếu applications.view</x:v>
      </x:c>
      <x:c r="F566" s="3" t="str">
        <x:v>Designed — chưa thực thi</x:v>
      </x:c>
      <x:c r="G566" s="3" t="str">
        <x:v>Nguồn: backend/src/modules/cms/cms.routes.ts:460.  Baseline: docs/ba/02-requirements/VGG_REQ-WORKBOOK_v0.1_2026-09-04.xlsx / Requirements; Tiêu chuẩn ATTT chính thức cần xác nhận</x:v>
      </x:c>
    </x:row>
    <x:row r="567" ht="49" customHeight="1">
      <x:c r="A567" s="3" t="str">
        <x:v>OBS-API</x:v>
      </x:c>
      <x:c r="B567" s="3" t="str">
        <x:v>API</x:v>
      </x:c>
      <x:c r="C567" s="3" t="str">
        <x:v>Hợp đồng BACKEND</x:v>
      </x:c>
      <x:c r="D567" s="3" t="str">
        <x:v>TC_API_036</x:v>
      </x:c>
      <x:c r="E567" s="3" t="str">
        <x:v>GET BACKEND /api/admin/site-content hợp lệ</x:v>
      </x:c>
      <x:c r="F567" s="3" t="str">
        <x:v>Designed — chưa thực thi</x:v>
      </x:c>
      <x:c r="G567" s="3" t="str">
        <x:v>Nguồn: backend/src/modules/cms/cms.routes.ts:462. Đối với proxy CMS giữ nguyên status/body upstream. Thay placeholder bằng ID/object key fixture; GET không gửi body. Baseline: backend/src/app.ts:24; Yêu cầu suy ra từ code, chưa phải baseline đã phê duyệt.</x:v>
      </x:c>
    </x:row>
    <x:row r="568" ht="36" customHeight="1">
      <x:c r="A568" s="3" t="str">
        <x:v>NFR-001</x:v>
      </x:c>
      <x:c r="B568" s="3" t="str">
        <x:v>PERMISSION</x:v>
      </x:c>
      <x:c r="C568" s="3" t="str">
        <x:v>Hệ thống phải áp dụng RBAC phía server, cookie HttpOnly, băm mật khẩu, CORS giới hạn, rate limit và làm sạch HTML.</x:v>
      </x:c>
      <x:c r="D568" s="3" t="str">
        <x:v>TC_PERMISSION_051</x:v>
      </x:c>
      <x:c r="E568" s="3" t="str">
        <x:v>GET BACKEND /api/admin/site-content không có phiên</x:v>
      </x:c>
      <x:c r="F568" s="3" t="str">
        <x:v>Designed — chưa thực thi</x:v>
      </x:c>
      <x:c r="G568" s="3" t="str">
        <x:v>Nguồn: backend/src/modules/cms/cms.routes.ts:462.  Baseline: docs/ba/02-requirements/VGG_REQ-WORKBOOK_v0.1_2026-09-04.xlsx / Requirements; Tiêu chuẩn ATTT chính thức cần xác nhận</x:v>
      </x:c>
    </x:row>
    <x:row r="569" ht="36" customHeight="1">
      <x:c r="A569" s="3" t="str">
        <x:v>NFR-001</x:v>
      </x:c>
      <x:c r="B569" s="3" t="str">
        <x:v>PERMISSION</x:v>
      </x:c>
      <x:c r="C569" s="3" t="str">
        <x:v>Hệ thống phải áp dụng RBAC phía server, cookie HttpOnly, băm mật khẩu, CORS giới hạn, rate limit và làm sạch HTML.</x:v>
      </x:c>
      <x:c r="D569" s="3" t="str">
        <x:v>TC_PERMISSION_052</x:v>
      </x:c>
      <x:c r="E569" s="3" t="str">
        <x:v>GET BACKEND /api/admin/site-content hết hạn</x:v>
      </x:c>
      <x:c r="F569" s="3" t="str">
        <x:v>Designed — chưa thực thi</x:v>
      </x:c>
      <x:c r="G569" s="3" t="str">
        <x:v>Nguồn: backend/src/modules/cms/cms.routes.ts:462.  Baseline: docs/ba/02-requirements/VGG_REQ-WORKBOOK_v0.1_2026-09-04.xlsx / Requirements; Tiêu chuẩn ATTT chính thức cần xác nhận</x:v>
      </x:c>
    </x:row>
    <x:row r="570" ht="36" customHeight="1">
      <x:c r="A570" s="3" t="str">
        <x:v>NFR-001</x:v>
      </x:c>
      <x:c r="B570" s="3" t="str">
        <x:v>PERMISSION</x:v>
      </x:c>
      <x:c r="C570" s="3" t="str">
        <x:v>Hệ thống phải áp dụng RBAC phía server, cookie HttpOnly, băm mật khẩu, CORS giới hạn, rate limit và làm sạch HTML.</x:v>
      </x:c>
      <x:c r="D570" s="3" t="str">
        <x:v>TC_PERMISSION_053</x:v>
      </x:c>
      <x:c r="E570" s="3" t="str">
        <x:v>GET BACKEND /api/admin/site-content thiếu website.view</x:v>
      </x:c>
      <x:c r="F570" s="3" t="str">
        <x:v>Designed — chưa thực thi</x:v>
      </x:c>
      <x:c r="G570" s="3" t="str">
        <x:v>Nguồn: backend/src/modules/cms/cms.routes.ts:462.  Baseline: docs/ba/02-requirements/VGG_REQ-WORKBOOK_v0.1_2026-09-04.xlsx / Requirements; Tiêu chuẩn ATTT chính thức cần xác nhận</x:v>
      </x:c>
    </x:row>
    <x:row r="571" ht="49" customHeight="1">
      <x:c r="A571" s="3" t="str">
        <x:v>OBS-API</x:v>
      </x:c>
      <x:c r="B571" s="3" t="str">
        <x:v>API</x:v>
      </x:c>
      <x:c r="C571" s="3" t="str">
        <x:v>Hợp đồng BACKEND</x:v>
      </x:c>
      <x:c r="D571" s="3" t="str">
        <x:v>TC_API_037</x:v>
      </x:c>
      <x:c r="E571" s="3" t="str">
        <x:v>POST BACKEND /api/admin/site-content hợp lệ</x:v>
      </x:c>
      <x:c r="F571" s="3" t="str">
        <x:v>Designed — chưa thực thi</x:v>
      </x:c>
      <x:c r="G571" s="3" t="str">
        <x:v>Nguồn: backend/src/modules/cms/cms.routes.ts:462. Đối với proxy CMS giữ nguyên status/body upstream. Thay placeholder bằng ID/object key fixture; GET không gửi body. Baseline: backend/src/app.ts:24; Yêu cầu suy ra từ code, chưa phải baseline đã phê duyệt.</x:v>
      </x:c>
    </x:row>
    <x:row r="572" ht="36" customHeight="1">
      <x:c r="A572" s="3" t="str">
        <x:v>NFR-001</x:v>
      </x:c>
      <x:c r="B572" s="3" t="str">
        <x:v>PERMISSION</x:v>
      </x:c>
      <x:c r="C572" s="3" t="str">
        <x:v>Hệ thống phải áp dụng RBAC phía server, cookie HttpOnly, băm mật khẩu, CORS giới hạn, rate limit và làm sạch HTML.</x:v>
      </x:c>
      <x:c r="D572" s="3" t="str">
        <x:v>TC_PERMISSION_054</x:v>
      </x:c>
      <x:c r="E572" s="3" t="str">
        <x:v>POST BACKEND /api/admin/site-content không có phiên</x:v>
      </x:c>
      <x:c r="F572" s="3" t="str">
        <x:v>Designed — chưa thực thi</x:v>
      </x:c>
      <x:c r="G572" s="3" t="str">
        <x:v>Nguồn: backend/src/modules/cms/cms.routes.ts:462.  Baseline: docs/ba/02-requirements/VGG_REQ-WORKBOOK_v0.1_2026-09-04.xlsx / Requirements; Tiêu chuẩn ATTT chính thức cần xác nhận</x:v>
      </x:c>
    </x:row>
    <x:row r="573" ht="36" customHeight="1">
      <x:c r="A573" s="3" t="str">
        <x:v>NFR-001</x:v>
      </x:c>
      <x:c r="B573" s="3" t="str">
        <x:v>PERMISSION</x:v>
      </x:c>
      <x:c r="C573" s="3" t="str">
        <x:v>Hệ thống phải áp dụng RBAC phía server, cookie HttpOnly, băm mật khẩu, CORS giới hạn, rate limit và làm sạch HTML.</x:v>
      </x:c>
      <x:c r="D573" s="3" t="str">
        <x:v>TC_PERMISSION_055</x:v>
      </x:c>
      <x:c r="E573" s="3" t="str">
        <x:v>POST BACKEND /api/admin/site-content hết hạn</x:v>
      </x:c>
      <x:c r="F573" s="3" t="str">
        <x:v>Designed — chưa thực thi</x:v>
      </x:c>
      <x:c r="G573" s="3" t="str">
        <x:v>Nguồn: backend/src/modules/cms/cms.routes.ts:462.  Baseline: docs/ba/02-requirements/VGG_REQ-WORKBOOK_v0.1_2026-09-04.xlsx / Requirements; Tiêu chuẩn ATTT chính thức cần xác nhận</x:v>
      </x:c>
    </x:row>
    <x:row r="574" ht="36" customHeight="1">
      <x:c r="A574" s="3" t="str">
        <x:v>NFR-001</x:v>
      </x:c>
      <x:c r="B574" s="3" t="str">
        <x:v>PERMISSION</x:v>
      </x:c>
      <x:c r="C574" s="3" t="str">
        <x:v>Hệ thống phải áp dụng RBAC phía server, cookie HttpOnly, băm mật khẩu, CORS giới hạn, rate limit và làm sạch HTML.</x:v>
      </x:c>
      <x:c r="D574" s="3" t="str">
        <x:v>TC_PERMISSION_056</x:v>
      </x:c>
      <x:c r="E574" s="3" t="str">
        <x:v>POST BACKEND /api/admin/site-content thiếu website.update</x:v>
      </x:c>
      <x:c r="F574" s="3" t="str">
        <x:v>Designed — chưa thực thi</x:v>
      </x:c>
      <x:c r="G574" s="3" t="str">
        <x:v>Nguồn: backend/src/modules/cms/cms.routes.ts:462.  Baseline: docs/ba/02-requirements/VGG_REQ-WORKBOOK_v0.1_2026-09-04.xlsx / Requirements; Tiêu chuẩn ATTT chính thức cần xác nhận</x:v>
      </x:c>
    </x:row>
    <x:row r="575" ht="36" customHeight="1">
      <x:c r="A575" s="3" t="str">
        <x:v>OBS-API</x:v>
      </x:c>
      <x:c r="B575" s="3" t="str">
        <x:v>API</x:v>
      </x:c>
      <x:c r="C575" s="3" t="str">
        <x:v>Hợp đồng BACKEND</x:v>
      </x:c>
      <x:c r="D575" s="3" t="str">
        <x:v>TC_API_038</x:v>
      </x:c>
      <x:c r="E575" s="3" t="str">
        <x:v>POST BACKEND /api/admin/site-content JSON hỏng</x:v>
      </x:c>
      <x:c r="F575" s="3" t="str">
        <x:v>Designed — chưa thực thi</x:v>
      </x:c>
      <x:c r="G575" s="3" t="str">
        <x:v>Nguồn: backend/src/modules/cms/cms.routes.ts:462.  Baseline: backend/src/app.ts:24; Yêu cầu suy ra từ code, chưa phải baseline đã phê duyệt.</x:v>
      </x:c>
    </x:row>
    <x:row r="576" ht="49" customHeight="1">
      <x:c r="A576" s="3" t="str">
        <x:v>OBS-API</x:v>
      </x:c>
      <x:c r="B576" s="3" t="str">
        <x:v>API</x:v>
      </x:c>
      <x:c r="C576" s="3" t="str">
        <x:v>Hợp đồng BACKEND</x:v>
      </x:c>
      <x:c r="D576" s="3" t="str">
        <x:v>TC_API_039</x:v>
      </x:c>
      <x:c r="E576" s="3" t="str">
        <x:v>POST BACKEND /api/public/consultations hợp lệ</x:v>
      </x:c>
      <x:c r="F576" s="3" t="str">
        <x:v>Designed — chưa thực thi</x:v>
      </x:c>
      <x:c r="G576" s="3" t="str">
        <x:v>Nguồn: backend/src/modules/consultations/consultations.routes.ts:29. Đối với proxy CMS giữ nguyên status/body upstream. Thay placeholder bằng ID/object key fixture; GET không gửi body. Baseline: backend/src/app.ts:24; Yêu cầu suy ra từ code, chưa phải baseline đã phê duyệt.</x:v>
      </x:c>
    </x:row>
    <x:row r="577" ht="36" customHeight="1">
      <x:c r="A577" s="3" t="str">
        <x:v>OBS-API</x:v>
      </x:c>
      <x:c r="B577" s="3" t="str">
        <x:v>API</x:v>
      </x:c>
      <x:c r="C577" s="3" t="str">
        <x:v>Hợp đồng BACKEND</x:v>
      </x:c>
      <x:c r="D577" s="3" t="str">
        <x:v>TC_API_040</x:v>
      </x:c>
      <x:c r="E577" s="3" t="str">
        <x:v>POST BACKEND /api/public/consultations JSON hỏng</x:v>
      </x:c>
      <x:c r="F577" s="3" t="str">
        <x:v>Designed — chưa thực thi</x:v>
      </x:c>
      <x:c r="G577" s="3" t="str">
        <x:v>Nguồn: backend/src/modules/consultations/consultations.routes.ts:29.  Baseline: backend/src/app.ts:24; Yêu cầu suy ra từ code, chưa phải baseline đã phê duyệt.</x:v>
      </x:c>
    </x:row>
    <x:row r="578" ht="49" customHeight="1">
      <x:c r="A578" s="3" t="str">
        <x:v>OBS-API</x:v>
      </x:c>
      <x:c r="B578" s="3" t="str">
        <x:v>API</x:v>
      </x:c>
      <x:c r="C578" s="3" t="str">
        <x:v>Hợp đồng BACKEND</x:v>
      </x:c>
      <x:c r="D578" s="3" t="str">
        <x:v>TC_API_041</x:v>
      </x:c>
      <x:c r="E578" s="3" t="str">
        <x:v>GET BACKEND /api/admin/consultations hợp lệ</x:v>
      </x:c>
      <x:c r="F578" s="3" t="str">
        <x:v>Designed — chưa thực thi</x:v>
      </x:c>
      <x:c r="G578" s="3" t="str">
        <x:v>Nguồn: backend/src/modules/consultations/consultations.routes.ts:86. Đối với proxy CMS giữ nguyên status/body upstream. Thay placeholder bằng ID/object key fixture; GET không gửi body. Baseline: backend/src/app.ts:24; Yêu cầu suy ra từ code, chưa phải baseline đã phê duyệt.</x:v>
      </x:c>
    </x:row>
    <x:row r="579" ht="36" customHeight="1">
      <x:c r="A579" s="3" t="str">
        <x:v>NFR-001</x:v>
      </x:c>
      <x:c r="B579" s="3" t="str">
        <x:v>PERMISSION</x:v>
      </x:c>
      <x:c r="C579" s="3" t="str">
        <x:v>Hệ thống phải áp dụng RBAC phía server, cookie HttpOnly, băm mật khẩu, CORS giới hạn, rate limit và làm sạch HTML.</x:v>
      </x:c>
      <x:c r="D579" s="3" t="str">
        <x:v>TC_PERMISSION_057</x:v>
      </x:c>
      <x:c r="E579" s="3" t="str">
        <x:v>GET BACKEND /api/admin/consultations không có phiên</x:v>
      </x:c>
      <x:c r="F579" s="3" t="str">
        <x:v>Designed — chưa thực thi</x:v>
      </x:c>
      <x:c r="G579" s="3" t="str">
        <x:v>Nguồn: backend/src/modules/consultations/consultations.routes.ts:86.  Baseline: docs/ba/02-requirements/VGG_REQ-WORKBOOK_v0.1_2026-09-04.xlsx / Requirements; Tiêu chuẩn ATTT chính thức cần xác nhận</x:v>
      </x:c>
    </x:row>
    <x:row r="580" ht="36" customHeight="1">
      <x:c r="A580" s="3" t="str">
        <x:v>NFR-001</x:v>
      </x:c>
      <x:c r="B580" s="3" t="str">
        <x:v>PERMISSION</x:v>
      </x:c>
      <x:c r="C580" s="3" t="str">
        <x:v>Hệ thống phải áp dụng RBAC phía server, cookie HttpOnly, băm mật khẩu, CORS giới hạn, rate limit và làm sạch HTML.</x:v>
      </x:c>
      <x:c r="D580" s="3" t="str">
        <x:v>TC_PERMISSION_058</x:v>
      </x:c>
      <x:c r="E580" s="3" t="str">
        <x:v>GET BACKEND /api/admin/consultations hết hạn</x:v>
      </x:c>
      <x:c r="F580" s="3" t="str">
        <x:v>Designed — chưa thực thi</x:v>
      </x:c>
      <x:c r="G580" s="3" t="str">
        <x:v>Nguồn: backend/src/modules/consultations/consultations.routes.ts:86.  Baseline: docs/ba/02-requirements/VGG_REQ-WORKBOOK_v0.1_2026-09-04.xlsx / Requirements; Tiêu chuẩn ATTT chính thức cần xác nhận</x:v>
      </x:c>
    </x:row>
    <x:row r="581" ht="36" customHeight="1">
      <x:c r="A581" s="3" t="str">
        <x:v>NFR-001</x:v>
      </x:c>
      <x:c r="B581" s="3" t="str">
        <x:v>PERMISSION</x:v>
      </x:c>
      <x:c r="C581" s="3" t="str">
        <x:v>Hệ thống phải áp dụng RBAC phía server, cookie HttpOnly, băm mật khẩu, CORS giới hạn, rate limit và làm sạch HTML.</x:v>
      </x:c>
      <x:c r="D581" s="3" t="str">
        <x:v>TC_PERMISSION_059</x:v>
      </x:c>
      <x:c r="E581" s="3" t="str">
        <x:v>GET BACKEND /api/admin/consultations thiếu consultations.view</x:v>
      </x:c>
      <x:c r="F581" s="3" t="str">
        <x:v>Designed — chưa thực thi</x:v>
      </x:c>
      <x:c r="G581" s="3" t="str">
        <x:v>Nguồn: backend/src/modules/consultations/consultations.routes.ts:86.  Baseline: docs/ba/02-requirements/VGG_REQ-WORKBOOK_v0.1_2026-09-04.xlsx / Requirements; Tiêu chuẩn ATTT chính thức cần xác nhận</x:v>
      </x:c>
    </x:row>
    <x:row r="582" ht="49" customHeight="1">
      <x:c r="A582" s="3" t="str">
        <x:v>OBS-API</x:v>
      </x:c>
      <x:c r="B582" s="3" t="str">
        <x:v>API</x:v>
      </x:c>
      <x:c r="C582" s="3" t="str">
        <x:v>Hợp đồng BACKEND</x:v>
      </x:c>
      <x:c r="D582" s="3" t="str">
        <x:v>TC_API_042</x:v>
      </x:c>
      <x:c r="E582" s="3" t="str">
        <x:v>PATCH BACKEND /api/admin/consultations/:id/status hợp lệ</x:v>
      </x:c>
      <x:c r="F582" s="3" t="str">
        <x:v>Designed — chưa thực thi</x:v>
      </x:c>
      <x:c r="G582" s="3" t="str">
        <x:v>Nguồn: backend/src/modules/consultations/consultations.routes.ts:105. Đối với proxy CMS giữ nguyên status/body upstream. Thay placeholder bằng ID/object key fixture; GET không gửi body. Baseline: backend/src/app.ts:24; Yêu cầu suy ra từ code, chưa phải baseline đã phê duyệt.</x:v>
      </x:c>
    </x:row>
    <x:row r="583" ht="36" customHeight="1">
      <x:c r="A583" s="3" t="str">
        <x:v>NFR-001</x:v>
      </x:c>
      <x:c r="B583" s="3" t="str">
        <x:v>PERMISSION</x:v>
      </x:c>
      <x:c r="C583" s="3" t="str">
        <x:v>Hệ thống phải áp dụng RBAC phía server, cookie HttpOnly, băm mật khẩu, CORS giới hạn, rate limit và làm sạch HTML.</x:v>
      </x:c>
      <x:c r="D583" s="3" t="str">
        <x:v>TC_PERMISSION_060</x:v>
      </x:c>
      <x:c r="E583" s="3" t="str">
        <x:v>PATCH BACKEND /api/admin/consultations/:id/status không có phiên</x:v>
      </x:c>
      <x:c r="F583" s="3" t="str">
        <x:v>Designed — chưa thực thi</x:v>
      </x:c>
      <x:c r="G583" s="3" t="str">
        <x:v>Nguồn: backend/src/modules/consultations/consultations.routes.ts:105.  Baseline: docs/ba/02-requirements/VGG_REQ-WORKBOOK_v0.1_2026-09-04.xlsx / Requirements; Tiêu chuẩn ATTT chính thức cần xác nhận</x:v>
      </x:c>
    </x:row>
    <x:row r="584" ht="36" customHeight="1">
      <x:c r="A584" s="3" t="str">
        <x:v>NFR-001</x:v>
      </x:c>
      <x:c r="B584" s="3" t="str">
        <x:v>PERMISSION</x:v>
      </x:c>
      <x:c r="C584" s="3" t="str">
        <x:v>Hệ thống phải áp dụng RBAC phía server, cookie HttpOnly, băm mật khẩu, CORS giới hạn, rate limit và làm sạch HTML.</x:v>
      </x:c>
      <x:c r="D584" s="3" t="str">
        <x:v>TC_PERMISSION_061</x:v>
      </x:c>
      <x:c r="E584" s="3" t="str">
        <x:v>PATCH BACKEND /api/admin/consultations/:id/status hết hạn</x:v>
      </x:c>
      <x:c r="F584" s="3" t="str">
        <x:v>Designed — chưa thực thi</x:v>
      </x:c>
      <x:c r="G584" s="3" t="str">
        <x:v>Nguồn: backend/src/modules/consultations/consultations.routes.ts:105.  Baseline: docs/ba/02-requirements/VGG_REQ-WORKBOOK_v0.1_2026-09-04.xlsx / Requirements; Tiêu chuẩn ATTT chính thức cần xác nhận</x:v>
      </x:c>
    </x:row>
    <x:row r="585" ht="36" customHeight="1">
      <x:c r="A585" s="3" t="str">
        <x:v>NFR-001</x:v>
      </x:c>
      <x:c r="B585" s="3" t="str">
        <x:v>PERMISSION</x:v>
      </x:c>
      <x:c r="C585" s="3" t="str">
        <x:v>Hệ thống phải áp dụng RBAC phía server, cookie HttpOnly, băm mật khẩu, CORS giới hạn, rate limit và làm sạch HTML.</x:v>
      </x:c>
      <x:c r="D585" s="3" t="str">
        <x:v>TC_PERMISSION_062</x:v>
      </x:c>
      <x:c r="E585" s="3" t="str">
        <x:v>PATCH BACKEND /api/admin/consultations/:id/status thiếu consultations.update</x:v>
      </x:c>
      <x:c r="F585" s="3" t="str">
        <x:v>Designed — chưa thực thi</x:v>
      </x:c>
      <x:c r="G585" s="3" t="str">
        <x:v>Nguồn: backend/src/modules/consultations/consultations.routes.ts:105.  Baseline: docs/ba/02-requirements/VGG_REQ-WORKBOOK_v0.1_2026-09-04.xlsx / Requirements; Tiêu chuẩn ATTT chính thức cần xác nhận</x:v>
      </x:c>
    </x:row>
    <x:row r="586" ht="36" customHeight="1">
      <x:c r="A586" s="3" t="str">
        <x:v>OBS-API</x:v>
      </x:c>
      <x:c r="B586" s="3" t="str">
        <x:v>API</x:v>
      </x:c>
      <x:c r="C586" s="3" t="str">
        <x:v>Hợp đồng BACKEND</x:v>
      </x:c>
      <x:c r="D586" s="3" t="str">
        <x:v>TC_API_043</x:v>
      </x:c>
      <x:c r="E586" s="3" t="str">
        <x:v>PATCH BACKEND /api/admin/consultations/:id/status JSON hỏng</x:v>
      </x:c>
      <x:c r="F586" s="3" t="str">
        <x:v>Designed — chưa thực thi</x:v>
      </x:c>
      <x:c r="G586" s="3" t="str">
        <x:v>Nguồn: backend/src/modules/consultations/consultations.routes.ts:105.  Baseline: backend/src/app.ts:24; Yêu cầu suy ra từ code, chưa phải baseline đã phê duyệt.</x:v>
      </x:c>
    </x:row>
    <x:row r="587" ht="49" customHeight="1">
      <x:c r="A587" s="3" t="str">
        <x:v>OBS-API</x:v>
      </x:c>
      <x:c r="B587" s="3" t="str">
        <x:v>API</x:v>
      </x:c>
      <x:c r="C587" s="3" t="str">
        <x:v>Hợp đồng BACKEND</x:v>
      </x:c>
      <x:c r="D587" s="3" t="str">
        <x:v>TC_API_044</x:v>
      </x:c>
      <x:c r="E587" s="3" t="str">
        <x:v>GET ADMIN /api/admin/notifications hợp lệ</x:v>
      </x:c>
      <x:c r="F587" s="3" t="str">
        <x:v>Designed — chưa thực thi</x:v>
      </x:c>
      <x:c r="G587" s="3" t="str">
        <x:v>Nguồn: admin/src/app/api/admin/notifications/route.ts. Đối với proxy CMS giữ nguyên status/body upstream. Thay placeholder bằng ID/object key fixture; GET không gửi body. Baseline: backend/src/app.ts:24; Yêu cầu suy ra từ code, chưa phải baseline đã phê duyệt.</x:v>
      </x:c>
    </x:row>
    <x:row r="588" ht="36" customHeight="1">
      <x:c r="A588" s="3" t="str">
        <x:v>NFR-001</x:v>
      </x:c>
      <x:c r="B588" s="3" t="str">
        <x:v>PERMISSION</x:v>
      </x:c>
      <x:c r="C588" s="3" t="str">
        <x:v>Hệ thống phải áp dụng RBAC phía server, cookie HttpOnly, băm mật khẩu, CORS giới hạn, rate limit và làm sạch HTML.</x:v>
      </x:c>
      <x:c r="D588" s="3" t="str">
        <x:v>TC_PERMISSION_063</x:v>
      </x:c>
      <x:c r="E588" s="3" t="str">
        <x:v>GET ADMIN /api/admin/notifications không có phiên</x:v>
      </x:c>
      <x:c r="F588" s="3" t="str">
        <x:v>Designed — chưa thực thi</x:v>
      </x:c>
      <x:c r="G588" s="3" t="str">
        <x:v>Nguồn: admin/src/app/api/admin/notifications/route.ts.  Baseline: docs/ba/02-requirements/VGG_REQ-WORKBOOK_v0.1_2026-09-04.xlsx / Requirements; Tiêu chuẩn ATTT chính thức cần xác nhận</x:v>
      </x:c>
    </x:row>
    <x:row r="589" ht="36" customHeight="1">
      <x:c r="A589" s="3" t="str">
        <x:v>NFR-001</x:v>
      </x:c>
      <x:c r="B589" s="3" t="str">
        <x:v>PERMISSION</x:v>
      </x:c>
      <x:c r="C589" s="3" t="str">
        <x:v>Hệ thống phải áp dụng RBAC phía server, cookie HttpOnly, băm mật khẩu, CORS giới hạn, rate limit và làm sạch HTML.</x:v>
      </x:c>
      <x:c r="D589" s="3" t="str">
        <x:v>TC_PERMISSION_064</x:v>
      </x:c>
      <x:c r="E589" s="3" t="str">
        <x:v>GET ADMIN /api/admin/notifications hết hạn</x:v>
      </x:c>
      <x:c r="F589" s="3" t="str">
        <x:v>Designed — chưa thực thi</x:v>
      </x:c>
      <x:c r="G589" s="3" t="str">
        <x:v>Nguồn: admin/src/app/api/admin/notifications/route.ts.  Baseline: docs/ba/02-requirements/VGG_REQ-WORKBOOK_v0.1_2026-09-04.xlsx / Requirements; Tiêu chuẩn ATTT chính thức cần xác nhận</x:v>
      </x:c>
    </x:row>
    <x:row r="590" ht="49" customHeight="1">
      <x:c r="A590" s="3" t="str">
        <x:v>OBS-API</x:v>
      </x:c>
      <x:c r="B590" s="3" t="str">
        <x:v>API</x:v>
      </x:c>
      <x:c r="C590" s="3" t="str">
        <x:v>Hợp đồng BACKEND</x:v>
      </x:c>
      <x:c r="D590" s="3" t="str">
        <x:v>TC_API_045</x:v>
      </x:c>
      <x:c r="E590" s="3" t="str">
        <x:v>GET ADMIN /api/admin/users hợp lệ</x:v>
      </x:c>
      <x:c r="F590" s="3" t="str">
        <x:v>Designed — chưa thực thi</x:v>
      </x:c>
      <x:c r="G590" s="3" t="str">
        <x:v>Nguồn: admin/src/app/api/admin/users/route.ts. Đối với proxy CMS giữ nguyên status/body upstream. Thay placeholder bằng ID/object key fixture; GET không gửi body. Baseline: backend/src/app.ts:24; Yêu cầu suy ra từ code, chưa phải baseline đã phê duyệt.</x:v>
      </x:c>
    </x:row>
    <x:row r="591" ht="36" customHeight="1">
      <x:c r="A591" s="3" t="str">
        <x:v>NFR-001</x:v>
      </x:c>
      <x:c r="B591" s="3" t="str">
        <x:v>PERMISSION</x:v>
      </x:c>
      <x:c r="C591" s="3" t="str">
        <x:v>Hệ thống phải áp dụng RBAC phía server, cookie HttpOnly, băm mật khẩu, CORS giới hạn, rate limit và làm sạch HTML.</x:v>
      </x:c>
      <x:c r="D591" s="3" t="str">
        <x:v>TC_PERMISSION_065</x:v>
      </x:c>
      <x:c r="E591" s="3" t="str">
        <x:v>GET ADMIN /api/admin/users không có phiên</x:v>
      </x:c>
      <x:c r="F591" s="3" t="str">
        <x:v>Designed — chưa thực thi</x:v>
      </x:c>
      <x:c r="G591" s="3" t="str">
        <x:v>Nguồn: admin/src/app/api/admin/users/route.ts.  Baseline: docs/ba/02-requirements/VGG_REQ-WORKBOOK_v0.1_2026-09-04.xlsx / Requirements; Tiêu chuẩn ATTT chính thức cần xác nhận</x:v>
      </x:c>
    </x:row>
    <x:row r="592" ht="36" customHeight="1">
      <x:c r="A592" s="3" t="str">
        <x:v>NFR-001</x:v>
      </x:c>
      <x:c r="B592" s="3" t="str">
        <x:v>PERMISSION</x:v>
      </x:c>
      <x:c r="C592" s="3" t="str">
        <x:v>Hệ thống phải áp dụng RBAC phía server, cookie HttpOnly, băm mật khẩu, CORS giới hạn, rate limit và làm sạch HTML.</x:v>
      </x:c>
      <x:c r="D592" s="3" t="str">
        <x:v>TC_PERMISSION_066</x:v>
      </x:c>
      <x:c r="E592" s="3" t="str">
        <x:v>GET ADMIN /api/admin/users hết hạn</x:v>
      </x:c>
      <x:c r="F592" s="3" t="str">
        <x:v>Designed — chưa thực thi</x:v>
      </x:c>
      <x:c r="G592" s="3" t="str">
        <x:v>Nguồn: admin/src/app/api/admin/users/route.ts.  Baseline: docs/ba/02-requirements/VGG_REQ-WORKBOOK_v0.1_2026-09-04.xlsx / Requirements; Tiêu chuẩn ATTT chính thức cần xác nhận</x:v>
      </x:c>
    </x:row>
    <x:row r="593" ht="36" customHeight="1">
      <x:c r="A593" s="3" t="str">
        <x:v>NFR-001</x:v>
      </x:c>
      <x:c r="B593" s="3" t="str">
        <x:v>PERMISSION</x:v>
      </x:c>
      <x:c r="C593" s="3" t="str">
        <x:v>Hệ thống phải áp dụng RBAC phía server, cookie HttpOnly, băm mật khẩu, CORS giới hạn, rate limit và làm sạch HTML.</x:v>
      </x:c>
      <x:c r="D593" s="3" t="str">
        <x:v>TC_PERMISSION_067</x:v>
      </x:c>
      <x:c r="E593" s="3" t="str">
        <x:v>GET ADMIN /api/admin/users thiếu admins.view</x:v>
      </x:c>
      <x:c r="F593" s="3" t="str">
        <x:v>Designed — chưa thực thi</x:v>
      </x:c>
      <x:c r="G593" s="3" t="str">
        <x:v>Nguồn: admin/src/app/api/admin/users/route.ts.  Baseline: docs/ba/02-requirements/VGG_REQ-WORKBOOK_v0.1_2026-09-04.xlsx / Requirements; Tiêu chuẩn ATTT chính thức cần xác nhận</x:v>
      </x:c>
    </x:row>
    <x:row r="594" ht="49" customHeight="1">
      <x:c r="A594" s="3" t="str">
        <x:v>OBS-API</x:v>
      </x:c>
      <x:c r="B594" s="3" t="str">
        <x:v>API</x:v>
      </x:c>
      <x:c r="C594" s="3" t="str">
        <x:v>Hợp đồng BACKEND</x:v>
      </x:c>
      <x:c r="D594" s="3" t="str">
        <x:v>TC_API_046</x:v>
      </x:c>
      <x:c r="E594" s="3" t="str">
        <x:v>POST ADMIN /api/admin/users hợp lệ</x:v>
      </x:c>
      <x:c r="F594" s="3" t="str">
        <x:v>Designed — chưa thực thi</x:v>
      </x:c>
      <x:c r="G594" s="3" t="str">
        <x:v>Nguồn: admin/src/app/api/admin/users/route.ts. Đối với proxy CMS giữ nguyên status/body upstream. Thay placeholder bằng ID/object key fixture; GET không gửi body. Baseline: backend/src/app.ts:24; Yêu cầu suy ra từ code, chưa phải baseline đã phê duyệt.</x:v>
      </x:c>
    </x:row>
    <x:row r="595" ht="36" customHeight="1">
      <x:c r="A595" s="3" t="str">
        <x:v>NFR-001</x:v>
      </x:c>
      <x:c r="B595" s="3" t="str">
        <x:v>PERMISSION</x:v>
      </x:c>
      <x:c r="C595" s="3" t="str">
        <x:v>Hệ thống phải áp dụng RBAC phía server, cookie HttpOnly, băm mật khẩu, CORS giới hạn, rate limit và làm sạch HTML.</x:v>
      </x:c>
      <x:c r="D595" s="3" t="str">
        <x:v>TC_PERMISSION_068</x:v>
      </x:c>
      <x:c r="E595" s="3" t="str">
        <x:v>POST ADMIN /api/admin/users không có phiên</x:v>
      </x:c>
      <x:c r="F595" s="3" t="str">
        <x:v>Designed — chưa thực thi</x:v>
      </x:c>
      <x:c r="G595" s="3" t="str">
        <x:v>Nguồn: admin/src/app/api/admin/users/route.ts.  Baseline: docs/ba/02-requirements/VGG_REQ-WORKBOOK_v0.1_2026-09-04.xlsx / Requirements; Tiêu chuẩn ATTT chính thức cần xác nhận</x:v>
      </x:c>
    </x:row>
    <x:row r="596" ht="36" customHeight="1">
      <x:c r="A596" s="3" t="str">
        <x:v>NFR-001</x:v>
      </x:c>
      <x:c r="B596" s="3" t="str">
        <x:v>PERMISSION</x:v>
      </x:c>
      <x:c r="C596" s="3" t="str">
        <x:v>Hệ thống phải áp dụng RBAC phía server, cookie HttpOnly, băm mật khẩu, CORS giới hạn, rate limit và làm sạch HTML.</x:v>
      </x:c>
      <x:c r="D596" s="3" t="str">
        <x:v>TC_PERMISSION_069</x:v>
      </x:c>
      <x:c r="E596" s="3" t="str">
        <x:v>POST ADMIN /api/admin/users hết hạn</x:v>
      </x:c>
      <x:c r="F596" s="3" t="str">
        <x:v>Designed — chưa thực thi</x:v>
      </x:c>
      <x:c r="G596" s="3" t="str">
        <x:v>Nguồn: admin/src/app/api/admin/users/route.ts.  Baseline: docs/ba/02-requirements/VGG_REQ-WORKBOOK_v0.1_2026-09-04.xlsx / Requirements; Tiêu chuẩn ATTT chính thức cần xác nhận</x:v>
      </x:c>
    </x:row>
    <x:row r="597" ht="36" customHeight="1">
      <x:c r="A597" s="3" t="str">
        <x:v>NFR-001</x:v>
      </x:c>
      <x:c r="B597" s="3" t="str">
        <x:v>PERMISSION</x:v>
      </x:c>
      <x:c r="C597" s="3" t="str">
        <x:v>Hệ thống phải áp dụng RBAC phía server, cookie HttpOnly, băm mật khẩu, CORS giới hạn, rate limit và làm sạch HTML.</x:v>
      </x:c>
      <x:c r="D597" s="3" t="str">
        <x:v>TC_PERMISSION_070</x:v>
      </x:c>
      <x:c r="E597" s="3" t="str">
        <x:v>POST ADMIN /api/admin/users thiếu admins.view</x:v>
      </x:c>
      <x:c r="F597" s="3" t="str">
        <x:v>Designed — chưa thực thi</x:v>
      </x:c>
      <x:c r="G597" s="3" t="str">
        <x:v>Nguồn: admin/src/app/api/admin/users/route.ts.  Baseline: docs/ba/02-requirements/VGG_REQ-WORKBOOK_v0.1_2026-09-04.xlsx / Requirements; Tiêu chuẩn ATTT chính thức cần xác nhận</x:v>
      </x:c>
    </x:row>
    <x:row r="598" ht="36" customHeight="1">
      <x:c r="A598" s="3" t="str">
        <x:v>OBS-API</x:v>
      </x:c>
      <x:c r="B598" s="3" t="str">
        <x:v>API</x:v>
      </x:c>
      <x:c r="C598" s="3" t="str">
        <x:v>Hợp đồng BACKEND</x:v>
      </x:c>
      <x:c r="D598" s="3" t="str">
        <x:v>TC_API_047</x:v>
      </x:c>
      <x:c r="E598" s="3" t="str">
        <x:v>POST ADMIN /api/admin/users JSON hỏng</x:v>
      </x:c>
      <x:c r="F598" s="3" t="str">
        <x:v>Designed — chưa thực thi</x:v>
      </x:c>
      <x:c r="G598" s="3" t="str">
        <x:v>Nguồn: admin/src/app/api/admin/users/route.ts.  Baseline: backend/src/app.ts:24; Yêu cầu suy ra từ code, chưa phải baseline đã phê duyệt.</x:v>
      </x:c>
    </x:row>
    <x:row r="599" ht="49" customHeight="1">
      <x:c r="A599" s="3" t="str">
        <x:v>OBS-API</x:v>
      </x:c>
      <x:c r="B599" s="3" t="str">
        <x:v>API</x:v>
      </x:c>
      <x:c r="C599" s="3" t="str">
        <x:v>Hợp đồng BACKEND</x:v>
      </x:c>
      <x:c r="D599" s="3" t="str">
        <x:v>TC_API_048</x:v>
      </x:c>
      <x:c r="E599" s="3" t="str">
        <x:v>POST ADMIN /api/admin/auth/change-password hợp lệ</x:v>
      </x:c>
      <x:c r="F599" s="3" t="str">
        <x:v>Designed — chưa thực thi</x:v>
      </x:c>
      <x:c r="G599" s="3" t="str">
        <x:v>Nguồn: admin/src/app/api/admin/auth/change-password/route.ts. Đối với proxy CMS giữ nguyên status/body upstream. Thay placeholder bằng ID/object key fixture; GET không gửi body. Baseline: backend/src/app.ts:24; Yêu cầu suy ra từ code, chưa phải baseline đã phê duyệt.</x:v>
      </x:c>
    </x:row>
    <x:row r="600" ht="36" customHeight="1">
      <x:c r="A600" s="3" t="str">
        <x:v>NFR-001</x:v>
      </x:c>
      <x:c r="B600" s="3" t="str">
        <x:v>PERMISSION</x:v>
      </x:c>
      <x:c r="C600" s="3" t="str">
        <x:v>Hệ thống phải áp dụng RBAC phía server, cookie HttpOnly, băm mật khẩu, CORS giới hạn, rate limit và làm sạch HTML.</x:v>
      </x:c>
      <x:c r="D600" s="3" t="str">
        <x:v>TC_PERMISSION_071</x:v>
      </x:c>
      <x:c r="E600" s="3" t="str">
        <x:v>POST ADMIN /api/admin/auth/change-password không có phiên</x:v>
      </x:c>
      <x:c r="F600" s="3" t="str">
        <x:v>Designed — chưa thực thi</x:v>
      </x:c>
      <x:c r="G600" s="3" t="str">
        <x:v>Nguồn: admin/src/app/api/admin/auth/change-password/route.ts.  Baseline: docs/ba/02-requirements/VGG_REQ-WORKBOOK_v0.1_2026-09-04.xlsx / Requirements; Tiêu chuẩn ATTT chính thức cần xác nhận</x:v>
      </x:c>
    </x:row>
    <x:row r="601" ht="36" customHeight="1">
      <x:c r="A601" s="3" t="str">
        <x:v>NFR-001</x:v>
      </x:c>
      <x:c r="B601" s="3" t="str">
        <x:v>PERMISSION</x:v>
      </x:c>
      <x:c r="C601" s="3" t="str">
        <x:v>Hệ thống phải áp dụng RBAC phía server, cookie HttpOnly, băm mật khẩu, CORS giới hạn, rate limit và làm sạch HTML.</x:v>
      </x:c>
      <x:c r="D601" s="3" t="str">
        <x:v>TC_PERMISSION_072</x:v>
      </x:c>
      <x:c r="E601" s="3" t="str">
        <x:v>POST ADMIN /api/admin/auth/change-password hết hạn</x:v>
      </x:c>
      <x:c r="F601" s="3" t="str">
        <x:v>Designed — chưa thực thi</x:v>
      </x:c>
      <x:c r="G601" s="3" t="str">
        <x:v>Nguồn: admin/src/app/api/admin/auth/change-password/route.ts.  Baseline: docs/ba/02-requirements/VGG_REQ-WORKBOOK_v0.1_2026-09-04.xlsx / Requirements; Tiêu chuẩn ATTT chính thức cần xác nhận</x:v>
      </x:c>
    </x:row>
    <x:row r="602" ht="36" customHeight="1">
      <x:c r="A602" s="3" t="str">
        <x:v>OBS-API</x:v>
      </x:c>
      <x:c r="B602" s="3" t="str">
        <x:v>API</x:v>
      </x:c>
      <x:c r="C602" s="3" t="str">
        <x:v>Hợp đồng BACKEND</x:v>
      </x:c>
      <x:c r="D602" s="3" t="str">
        <x:v>TC_API_049</x:v>
      </x:c>
      <x:c r="E602" s="3" t="str">
        <x:v>POST ADMIN /api/admin/auth/change-password JSON hỏng</x:v>
      </x:c>
      <x:c r="F602" s="3" t="str">
        <x:v>Designed — chưa thực thi</x:v>
      </x:c>
      <x:c r="G602" s="3" t="str">
        <x:v>Nguồn: admin/src/app/api/admin/auth/change-password/route.ts.  Baseline: backend/src/app.ts:24; Yêu cầu suy ra từ code, chưa phải baseline đã phê duyệt.</x:v>
      </x:c>
    </x:row>
    <x:row r="603" ht="49" customHeight="1">
      <x:c r="A603" s="3" t="str">
        <x:v>OBS-API</x:v>
      </x:c>
      <x:c r="B603" s="3" t="str">
        <x:v>API</x:v>
      </x:c>
      <x:c r="C603" s="3" t="str">
        <x:v>Hợp đồng BACKEND</x:v>
      </x:c>
      <x:c r="D603" s="3" t="str">
        <x:v>TC_API_050</x:v>
      </x:c>
      <x:c r="E603" s="3" t="str">
        <x:v>POST ADMIN /api/admin/auth/forgot-password hợp lệ</x:v>
      </x:c>
      <x:c r="F603" s="3" t="str">
        <x:v>Designed — chưa thực thi</x:v>
      </x:c>
      <x:c r="G603" s="3" t="str">
        <x:v>Nguồn: admin/src/app/api/admin/auth/forgot-password/route.ts. Đối với proxy CMS giữ nguyên status/body upstream. Thay placeholder bằng ID/object key fixture; GET không gửi body. Baseline: backend/src/app.ts:24; Yêu cầu suy ra từ code, chưa phải baseline đã phê duyệt.</x:v>
      </x:c>
    </x:row>
    <x:row r="604" ht="36" customHeight="1">
      <x:c r="A604" s="3" t="str">
        <x:v>OBS-API</x:v>
      </x:c>
      <x:c r="B604" s="3" t="str">
        <x:v>API</x:v>
      </x:c>
      <x:c r="C604" s="3" t="str">
        <x:v>Hợp đồng BACKEND</x:v>
      </x:c>
      <x:c r="D604" s="3" t="str">
        <x:v>TC_API_051</x:v>
      </x:c>
      <x:c r="E604" s="3" t="str">
        <x:v>POST ADMIN /api/admin/auth/forgot-password JSON hỏng</x:v>
      </x:c>
      <x:c r="F604" s="3" t="str">
        <x:v>Designed — chưa thực thi</x:v>
      </x:c>
      <x:c r="G604" s="3" t="str">
        <x:v>Nguồn: admin/src/app/api/admin/auth/forgot-password/route.ts.  Baseline: backend/src/app.ts:24; Yêu cầu suy ra từ code, chưa phải baseline đã phê duyệt.</x:v>
      </x:c>
    </x:row>
    <x:row r="605" ht="49" customHeight="1">
      <x:c r="A605" s="3" t="str">
        <x:v>OBS-API</x:v>
      </x:c>
      <x:c r="B605" s="3" t="str">
        <x:v>API</x:v>
      </x:c>
      <x:c r="C605" s="3" t="str">
        <x:v>Hợp đồng BACKEND</x:v>
      </x:c>
      <x:c r="D605" s="3" t="str">
        <x:v>TC_API_052</x:v>
      </x:c>
      <x:c r="E605" s="3" t="str">
        <x:v>POST ADMIN /api/admin/auth/login hợp lệ</x:v>
      </x:c>
      <x:c r="F605" s="3" t="str">
        <x:v>Designed — chưa thực thi</x:v>
      </x:c>
      <x:c r="G605" s="3" t="str">
        <x:v>Nguồn: admin/src/app/api/admin/auth/login/route.ts. Đối với proxy CMS giữ nguyên status/body upstream. Thay placeholder bằng ID/object key fixture; GET không gửi body. Baseline: backend/src/app.ts:24; Yêu cầu suy ra từ code, chưa phải baseline đã phê duyệt.</x:v>
      </x:c>
    </x:row>
    <x:row r="606" ht="36" customHeight="1">
      <x:c r="A606" s="3" t="str">
        <x:v>OBS-API</x:v>
      </x:c>
      <x:c r="B606" s="3" t="str">
        <x:v>API</x:v>
      </x:c>
      <x:c r="C606" s="3" t="str">
        <x:v>Hợp đồng BACKEND</x:v>
      </x:c>
      <x:c r="D606" s="3" t="str">
        <x:v>TC_API_053</x:v>
      </x:c>
      <x:c r="E606" s="3" t="str">
        <x:v>POST ADMIN /api/admin/auth/login JSON hỏng</x:v>
      </x:c>
      <x:c r="F606" s="3" t="str">
        <x:v>Designed — chưa thực thi</x:v>
      </x:c>
      <x:c r="G606" s="3" t="str">
        <x:v>Nguồn: admin/src/app/api/admin/auth/login/route.ts.  Baseline: backend/src/app.ts:24; Yêu cầu suy ra từ code, chưa phải baseline đã phê duyệt.</x:v>
      </x:c>
    </x:row>
    <x:row r="607" ht="49" customHeight="1">
      <x:c r="A607" s="3" t="str">
        <x:v>OBS-API</x:v>
      </x:c>
      <x:c r="B607" s="3" t="str">
        <x:v>API</x:v>
      </x:c>
      <x:c r="C607" s="3" t="str">
        <x:v>Hợp đồng BACKEND</x:v>
      </x:c>
      <x:c r="D607" s="3" t="str">
        <x:v>TC_API_054</x:v>
      </x:c>
      <x:c r="E607" s="3" t="str">
        <x:v>POST ADMIN /api/admin/auth/logout hợp lệ</x:v>
      </x:c>
      <x:c r="F607" s="3" t="str">
        <x:v>Designed — chưa thực thi</x:v>
      </x:c>
      <x:c r="G607" s="3" t="str">
        <x:v>Nguồn: admin/src/app/api/admin/auth/logout/route.ts. Đối với proxy CMS giữ nguyên status/body upstream. Thay placeholder bằng ID/object key fixture; GET không gửi body. Baseline: backend/src/app.ts:24; Yêu cầu suy ra từ code, chưa phải baseline đã phê duyệt.</x:v>
      </x:c>
    </x:row>
    <x:row r="608" ht="49" customHeight="1">
      <x:c r="A608" s="3" t="str">
        <x:v>OBS-API</x:v>
      </x:c>
      <x:c r="B608" s="3" t="str">
        <x:v>API</x:v>
      </x:c>
      <x:c r="C608" s="3" t="str">
        <x:v>Hợp đồng BACKEND</x:v>
      </x:c>
      <x:c r="D608" s="3" t="str">
        <x:v>TC_API_055</x:v>
      </x:c>
      <x:c r="E608" s="3" t="str">
        <x:v>GET ADMIN /api/admin/auth/me hợp lệ</x:v>
      </x:c>
      <x:c r="F608" s="3" t="str">
        <x:v>Designed — chưa thực thi</x:v>
      </x:c>
      <x:c r="G608" s="3" t="str">
        <x:v>Nguồn: admin/src/app/api/admin/auth/me/route.ts. Đối với proxy CMS giữ nguyên status/body upstream. Thay placeholder bằng ID/object key fixture; GET không gửi body. Baseline: backend/src/app.ts:24; Yêu cầu suy ra từ code, chưa phải baseline đã phê duyệt.</x:v>
      </x:c>
    </x:row>
    <x:row r="609" ht="36" customHeight="1">
      <x:c r="A609" s="3" t="str">
        <x:v>NFR-001</x:v>
      </x:c>
      <x:c r="B609" s="3" t="str">
        <x:v>PERMISSION</x:v>
      </x:c>
      <x:c r="C609" s="3" t="str">
        <x:v>Hệ thống phải áp dụng RBAC phía server, cookie HttpOnly, băm mật khẩu, CORS giới hạn, rate limit và làm sạch HTML.</x:v>
      </x:c>
      <x:c r="D609" s="3" t="str">
        <x:v>TC_PERMISSION_073</x:v>
      </x:c>
      <x:c r="E609" s="3" t="str">
        <x:v>GET ADMIN /api/admin/auth/me không có phiên</x:v>
      </x:c>
      <x:c r="F609" s="3" t="str">
        <x:v>Designed — chưa thực thi</x:v>
      </x:c>
      <x:c r="G609" s="3" t="str">
        <x:v>Nguồn: admin/src/app/api/admin/auth/me/route.ts.  Baseline: docs/ba/02-requirements/VGG_REQ-WORKBOOK_v0.1_2026-09-04.xlsx / Requirements; Tiêu chuẩn ATTT chính thức cần xác nhận</x:v>
      </x:c>
    </x:row>
    <x:row r="610" ht="36" customHeight="1">
      <x:c r="A610" s="3" t="str">
        <x:v>NFR-001</x:v>
      </x:c>
      <x:c r="B610" s="3" t="str">
        <x:v>PERMISSION</x:v>
      </x:c>
      <x:c r="C610" s="3" t="str">
        <x:v>Hệ thống phải áp dụng RBAC phía server, cookie HttpOnly, băm mật khẩu, CORS giới hạn, rate limit và làm sạch HTML.</x:v>
      </x:c>
      <x:c r="D610" s="3" t="str">
        <x:v>TC_PERMISSION_074</x:v>
      </x:c>
      <x:c r="E610" s="3" t="str">
        <x:v>GET ADMIN /api/admin/auth/me hết hạn</x:v>
      </x:c>
      <x:c r="F610" s="3" t="str">
        <x:v>Designed — chưa thực thi</x:v>
      </x:c>
      <x:c r="G610" s="3" t="str">
        <x:v>Nguồn: admin/src/app/api/admin/auth/me/route.ts.  Baseline: docs/ba/02-requirements/VGG_REQ-WORKBOOK_v0.1_2026-09-04.xlsx / Requirements; Tiêu chuẩn ATTT chính thức cần xác nhận</x:v>
      </x:c>
    </x:row>
    <x:row r="611" ht="49" customHeight="1">
      <x:c r="A611" s="3" t="str">
        <x:v>OBS-API</x:v>
      </x:c>
      <x:c r="B611" s="3" t="str">
        <x:v>API</x:v>
      </x:c>
      <x:c r="C611" s="3" t="str">
        <x:v>Hợp đồng BACKEND</x:v>
      </x:c>
      <x:c r="D611" s="3" t="str">
        <x:v>TC_API_056</x:v>
      </x:c>
      <x:c r="E611" s="3" t="str">
        <x:v>PATCH ADMIN /api/admin/auth/me hợp lệ</x:v>
      </x:c>
      <x:c r="F611" s="3" t="str">
        <x:v>Designed — chưa thực thi</x:v>
      </x:c>
      <x:c r="G611" s="3" t="str">
        <x:v>Nguồn: admin/src/app/api/admin/auth/me/route.ts. Đối với proxy CMS giữ nguyên status/body upstream. Thay placeholder bằng ID/object key fixture; GET không gửi body. Baseline: backend/src/app.ts:24; Yêu cầu suy ra từ code, chưa phải baseline đã phê duyệt.</x:v>
      </x:c>
    </x:row>
    <x:row r="612" ht="36" customHeight="1">
      <x:c r="A612" s="3" t="str">
        <x:v>NFR-001</x:v>
      </x:c>
      <x:c r="B612" s="3" t="str">
        <x:v>PERMISSION</x:v>
      </x:c>
      <x:c r="C612" s="3" t="str">
        <x:v>Hệ thống phải áp dụng RBAC phía server, cookie HttpOnly, băm mật khẩu, CORS giới hạn, rate limit và làm sạch HTML.</x:v>
      </x:c>
      <x:c r="D612" s="3" t="str">
        <x:v>TC_PERMISSION_075</x:v>
      </x:c>
      <x:c r="E612" s="3" t="str">
        <x:v>PATCH ADMIN /api/admin/auth/me không có phiên</x:v>
      </x:c>
      <x:c r="F612" s="3" t="str">
        <x:v>Designed — chưa thực thi</x:v>
      </x:c>
      <x:c r="G612" s="3" t="str">
        <x:v>Nguồn: admin/src/app/api/admin/auth/me/route.ts.  Baseline: docs/ba/02-requirements/VGG_REQ-WORKBOOK_v0.1_2026-09-04.xlsx / Requirements; Tiêu chuẩn ATTT chính thức cần xác nhận</x:v>
      </x:c>
    </x:row>
    <x:row r="613" ht="36" customHeight="1">
      <x:c r="A613" s="3" t="str">
        <x:v>NFR-001</x:v>
      </x:c>
      <x:c r="B613" s="3" t="str">
        <x:v>PERMISSION</x:v>
      </x:c>
      <x:c r="C613" s="3" t="str">
        <x:v>Hệ thống phải áp dụng RBAC phía server, cookie HttpOnly, băm mật khẩu, CORS giới hạn, rate limit và làm sạch HTML.</x:v>
      </x:c>
      <x:c r="D613" s="3" t="str">
        <x:v>TC_PERMISSION_076</x:v>
      </x:c>
      <x:c r="E613" s="3" t="str">
        <x:v>PATCH ADMIN /api/admin/auth/me hết hạn</x:v>
      </x:c>
      <x:c r="F613" s="3" t="str">
        <x:v>Designed — chưa thực thi</x:v>
      </x:c>
      <x:c r="G613" s="3" t="str">
        <x:v>Nguồn: admin/src/app/api/admin/auth/me/route.ts.  Baseline: docs/ba/02-requirements/VGG_REQ-WORKBOOK_v0.1_2026-09-04.xlsx / Requirements; Tiêu chuẩn ATTT chính thức cần xác nhận</x:v>
      </x:c>
    </x:row>
    <x:row r="614" ht="36" customHeight="1">
      <x:c r="A614" s="3" t="str">
        <x:v>OBS-API</x:v>
      </x:c>
      <x:c r="B614" s="3" t="str">
        <x:v>API</x:v>
      </x:c>
      <x:c r="C614" s="3" t="str">
        <x:v>Hợp đồng BACKEND</x:v>
      </x:c>
      <x:c r="D614" s="3" t="str">
        <x:v>TC_API_057</x:v>
      </x:c>
      <x:c r="E614" s="3" t="str">
        <x:v>PATCH ADMIN /api/admin/auth/me JSON hỏng</x:v>
      </x:c>
      <x:c r="F614" s="3" t="str">
        <x:v>Designed — chưa thực thi</x:v>
      </x:c>
      <x:c r="G614" s="3" t="str">
        <x:v>Nguồn: admin/src/app/api/admin/auth/me/route.ts.  Baseline: backend/src/app.ts:24; Yêu cầu suy ra từ code, chưa phải baseline đã phê duyệt.</x:v>
      </x:c>
    </x:row>
    <x:row r="615" ht="49" customHeight="1">
      <x:c r="A615" s="3" t="str">
        <x:v>OBS-API</x:v>
      </x:c>
      <x:c r="B615" s="3" t="str">
        <x:v>API</x:v>
      </x:c>
      <x:c r="C615" s="3" t="str">
        <x:v>Hợp đồng BACKEND</x:v>
      </x:c>
      <x:c r="D615" s="3" t="str">
        <x:v>TC_API_058</x:v>
      </x:c>
      <x:c r="E615" s="3" t="str">
        <x:v>POST ADMIN /api/admin/auth/reset-password hợp lệ</x:v>
      </x:c>
      <x:c r="F615" s="3" t="str">
        <x:v>Designed — chưa thực thi</x:v>
      </x:c>
      <x:c r="G615" s="3" t="str">
        <x:v>Nguồn: admin/src/app/api/admin/auth/reset-password/route.ts. Đối với proxy CMS giữ nguyên status/body upstream. Thay placeholder bằng ID/object key fixture; GET không gửi body. Baseline: backend/src/app.ts:24; Yêu cầu suy ra từ code, chưa phải baseline đã phê duyệt.</x:v>
      </x:c>
    </x:row>
    <x:row r="616" ht="36" customHeight="1">
      <x:c r="A616" s="3" t="str">
        <x:v>OBS-API</x:v>
      </x:c>
      <x:c r="B616" s="3" t="str">
        <x:v>API</x:v>
      </x:c>
      <x:c r="C616" s="3" t="str">
        <x:v>Hợp đồng BACKEND</x:v>
      </x:c>
      <x:c r="D616" s="3" t="str">
        <x:v>TC_API_059</x:v>
      </x:c>
      <x:c r="E616" s="3" t="str">
        <x:v>POST ADMIN /api/admin/auth/reset-password JSON hỏng</x:v>
      </x:c>
      <x:c r="F616" s="3" t="str">
        <x:v>Designed — chưa thực thi</x:v>
      </x:c>
      <x:c r="G616" s="3" t="str">
        <x:v>Nguồn: admin/src/app/api/admin/auth/reset-password/route.ts.  Baseline: backend/src/app.ts:24; Yêu cầu suy ra từ code, chưa phải baseline đã phê duyệt.</x:v>
      </x:c>
    </x:row>
    <x:row r="617" ht="49" customHeight="1">
      <x:c r="A617" s="3" t="str">
        <x:v>OBS-API</x:v>
      </x:c>
      <x:c r="B617" s="3" t="str">
        <x:v>API</x:v>
      </x:c>
      <x:c r="C617" s="3" t="str">
        <x:v>Hợp đồng BACKEND</x:v>
      </x:c>
      <x:c r="D617" s="3" t="str">
        <x:v>TC_API_060</x:v>
      </x:c>
      <x:c r="E617" s="3" t="str">
        <x:v>GET ADMIN /api/admin/users/[id] hợp lệ</x:v>
      </x:c>
      <x:c r="F617" s="3" t="str">
        <x:v>Designed — chưa thực thi</x:v>
      </x:c>
      <x:c r="G617" s="3" t="str">
        <x:v>Nguồn: admin/src/app/api/admin/users/[id]/route.ts. Đối với proxy CMS giữ nguyên status/body upstream. Thay placeholder bằng ID/object key fixture; GET không gửi body. Baseline: backend/src/app.ts:24; Yêu cầu suy ra từ code, chưa phải baseline đã phê duyệt.</x:v>
      </x:c>
    </x:row>
    <x:row r="618" ht="36" customHeight="1">
      <x:c r="A618" s="3" t="str">
        <x:v>NFR-001</x:v>
      </x:c>
      <x:c r="B618" s="3" t="str">
        <x:v>PERMISSION</x:v>
      </x:c>
      <x:c r="C618" s="3" t="str">
        <x:v>Hệ thống phải áp dụng RBAC phía server, cookie HttpOnly, băm mật khẩu, CORS giới hạn, rate limit và làm sạch HTML.</x:v>
      </x:c>
      <x:c r="D618" s="3" t="str">
        <x:v>TC_PERMISSION_077</x:v>
      </x:c>
      <x:c r="E618" s="3" t="str">
        <x:v>GET ADMIN /api/admin/users/[id] không có phiên</x:v>
      </x:c>
      <x:c r="F618" s="3" t="str">
        <x:v>Designed — chưa thực thi</x:v>
      </x:c>
      <x:c r="G618" s="3" t="str">
        <x:v>Nguồn: admin/src/app/api/admin/users/[id]/route.ts.  Baseline: docs/ba/02-requirements/VGG_REQ-WORKBOOK_v0.1_2026-09-04.xlsx / Requirements; Tiêu chuẩn ATTT chính thức cần xác nhận</x:v>
      </x:c>
    </x:row>
    <x:row r="619" ht="36" customHeight="1">
      <x:c r="A619" s="3" t="str">
        <x:v>NFR-001</x:v>
      </x:c>
      <x:c r="B619" s="3" t="str">
        <x:v>PERMISSION</x:v>
      </x:c>
      <x:c r="C619" s="3" t="str">
        <x:v>Hệ thống phải áp dụng RBAC phía server, cookie HttpOnly, băm mật khẩu, CORS giới hạn, rate limit và làm sạch HTML.</x:v>
      </x:c>
      <x:c r="D619" s="3" t="str">
        <x:v>TC_PERMISSION_078</x:v>
      </x:c>
      <x:c r="E619" s="3" t="str">
        <x:v>GET ADMIN /api/admin/users/[id] hết hạn</x:v>
      </x:c>
      <x:c r="F619" s="3" t="str">
        <x:v>Designed — chưa thực thi</x:v>
      </x:c>
      <x:c r="G619" s="3" t="str">
        <x:v>Nguồn: admin/src/app/api/admin/users/[id]/route.ts.  Baseline: docs/ba/02-requirements/VGG_REQ-WORKBOOK_v0.1_2026-09-04.xlsx / Requirements; Tiêu chuẩn ATTT chính thức cần xác nhận</x:v>
      </x:c>
    </x:row>
    <x:row r="620" ht="36" customHeight="1">
      <x:c r="A620" s="3" t="str">
        <x:v>NFR-001</x:v>
      </x:c>
      <x:c r="B620" s="3" t="str">
        <x:v>PERMISSION</x:v>
      </x:c>
      <x:c r="C620" s="3" t="str">
        <x:v>Hệ thống phải áp dụng RBAC phía server, cookie HttpOnly, băm mật khẩu, CORS giới hạn, rate limit và làm sạch HTML.</x:v>
      </x:c>
      <x:c r="D620" s="3" t="str">
        <x:v>TC_PERMISSION_079</x:v>
      </x:c>
      <x:c r="E620" s="3" t="str">
        <x:v>GET ADMIN /api/admin/users/[id] thiếu admins.view</x:v>
      </x:c>
      <x:c r="F620" s="3" t="str">
        <x:v>Designed — chưa thực thi</x:v>
      </x:c>
      <x:c r="G620" s="3" t="str">
        <x:v>Nguồn: admin/src/app/api/admin/users/[id]/route.ts.  Baseline: docs/ba/02-requirements/VGG_REQ-WORKBOOK_v0.1_2026-09-04.xlsx / Requirements; Tiêu chuẩn ATTT chính thức cần xác nhận</x:v>
      </x:c>
    </x:row>
    <x:row r="621" ht="49" customHeight="1">
      <x:c r="A621" s="3" t="str">
        <x:v>OBS-API</x:v>
      </x:c>
      <x:c r="B621" s="3" t="str">
        <x:v>API</x:v>
      </x:c>
      <x:c r="C621" s="3" t="str">
        <x:v>Hợp đồng BACKEND</x:v>
      </x:c>
      <x:c r="D621" s="3" t="str">
        <x:v>TC_API_061</x:v>
      </x:c>
      <x:c r="E621" s="3" t="str">
        <x:v>PATCH ADMIN /api/admin/users/[id] hợp lệ</x:v>
      </x:c>
      <x:c r="F621" s="3" t="str">
        <x:v>Designed — chưa thực thi</x:v>
      </x:c>
      <x:c r="G621" s="3" t="str">
        <x:v>Nguồn: admin/src/app/api/admin/users/[id]/route.ts. Đối với proxy CMS giữ nguyên status/body upstream. Thay placeholder bằng ID/object key fixture; GET không gửi body. Baseline: backend/src/app.ts:24; Yêu cầu suy ra từ code, chưa phải baseline đã phê duyệt.</x:v>
      </x:c>
    </x:row>
    <x:row r="622" ht="36" customHeight="1">
      <x:c r="A622" s="3" t="str">
        <x:v>NFR-001</x:v>
      </x:c>
      <x:c r="B622" s="3" t="str">
        <x:v>PERMISSION</x:v>
      </x:c>
      <x:c r="C622" s="3" t="str">
        <x:v>Hệ thống phải áp dụng RBAC phía server, cookie HttpOnly, băm mật khẩu, CORS giới hạn, rate limit và làm sạch HTML.</x:v>
      </x:c>
      <x:c r="D622" s="3" t="str">
        <x:v>TC_PERMISSION_080</x:v>
      </x:c>
      <x:c r="E622" s="3" t="str">
        <x:v>PATCH ADMIN /api/admin/users/[id] không có phiên</x:v>
      </x:c>
      <x:c r="F622" s="3" t="str">
        <x:v>Designed — chưa thực thi</x:v>
      </x:c>
      <x:c r="G622" s="3" t="str">
        <x:v>Nguồn: admin/src/app/api/admin/users/[id]/route.ts.  Baseline: docs/ba/02-requirements/VGG_REQ-WORKBOOK_v0.1_2026-09-04.xlsx / Requirements; Tiêu chuẩn ATTT chính thức cần xác nhận</x:v>
      </x:c>
    </x:row>
    <x:row r="623" ht="36" customHeight="1">
      <x:c r="A623" s="3" t="str">
        <x:v>NFR-001</x:v>
      </x:c>
      <x:c r="B623" s="3" t="str">
        <x:v>PERMISSION</x:v>
      </x:c>
      <x:c r="C623" s="3" t="str">
        <x:v>Hệ thống phải áp dụng RBAC phía server, cookie HttpOnly, băm mật khẩu, CORS giới hạn, rate limit và làm sạch HTML.</x:v>
      </x:c>
      <x:c r="D623" s="3" t="str">
        <x:v>TC_PERMISSION_081</x:v>
      </x:c>
      <x:c r="E623" s="3" t="str">
        <x:v>PATCH ADMIN /api/admin/users/[id] hết hạn</x:v>
      </x:c>
      <x:c r="F623" s="3" t="str">
        <x:v>Designed — chưa thực thi</x:v>
      </x:c>
      <x:c r="G623" s="3" t="str">
        <x:v>Nguồn: admin/src/app/api/admin/users/[id]/route.ts.  Baseline: docs/ba/02-requirements/VGG_REQ-WORKBOOK_v0.1_2026-09-04.xlsx / Requirements; Tiêu chuẩn ATTT chính thức cần xác nhận</x:v>
      </x:c>
    </x:row>
    <x:row r="624" ht="36" customHeight="1">
      <x:c r="A624" s="3" t="str">
        <x:v>NFR-001</x:v>
      </x:c>
      <x:c r="B624" s="3" t="str">
        <x:v>PERMISSION</x:v>
      </x:c>
      <x:c r="C624" s="3" t="str">
        <x:v>Hệ thống phải áp dụng RBAC phía server, cookie HttpOnly, băm mật khẩu, CORS giới hạn, rate limit và làm sạch HTML.</x:v>
      </x:c>
      <x:c r="D624" s="3" t="str">
        <x:v>TC_PERMISSION_082</x:v>
      </x:c>
      <x:c r="E624" s="3" t="str">
        <x:v>PATCH ADMIN /api/admin/users/[id] thiếu admins.view</x:v>
      </x:c>
      <x:c r="F624" s="3" t="str">
        <x:v>Designed — chưa thực thi</x:v>
      </x:c>
      <x:c r="G624" s="3" t="str">
        <x:v>Nguồn: admin/src/app/api/admin/users/[id]/route.ts.  Baseline: docs/ba/02-requirements/VGG_REQ-WORKBOOK_v0.1_2026-09-04.xlsx / Requirements; Tiêu chuẩn ATTT chính thức cần xác nhận</x:v>
      </x:c>
    </x:row>
    <x:row r="625" ht="36" customHeight="1">
      <x:c r="A625" s="3" t="str">
        <x:v>OBS-API</x:v>
      </x:c>
      <x:c r="B625" s="3" t="str">
        <x:v>API</x:v>
      </x:c>
      <x:c r="C625" s="3" t="str">
        <x:v>Hợp đồng BACKEND</x:v>
      </x:c>
      <x:c r="D625" s="3" t="str">
        <x:v>TC_API_062</x:v>
      </x:c>
      <x:c r="E625" s="3" t="str">
        <x:v>PATCH ADMIN /api/admin/users/[id] JSON hỏng</x:v>
      </x:c>
      <x:c r="F625" s="3" t="str">
        <x:v>Designed — chưa thực thi</x:v>
      </x:c>
      <x:c r="G625" s="3" t="str">
        <x:v>Nguồn: admin/src/app/api/admin/users/[id]/route.ts.  Baseline: backend/src/app.ts:24; Yêu cầu suy ra từ code, chưa phải baseline đã phê duyệt.</x:v>
      </x:c>
    </x:row>
    <x:row r="626" ht="49" customHeight="1">
      <x:c r="A626" s="3" t="str">
        <x:v>OBS-API</x:v>
      </x:c>
      <x:c r="B626" s="3" t="str">
        <x:v>API</x:v>
      </x:c>
      <x:c r="C626" s="3" t="str">
        <x:v>Hợp đồng BACKEND</x:v>
      </x:c>
      <x:c r="D626" s="3" t="str">
        <x:v>TC_API_063</x:v>
      </x:c>
      <x:c r="E626" s="3" t="str">
        <x:v>DELETE ADMIN /api/admin/users/[id] hợp lệ</x:v>
      </x:c>
      <x:c r="F626" s="3" t="str">
        <x:v>Designed — chưa thực thi</x:v>
      </x:c>
      <x:c r="G626" s="3" t="str">
        <x:v>Nguồn: admin/src/app/api/admin/users/[id]/route.ts. Đối với proxy CMS giữ nguyên status/body upstream. Thay placeholder bằng ID/object key fixture; GET không gửi body. Baseline: backend/src/app.ts:24; Yêu cầu suy ra từ code, chưa phải baseline đã phê duyệt.</x:v>
      </x:c>
    </x:row>
    <x:row r="627" ht="36" customHeight="1">
      <x:c r="A627" s="3" t="str">
        <x:v>NFR-001</x:v>
      </x:c>
      <x:c r="B627" s="3" t="str">
        <x:v>PERMISSION</x:v>
      </x:c>
      <x:c r="C627" s="3" t="str">
        <x:v>Hệ thống phải áp dụng RBAC phía server, cookie HttpOnly, băm mật khẩu, CORS giới hạn, rate limit và làm sạch HTML.</x:v>
      </x:c>
      <x:c r="D627" s="3" t="str">
        <x:v>TC_PERMISSION_083</x:v>
      </x:c>
      <x:c r="E627" s="3" t="str">
        <x:v>DELETE ADMIN /api/admin/users/[id] không có phiên</x:v>
      </x:c>
      <x:c r="F627" s="3" t="str">
        <x:v>Designed — chưa thực thi</x:v>
      </x:c>
      <x:c r="G627" s="3" t="str">
        <x:v>Nguồn: admin/src/app/api/admin/users/[id]/route.ts.  Baseline: docs/ba/02-requirements/VGG_REQ-WORKBOOK_v0.1_2026-09-04.xlsx / Requirements; Tiêu chuẩn ATTT chính thức cần xác nhận</x:v>
      </x:c>
    </x:row>
    <x:row r="628" ht="36" customHeight="1">
      <x:c r="A628" s="3" t="str">
        <x:v>NFR-001</x:v>
      </x:c>
      <x:c r="B628" s="3" t="str">
        <x:v>PERMISSION</x:v>
      </x:c>
      <x:c r="C628" s="3" t="str">
        <x:v>Hệ thống phải áp dụng RBAC phía server, cookie HttpOnly, băm mật khẩu, CORS giới hạn, rate limit và làm sạch HTML.</x:v>
      </x:c>
      <x:c r="D628" s="3" t="str">
        <x:v>TC_PERMISSION_084</x:v>
      </x:c>
      <x:c r="E628" s="3" t="str">
        <x:v>DELETE ADMIN /api/admin/users/[id] hết hạn</x:v>
      </x:c>
      <x:c r="F628" s="3" t="str">
        <x:v>Designed — chưa thực thi</x:v>
      </x:c>
      <x:c r="G628" s="3" t="str">
        <x:v>Nguồn: admin/src/app/api/admin/users/[id]/route.ts.  Baseline: docs/ba/02-requirements/VGG_REQ-WORKBOOK_v0.1_2026-09-04.xlsx / Requirements; Tiêu chuẩn ATTT chính thức cần xác nhận</x:v>
      </x:c>
    </x:row>
    <x:row r="629" ht="36" customHeight="1">
      <x:c r="A629" s="3" t="str">
        <x:v>NFR-001</x:v>
      </x:c>
      <x:c r="B629" s="3" t="str">
        <x:v>PERMISSION</x:v>
      </x:c>
      <x:c r="C629" s="3" t="str">
        <x:v>Hệ thống phải áp dụng RBAC phía server, cookie HttpOnly, băm mật khẩu, CORS giới hạn, rate limit và làm sạch HTML.</x:v>
      </x:c>
      <x:c r="D629" s="3" t="str">
        <x:v>TC_PERMISSION_085</x:v>
      </x:c>
      <x:c r="E629" s="3" t="str">
        <x:v>DELETE ADMIN /api/admin/users/[id] thiếu admins.view</x:v>
      </x:c>
      <x:c r="F629" s="3" t="str">
        <x:v>Designed — chưa thực thi</x:v>
      </x:c>
      <x:c r="G629" s="3" t="str">
        <x:v>Nguồn: admin/src/app/api/admin/users/[id]/route.ts.  Baseline: docs/ba/02-requirements/VGG_REQ-WORKBOOK_v0.1_2026-09-04.xlsx / Requirements; Tiêu chuẩn ATTT chính thức cần xác nhận</x:v>
      </x:c>
    </x:row>
    <x:row r="630" ht="49" customHeight="1">
      <x:c r="A630" s="3" t="str">
        <x:v>OBS-API</x:v>
      </x:c>
      <x:c r="B630" s="3" t="str">
        <x:v>API</x:v>
      </x:c>
      <x:c r="C630" s="3" t="str">
        <x:v>Hợp đồng BACKEND</x:v>
      </x:c>
      <x:c r="D630" s="3" t="str">
        <x:v>TC_API_064</x:v>
      </x:c>
      <x:c r="E630" s="3" t="str">
        <x:v>POST ADMIN /api/admin/users/[id]/reset-password hợp lệ</x:v>
      </x:c>
      <x:c r="F630" s="3" t="str">
        <x:v>Designed — chưa thực thi</x:v>
      </x:c>
      <x:c r="G630" s="3" t="str">
        <x:v>Nguồn: admin/src/app/api/admin/users/[id]/reset-password/route.ts. Đối với proxy CMS giữ nguyên status/body upstream. Thay placeholder bằng ID/object key fixture; GET không gửi body. Baseline: backend/src/app.ts:24; Yêu cầu suy ra từ code, chưa phải baseline đã phê duyệt.</x:v>
      </x:c>
    </x:row>
    <x:row r="631" ht="36" customHeight="1">
      <x:c r="A631" s="3" t="str">
        <x:v>NFR-001</x:v>
      </x:c>
      <x:c r="B631" s="3" t="str">
        <x:v>PERMISSION</x:v>
      </x:c>
      <x:c r="C631" s="3" t="str">
        <x:v>Hệ thống phải áp dụng RBAC phía server, cookie HttpOnly, băm mật khẩu, CORS giới hạn, rate limit và làm sạch HTML.</x:v>
      </x:c>
      <x:c r="D631" s="3" t="str">
        <x:v>TC_PERMISSION_086</x:v>
      </x:c>
      <x:c r="E631" s="3" t="str">
        <x:v>POST ADMIN /api/admin/users/[id]/reset-password không có phiên</x:v>
      </x:c>
      <x:c r="F631" s="3" t="str">
        <x:v>Designed — chưa thực thi</x:v>
      </x:c>
      <x:c r="G631" s="3" t="str">
        <x:v>Nguồn: admin/src/app/api/admin/users/[id]/reset-password/route.ts.  Baseline: docs/ba/02-requirements/VGG_REQ-WORKBOOK_v0.1_2026-09-04.xlsx / Requirements; Tiêu chuẩn ATTT chính thức cần xác nhận</x:v>
      </x:c>
    </x:row>
    <x:row r="632" ht="36" customHeight="1">
      <x:c r="A632" s="3" t="str">
        <x:v>NFR-001</x:v>
      </x:c>
      <x:c r="B632" s="3" t="str">
        <x:v>PERMISSION</x:v>
      </x:c>
      <x:c r="C632" s="3" t="str">
        <x:v>Hệ thống phải áp dụng RBAC phía server, cookie HttpOnly, băm mật khẩu, CORS giới hạn, rate limit và làm sạch HTML.</x:v>
      </x:c>
      <x:c r="D632" s="3" t="str">
        <x:v>TC_PERMISSION_087</x:v>
      </x:c>
      <x:c r="E632" s="3" t="str">
        <x:v>POST ADMIN /api/admin/users/[id]/reset-password hết hạn</x:v>
      </x:c>
      <x:c r="F632" s="3" t="str">
        <x:v>Designed — chưa thực thi</x:v>
      </x:c>
      <x:c r="G632" s="3" t="str">
        <x:v>Nguồn: admin/src/app/api/admin/users/[id]/reset-password/route.ts.  Baseline: docs/ba/02-requirements/VGG_REQ-WORKBOOK_v0.1_2026-09-04.xlsx / Requirements; Tiêu chuẩn ATTT chính thức cần xác nhận</x:v>
      </x:c>
    </x:row>
    <x:row r="633" ht="36" customHeight="1">
      <x:c r="A633" s="3" t="str">
        <x:v>NFR-001</x:v>
      </x:c>
      <x:c r="B633" s="3" t="str">
        <x:v>PERMISSION</x:v>
      </x:c>
      <x:c r="C633" s="3" t="str">
        <x:v>Hệ thống phải áp dụng RBAC phía server, cookie HttpOnly, băm mật khẩu, CORS giới hạn, rate limit và làm sạch HTML.</x:v>
      </x:c>
      <x:c r="D633" s="3" t="str">
        <x:v>TC_PERMISSION_088</x:v>
      </x:c>
      <x:c r="E633" s="3" t="str">
        <x:v>POST ADMIN /api/admin/users/[id]/reset-password thiếu admins.reset_password</x:v>
      </x:c>
      <x:c r="F633" s="3" t="str">
        <x:v>Designed — chưa thực thi</x:v>
      </x:c>
      <x:c r="G633" s="3" t="str">
        <x:v>Nguồn: admin/src/app/api/admin/users/[id]/reset-password/route.ts.  Baseline: docs/ba/02-requirements/VGG_REQ-WORKBOOK_v0.1_2026-09-04.xlsx / Requirements; Tiêu chuẩn ATTT chính thức cần xác nhận</x:v>
      </x:c>
    </x:row>
    <x:row r="634" ht="36" customHeight="1">
      <x:c r="A634" s="3" t="str">
        <x:v>OBS-API</x:v>
      </x:c>
      <x:c r="B634" s="3" t="str">
        <x:v>API</x:v>
      </x:c>
      <x:c r="C634" s="3" t="str">
        <x:v>Hợp đồng BACKEND</x:v>
      </x:c>
      <x:c r="D634" s="3" t="str">
        <x:v>TC_API_065</x:v>
      </x:c>
      <x:c r="E634" s="3" t="str">
        <x:v>POST ADMIN /api/admin/users/[id]/reset-password JSON hỏng</x:v>
      </x:c>
      <x:c r="F634" s="3" t="str">
        <x:v>Designed — chưa thực thi</x:v>
      </x:c>
      <x:c r="G634" s="3" t="str">
        <x:v>Nguồn: admin/src/app/api/admin/users/[id]/reset-password/route.ts.  Baseline: backend/src/app.ts:24; Yêu cầu suy ra từ code, chưa phải baseline đã phê duyệt.</x:v>
      </x:c>
    </x:row>
    <x:row r="635" ht="49" customHeight="1">
      <x:c r="A635" s="3" t="str">
        <x:v>OBS-API</x:v>
      </x:c>
      <x:c r="B635" s="3" t="str">
        <x:v>API</x:v>
      </x:c>
      <x:c r="C635" s="3" t="str">
        <x:v>Hợp đồng BACKEND</x:v>
      </x:c>
      <x:c r="D635" s="3" t="str">
        <x:v>TC_API_066</x:v>
      </x:c>
      <x:c r="E635" s="3" t="str">
        <x:v>PATCH ADMIN /api/admin/users/[id]/role hợp lệ</x:v>
      </x:c>
      <x:c r="F635" s="3" t="str">
        <x:v>Designed — chưa thực thi</x:v>
      </x:c>
      <x:c r="G635" s="3" t="str">
        <x:v>Nguồn: admin/src/app/api/admin/users/[id]/role/route.ts. Đối với proxy CMS giữ nguyên status/body upstream. Thay placeholder bằng ID/object key fixture; GET không gửi body. Baseline: backend/src/app.ts:24; Yêu cầu suy ra từ code, chưa phải baseline đã phê duyệt.</x:v>
      </x:c>
    </x:row>
    <x:row r="636" ht="36" customHeight="1">
      <x:c r="A636" s="3" t="str">
        <x:v>NFR-001</x:v>
      </x:c>
      <x:c r="B636" s="3" t="str">
        <x:v>PERMISSION</x:v>
      </x:c>
      <x:c r="C636" s="3" t="str">
        <x:v>Hệ thống phải áp dụng RBAC phía server, cookie HttpOnly, băm mật khẩu, CORS giới hạn, rate limit và làm sạch HTML.</x:v>
      </x:c>
      <x:c r="D636" s="3" t="str">
        <x:v>TC_PERMISSION_089</x:v>
      </x:c>
      <x:c r="E636" s="3" t="str">
        <x:v>PATCH ADMIN /api/admin/users/[id]/role không có phiên</x:v>
      </x:c>
      <x:c r="F636" s="3" t="str">
        <x:v>Designed — chưa thực thi</x:v>
      </x:c>
      <x:c r="G636" s="3" t="str">
        <x:v>Nguồn: admin/src/app/api/admin/users/[id]/role/route.ts.  Baseline: docs/ba/02-requirements/VGG_REQ-WORKBOOK_v0.1_2026-09-04.xlsx / Requirements; Tiêu chuẩn ATTT chính thức cần xác nhận</x:v>
      </x:c>
    </x:row>
    <x:row r="637" ht="36" customHeight="1">
      <x:c r="A637" s="3" t="str">
        <x:v>NFR-001</x:v>
      </x:c>
      <x:c r="B637" s="3" t="str">
        <x:v>PERMISSION</x:v>
      </x:c>
      <x:c r="C637" s="3" t="str">
        <x:v>Hệ thống phải áp dụng RBAC phía server, cookie HttpOnly, băm mật khẩu, CORS giới hạn, rate limit và làm sạch HTML.</x:v>
      </x:c>
      <x:c r="D637" s="3" t="str">
        <x:v>TC_PERMISSION_090</x:v>
      </x:c>
      <x:c r="E637" s="3" t="str">
        <x:v>PATCH ADMIN /api/admin/users/[id]/role hết hạn</x:v>
      </x:c>
      <x:c r="F637" s="3" t="str">
        <x:v>Designed — chưa thực thi</x:v>
      </x:c>
      <x:c r="G637" s="3" t="str">
        <x:v>Nguồn: admin/src/app/api/admin/users/[id]/role/route.ts.  Baseline: docs/ba/02-requirements/VGG_REQ-WORKBOOK_v0.1_2026-09-04.xlsx / Requirements; Tiêu chuẩn ATTT chính thức cần xác nhận</x:v>
      </x:c>
    </x:row>
    <x:row r="638" ht="36" customHeight="1">
      <x:c r="A638" s="3" t="str">
        <x:v>NFR-001</x:v>
      </x:c>
      <x:c r="B638" s="3" t="str">
        <x:v>PERMISSION</x:v>
      </x:c>
      <x:c r="C638" s="3" t="str">
        <x:v>Hệ thống phải áp dụng RBAC phía server, cookie HttpOnly, băm mật khẩu, CORS giới hạn, rate limit và làm sạch HTML.</x:v>
      </x:c>
      <x:c r="D638" s="3" t="str">
        <x:v>TC_PERMISSION_091</x:v>
      </x:c>
      <x:c r="E638" s="3" t="str">
        <x:v>PATCH ADMIN /api/admin/users/[id]/role thiếu admins.change_role</x:v>
      </x:c>
      <x:c r="F638" s="3" t="str">
        <x:v>Designed — chưa thực thi</x:v>
      </x:c>
      <x:c r="G638" s="3" t="str">
        <x:v>Nguồn: admin/src/app/api/admin/users/[id]/role/route.ts.  Baseline: docs/ba/02-requirements/VGG_REQ-WORKBOOK_v0.1_2026-09-04.xlsx / Requirements; Tiêu chuẩn ATTT chính thức cần xác nhận</x:v>
      </x:c>
    </x:row>
    <x:row r="639" ht="36" customHeight="1">
      <x:c r="A639" s="3" t="str">
        <x:v>OBS-API</x:v>
      </x:c>
      <x:c r="B639" s="3" t="str">
        <x:v>API</x:v>
      </x:c>
      <x:c r="C639" s="3" t="str">
        <x:v>Hợp đồng BACKEND</x:v>
      </x:c>
      <x:c r="D639" s="3" t="str">
        <x:v>TC_API_067</x:v>
      </x:c>
      <x:c r="E639" s="3" t="str">
        <x:v>PATCH ADMIN /api/admin/users/[id]/role JSON hỏng</x:v>
      </x:c>
      <x:c r="F639" s="3" t="str">
        <x:v>Designed — chưa thực thi</x:v>
      </x:c>
      <x:c r="G639" s="3" t="str">
        <x:v>Nguồn: admin/src/app/api/admin/users/[id]/role/route.ts.  Baseline: backend/src/app.ts:24; Yêu cầu suy ra từ code, chưa phải baseline đã phê duyệt.</x:v>
      </x:c>
    </x:row>
    <x:row r="640" ht="49" customHeight="1">
      <x:c r="A640" s="3" t="str">
        <x:v>OBS-API</x:v>
      </x:c>
      <x:c r="B640" s="3" t="str">
        <x:v>API</x:v>
      </x:c>
      <x:c r="C640" s="3" t="str">
        <x:v>Hợp đồng BACKEND</x:v>
      </x:c>
      <x:c r="D640" s="3" t="str">
        <x:v>TC_API_068</x:v>
      </x:c>
      <x:c r="E640" s="3" t="str">
        <x:v>PATCH ADMIN /api/admin/users/[id]/status hợp lệ</x:v>
      </x:c>
      <x:c r="F640" s="3" t="str">
        <x:v>Designed — chưa thực thi</x:v>
      </x:c>
      <x:c r="G640" s="3" t="str">
        <x:v>Nguồn: admin/src/app/api/admin/users/[id]/status/route.ts. Đối với proxy CMS giữ nguyên status/body upstream. Thay placeholder bằng ID/object key fixture; GET không gửi body. Baseline: backend/src/app.ts:24; Yêu cầu suy ra từ code, chưa phải baseline đã phê duyệt.</x:v>
      </x:c>
    </x:row>
    <x:row r="641" ht="36" customHeight="1">
      <x:c r="A641" s="3" t="str">
        <x:v>NFR-001</x:v>
      </x:c>
      <x:c r="B641" s="3" t="str">
        <x:v>PERMISSION</x:v>
      </x:c>
      <x:c r="C641" s="3" t="str">
        <x:v>Hệ thống phải áp dụng RBAC phía server, cookie HttpOnly, băm mật khẩu, CORS giới hạn, rate limit và làm sạch HTML.</x:v>
      </x:c>
      <x:c r="D641" s="3" t="str">
        <x:v>TC_PERMISSION_092</x:v>
      </x:c>
      <x:c r="E641" s="3" t="str">
        <x:v>PATCH ADMIN /api/admin/users/[id]/status không có phiên</x:v>
      </x:c>
      <x:c r="F641" s="3" t="str">
        <x:v>Designed — chưa thực thi</x:v>
      </x:c>
      <x:c r="G641" s="3" t="str">
        <x:v>Nguồn: admin/src/app/api/admin/users/[id]/status/route.ts.  Baseline: docs/ba/02-requirements/VGG_REQ-WORKBOOK_v0.1_2026-09-04.xlsx / Requirements; Tiêu chuẩn ATTT chính thức cần xác nhận</x:v>
      </x:c>
    </x:row>
    <x:row r="642" ht="36" customHeight="1">
      <x:c r="A642" s="3" t="str">
        <x:v>NFR-001</x:v>
      </x:c>
      <x:c r="B642" s="3" t="str">
        <x:v>PERMISSION</x:v>
      </x:c>
      <x:c r="C642" s="3" t="str">
        <x:v>Hệ thống phải áp dụng RBAC phía server, cookie HttpOnly, băm mật khẩu, CORS giới hạn, rate limit và làm sạch HTML.</x:v>
      </x:c>
      <x:c r="D642" s="3" t="str">
        <x:v>TC_PERMISSION_093</x:v>
      </x:c>
      <x:c r="E642" s="3" t="str">
        <x:v>PATCH ADMIN /api/admin/users/[id]/status hết hạn</x:v>
      </x:c>
      <x:c r="F642" s="3" t="str">
        <x:v>Designed — chưa thực thi</x:v>
      </x:c>
      <x:c r="G642" s="3" t="str">
        <x:v>Nguồn: admin/src/app/api/admin/users/[id]/status/route.ts.  Baseline: docs/ba/02-requirements/VGG_REQ-WORKBOOK_v0.1_2026-09-04.xlsx / Requirements; Tiêu chuẩn ATTT chính thức cần xác nhận</x:v>
      </x:c>
    </x:row>
    <x:row r="643" ht="36" customHeight="1">
      <x:c r="A643" s="3" t="str">
        <x:v>NFR-001</x:v>
      </x:c>
      <x:c r="B643" s="3" t="str">
        <x:v>PERMISSION</x:v>
      </x:c>
      <x:c r="C643" s="3" t="str">
        <x:v>Hệ thống phải áp dụng RBAC phía server, cookie HttpOnly, băm mật khẩu, CORS giới hạn, rate limit và làm sạch HTML.</x:v>
      </x:c>
      <x:c r="D643" s="3" t="str">
        <x:v>TC_PERMISSION_094</x:v>
      </x:c>
      <x:c r="E643" s="3" t="str">
        <x:v>PATCH ADMIN /api/admin/users/[id]/status thiếu admins.disable</x:v>
      </x:c>
      <x:c r="F643" s="3" t="str">
        <x:v>Designed — chưa thực thi</x:v>
      </x:c>
      <x:c r="G643" s="3" t="str">
        <x:v>Nguồn: admin/src/app/api/admin/users/[id]/status/route.ts.  Baseline: docs/ba/02-requirements/VGG_REQ-WORKBOOK_v0.1_2026-09-04.xlsx / Requirements; Tiêu chuẩn ATTT chính thức cần xác nhận</x:v>
      </x:c>
    </x:row>
    <x:row r="644" ht="36" customHeight="1">
      <x:c r="A644" s="3" t="str">
        <x:v>OBS-API</x:v>
      </x:c>
      <x:c r="B644" s="3" t="str">
        <x:v>API</x:v>
      </x:c>
      <x:c r="C644" s="3" t="str">
        <x:v>Hợp đồng BACKEND</x:v>
      </x:c>
      <x:c r="D644" s="3" t="str">
        <x:v>TC_API_069</x:v>
      </x:c>
      <x:c r="E644" s="3" t="str">
        <x:v>PATCH ADMIN /api/admin/users/[id]/status JSON hỏng</x:v>
      </x:c>
      <x:c r="F644" s="3" t="str">
        <x:v>Designed — chưa thực thi</x:v>
      </x:c>
      <x:c r="G644" s="3" t="str">
        <x:v>Nguồn: admin/src/app/api/admin/users/[id]/status/route.ts.  Baseline: backend/src/app.ts:24; Yêu cầu suy ra từ code, chưa phải baseline đã phê duyệt.</x:v>
      </x:c>
    </x:row>
    <x:row r="645" ht="49" customHeight="1">
      <x:c r="A645" s="3" t="str">
        <x:v>OBS-API</x:v>
      </x:c>
      <x:c r="B645" s="3" t="str">
        <x:v>API</x:v>
      </x:c>
      <x:c r="C645" s="3" t="str">
        <x:v>Hợp đồng BACKEND</x:v>
      </x:c>
      <x:c r="D645" s="3" t="str">
        <x:v>TC_API_070</x:v>
      </x:c>
      <x:c r="E645" s="3" t="str">
        <x:v>POST ADMIN /api/cms/import-word hợp lệ</x:v>
      </x:c>
      <x:c r="F645" s="3" t="str">
        <x:v>Designed — chưa thực thi</x:v>
      </x:c>
      <x:c r="G645" s="3" t="str">
        <x:v>Nguồn: admin/src/app/api/cms/import-word/route.ts. Đối với proxy CMS giữ nguyên status/body upstream. Thay placeholder bằng ID/object key fixture; GET không gửi body. Baseline: backend/src/app.ts:24; Yêu cầu suy ra từ code, chưa phải baseline đã phê duyệt.</x:v>
      </x:c>
    </x:row>
    <x:row r="646" ht="36" customHeight="1">
      <x:c r="A646" s="3" t="str">
        <x:v>NFR-001</x:v>
      </x:c>
      <x:c r="B646" s="3" t="str">
        <x:v>PERMISSION</x:v>
      </x:c>
      <x:c r="C646" s="3" t="str">
        <x:v>Hệ thống phải áp dụng RBAC phía server, cookie HttpOnly, băm mật khẩu, CORS giới hạn, rate limit và làm sạch HTML.</x:v>
      </x:c>
      <x:c r="D646" s="3" t="str">
        <x:v>TC_PERMISSION_095</x:v>
      </x:c>
      <x:c r="E646" s="3" t="str">
        <x:v>POST ADMIN /api/cms/import-word không có phiên</x:v>
      </x:c>
      <x:c r="F646" s="3" t="str">
        <x:v>Designed — chưa thực thi</x:v>
      </x:c>
      <x:c r="G646" s="3" t="str">
        <x:v>Nguồn: admin/src/app/api/cms/import-word/route.ts.  Baseline: docs/ba/02-requirements/VGG_REQ-WORKBOOK_v0.1_2026-09-04.xlsx / Requirements; Tiêu chuẩn ATTT chính thức cần xác nhận</x:v>
      </x:c>
    </x:row>
    <x:row r="647" ht="36" customHeight="1">
      <x:c r="A647" s="3" t="str">
        <x:v>NFR-001</x:v>
      </x:c>
      <x:c r="B647" s="3" t="str">
        <x:v>PERMISSION</x:v>
      </x:c>
      <x:c r="C647" s="3" t="str">
        <x:v>Hệ thống phải áp dụng RBAC phía server, cookie HttpOnly, băm mật khẩu, CORS giới hạn, rate limit và làm sạch HTML.</x:v>
      </x:c>
      <x:c r="D647" s="3" t="str">
        <x:v>TC_PERMISSION_096</x:v>
      </x:c>
      <x:c r="E647" s="3" t="str">
        <x:v>POST ADMIN /api/cms/import-word hết hạn</x:v>
      </x:c>
      <x:c r="F647" s="3" t="str">
        <x:v>Designed — chưa thực thi</x:v>
      </x:c>
      <x:c r="G647" s="3" t="str">
        <x:v>Nguồn: admin/src/app/api/cms/import-word/route.ts.  Baseline: docs/ba/02-requirements/VGG_REQ-WORKBOOK_v0.1_2026-09-04.xlsx / Requirements; Tiêu chuẩn ATTT chính thức cần xác nhận</x:v>
      </x:c>
    </x:row>
    <x:row r="648" ht="36" customHeight="1">
      <x:c r="A648" s="3" t="str">
        <x:v>NFR-001</x:v>
      </x:c>
      <x:c r="B648" s="3" t="str">
        <x:v>PERMISSION</x:v>
      </x:c>
      <x:c r="C648" s="3" t="str">
        <x:v>Hệ thống phải áp dụng RBAC phía server, cookie HttpOnly, băm mật khẩu, CORS giới hạn, rate limit và làm sạch HTML.</x:v>
      </x:c>
      <x:c r="D648" s="3" t="str">
        <x:v>TC_PERMISSION_097</x:v>
      </x:c>
      <x:c r="E648" s="3" t="str">
        <x:v>POST ADMIN /api/cms/import-word thiếu news.create OR news.update</x:v>
      </x:c>
      <x:c r="F648" s="3" t="str">
        <x:v>Designed — chưa thực thi</x:v>
      </x:c>
      <x:c r="G648" s="3" t="str">
        <x:v>Nguồn: admin/src/app/api/cms/import-word/route.ts.  Baseline: docs/ba/02-requirements/VGG_REQ-WORKBOOK_v0.1_2026-09-04.xlsx / Requirements; Tiêu chuẩn ATTT chính thức cần xác nhận</x:v>
      </x:c>
    </x:row>
    <x:row r="649" ht="49" customHeight="1">
      <x:c r="A649" s="3" t="str">
        <x:v>OBS-API</x:v>
      </x:c>
      <x:c r="B649" s="3" t="str">
        <x:v>API</x:v>
      </x:c>
      <x:c r="C649" s="3" t="str">
        <x:v>Hợp đồng BACKEND</x:v>
      </x:c>
      <x:c r="D649" s="3" t="str">
        <x:v>TC_API_071</x:v>
      </x:c>
      <x:c r="E649" s="3" t="str">
        <x:v>POST ADMIN /api/cms/upload-image hợp lệ</x:v>
      </x:c>
      <x:c r="F649" s="3" t="str">
        <x:v>Designed — chưa thực thi</x:v>
      </x:c>
      <x:c r="G649" s="3" t="str">
        <x:v>Nguồn: admin/src/app/api/cms/upload-image/route.ts. Đối với proxy CMS giữ nguyên status/body upstream. Thay placeholder bằng ID/object key fixture; GET không gửi body. Baseline: backend/src/app.ts:24; Yêu cầu suy ra từ code, chưa phải baseline đã phê duyệt.</x:v>
      </x:c>
    </x:row>
    <x:row r="650" ht="36" customHeight="1">
      <x:c r="A650" s="3" t="str">
        <x:v>NFR-001</x:v>
      </x:c>
      <x:c r="B650" s="3" t="str">
        <x:v>PERMISSION</x:v>
      </x:c>
      <x:c r="C650" s="3" t="str">
        <x:v>Hệ thống phải áp dụng RBAC phía server, cookie HttpOnly, băm mật khẩu, CORS giới hạn, rate limit và làm sạch HTML.</x:v>
      </x:c>
      <x:c r="D650" s="3" t="str">
        <x:v>TC_PERMISSION_098</x:v>
      </x:c>
      <x:c r="E650" s="3" t="str">
        <x:v>POST ADMIN /api/cms/upload-image không có phiên</x:v>
      </x:c>
      <x:c r="F650" s="3" t="str">
        <x:v>Designed — chưa thực thi</x:v>
      </x:c>
      <x:c r="G650" s="3" t="str">
        <x:v>Nguồn: admin/src/app/api/cms/upload-image/route.ts.  Baseline: docs/ba/02-requirements/VGG_REQ-WORKBOOK_v0.1_2026-09-04.xlsx / Requirements; Tiêu chuẩn ATTT chính thức cần xác nhận</x:v>
      </x:c>
    </x:row>
    <x:row r="651" ht="36" customHeight="1">
      <x:c r="A651" s="3" t="str">
        <x:v>NFR-001</x:v>
      </x:c>
      <x:c r="B651" s="3" t="str">
        <x:v>PERMISSION</x:v>
      </x:c>
      <x:c r="C651" s="3" t="str">
        <x:v>Hệ thống phải áp dụng RBAC phía server, cookie HttpOnly, băm mật khẩu, CORS giới hạn, rate limit và làm sạch HTML.</x:v>
      </x:c>
      <x:c r="D651" s="3" t="str">
        <x:v>TC_PERMISSION_099</x:v>
      </x:c>
      <x:c r="E651" s="3" t="str">
        <x:v>POST ADMIN /api/cms/upload-image hết hạn</x:v>
      </x:c>
      <x:c r="F651" s="3" t="str">
        <x:v>Designed — chưa thực thi</x:v>
      </x:c>
      <x:c r="G651" s="3" t="str">
        <x:v>Nguồn: admin/src/app/api/cms/upload-image/route.ts.  Baseline: docs/ba/02-requirements/VGG_REQ-WORKBOOK_v0.1_2026-09-04.xlsx / Requirements; Tiêu chuẩn ATTT chính thức cần xác nhận</x:v>
      </x:c>
    </x:row>
    <x:row r="652" ht="36" customHeight="1">
      <x:c r="A652" s="3" t="str">
        <x:v>NFR-001</x:v>
      </x:c>
      <x:c r="B652" s="3" t="str">
        <x:v>PERMISSION</x:v>
      </x:c>
      <x:c r="C652" s="3" t="str">
        <x:v>Hệ thống phải áp dụng RBAC phía server, cookie HttpOnly, băm mật khẩu, CORS giới hạn, rate limit và làm sạch HTML.</x:v>
      </x:c>
      <x:c r="D652" s="3" t="str">
        <x:v>TC_PERMISSION_100</x:v>
      </x:c>
      <x:c r="E652" s="3" t="str">
        <x:v>POST ADMIN /api/cms/upload-image thiếu news.create OR news.update</x:v>
      </x:c>
      <x:c r="F652" s="3" t="str">
        <x:v>Designed — chưa thực thi</x:v>
      </x:c>
      <x:c r="G652" s="3" t="str">
        <x:v>Nguồn: admin/src/app/api/cms/upload-image/route.ts.  Baseline: docs/ba/02-requirements/VGG_REQ-WORKBOOK_v0.1_2026-09-04.xlsx / Requirements; Tiêu chuẩn ATTT chính thức cần xác nhận</x:v>
      </x:c>
    </x:row>
    <x:row r="653" ht="49" customHeight="1">
      <x:c r="A653" s="3" t="str">
        <x:v>OBS-API</x:v>
      </x:c>
      <x:c r="B653" s="3" t="str">
        <x:v>API</x:v>
      </x:c>
      <x:c r="C653" s="3" t="str">
        <x:v>Hợp đồng BACKEND</x:v>
      </x:c>
      <x:c r="D653" s="3" t="str">
        <x:v>TC_API_072</x:v>
      </x:c>
      <x:c r="E653" s="3" t="str">
        <x:v>POST ADMIN /api/cms/upload-resource hợp lệ</x:v>
      </x:c>
      <x:c r="F653" s="3" t="str">
        <x:v>Designed — chưa thực thi</x:v>
      </x:c>
      <x:c r="G653" s="3" t="str">
        <x:v>Nguồn: admin/src/app/api/cms/upload-resource/route.ts. Đối với proxy CMS giữ nguyên status/body upstream. Thay placeholder bằng ID/object key fixture; GET không gửi body. Baseline: backend/src/app.ts:24; Yêu cầu suy ra từ code, chưa phải baseline đã phê duyệt.</x:v>
      </x:c>
    </x:row>
    <x:row r="654" ht="36" customHeight="1">
      <x:c r="A654" s="3" t="str">
        <x:v>NFR-001</x:v>
      </x:c>
      <x:c r="B654" s="3" t="str">
        <x:v>PERMISSION</x:v>
      </x:c>
      <x:c r="C654" s="3" t="str">
        <x:v>Hệ thống phải áp dụng RBAC phía server, cookie HttpOnly, băm mật khẩu, CORS giới hạn, rate limit và làm sạch HTML.</x:v>
      </x:c>
      <x:c r="D654" s="3" t="str">
        <x:v>TC_PERMISSION_101</x:v>
      </x:c>
      <x:c r="E654" s="3" t="str">
        <x:v>POST ADMIN /api/cms/upload-resource không có phiên</x:v>
      </x:c>
      <x:c r="F654" s="3" t="str">
        <x:v>Designed — chưa thực thi</x:v>
      </x:c>
      <x:c r="G654" s="3" t="str">
        <x:v>Nguồn: admin/src/app/api/cms/upload-resource/route.ts.  Baseline: docs/ba/02-requirements/VGG_REQ-WORKBOOK_v0.1_2026-09-04.xlsx / Requirements; Tiêu chuẩn ATTT chính thức cần xác nhận</x:v>
      </x:c>
    </x:row>
    <x:row r="655" ht="36" customHeight="1">
      <x:c r="A655" s="3" t="str">
        <x:v>NFR-001</x:v>
      </x:c>
      <x:c r="B655" s="3" t="str">
        <x:v>PERMISSION</x:v>
      </x:c>
      <x:c r="C655" s="3" t="str">
        <x:v>Hệ thống phải áp dụng RBAC phía server, cookie HttpOnly, băm mật khẩu, CORS giới hạn, rate limit và làm sạch HTML.</x:v>
      </x:c>
      <x:c r="D655" s="3" t="str">
        <x:v>TC_PERMISSION_102</x:v>
      </x:c>
      <x:c r="E655" s="3" t="str">
        <x:v>POST ADMIN /api/cms/upload-resource hết hạn</x:v>
      </x:c>
      <x:c r="F655" s="3" t="str">
        <x:v>Designed — chưa thực thi</x:v>
      </x:c>
      <x:c r="G655" s="3" t="str">
        <x:v>Nguồn: admin/src/app/api/cms/upload-resource/route.ts.  Baseline: docs/ba/02-requirements/VGG_REQ-WORKBOOK_v0.1_2026-09-04.xlsx / Requirements; Tiêu chuẩn ATTT chính thức cần xác nhận</x:v>
      </x:c>
    </x:row>
    <x:row r="656" ht="36" customHeight="1">
      <x:c r="A656" s="3" t="str">
        <x:v>NFR-001</x:v>
      </x:c>
      <x:c r="B656" s="3" t="str">
        <x:v>PERMISSION</x:v>
      </x:c>
      <x:c r="C656" s="3" t="str">
        <x:v>Hệ thống phải áp dụng RBAC phía server, cookie HttpOnly, băm mật khẩu, CORS giới hạn, rate limit và làm sạch HTML.</x:v>
      </x:c>
      <x:c r="D656" s="3" t="str">
        <x:v>TC_PERMISSION_103</x:v>
      </x:c>
      <x:c r="E656" s="3" t="str">
        <x:v>POST ADMIN /api/cms/upload-resource thiếu resources.create OR resources.update</x:v>
      </x:c>
      <x:c r="F656" s="3" t="str">
        <x:v>Designed — chưa thực thi</x:v>
      </x:c>
      <x:c r="G656" s="3" t="str">
        <x:v>Nguồn: admin/src/app/api/cms/upload-resource/route.ts.  Baseline: docs/ba/02-requirements/VGG_REQ-WORKBOOK_v0.1_2026-09-04.xlsx / Requirements; Tiêu chuẩn ATTT chính thức cần xác nhận</x:v>
      </x:c>
    </x:row>
    <x:row r="657" ht="49" customHeight="1">
      <x:c r="A657" s="3" t="str">
        <x:v>OBS-API</x:v>
      </x:c>
      <x:c r="B657" s="3" t="str">
        <x:v>API</x:v>
      </x:c>
      <x:c r="C657" s="3" t="str">
        <x:v>Hợp đồng BACKEND</x:v>
      </x:c>
      <x:c r="D657" s="3" t="str">
        <x:v>TC_API_073</x:v>
      </x:c>
      <x:c r="E657" s="3" t="str">
        <x:v>GET ADMIN /api/cms/[...path] hợp lệ</x:v>
      </x:c>
      <x:c r="F657" s="3" t="str">
        <x:v>Designed — chưa thực thi</x:v>
      </x:c>
      <x:c r="G657" s="3" t="str">
        <x:v>Nguồn: admin/src/app/api/cms/[...path]/route.ts. Đối với proxy CMS giữ nguyên status/body upstream. Thay placeholder bằng ID/object key fixture; GET không gửi body. Baseline: backend/src/app.ts:24; Yêu cầu suy ra từ code, chưa phải baseline đã phê duyệt.</x:v>
      </x:c>
    </x:row>
    <x:row r="658" ht="49" customHeight="1">
      <x:c r="A658" s="3" t="str">
        <x:v>OBS-API</x:v>
      </x:c>
      <x:c r="B658" s="3" t="str">
        <x:v>API</x:v>
      </x:c>
      <x:c r="C658" s="3" t="str">
        <x:v>Hợp đồng BACKEND</x:v>
      </x:c>
      <x:c r="D658" s="3" t="str">
        <x:v>TC_API_074</x:v>
      </x:c>
      <x:c r="E658" s="3" t="str">
        <x:v>POST ADMIN /api/cms/[...path] hợp lệ</x:v>
      </x:c>
      <x:c r="F658" s="3" t="str">
        <x:v>Designed — chưa thực thi</x:v>
      </x:c>
      <x:c r="G658" s="3" t="str">
        <x:v>Nguồn: admin/src/app/api/cms/[...path]/route.ts. Đối với proxy CMS giữ nguyên status/body upstream. Thay placeholder bằng ID/object key fixture; GET không gửi body. Baseline: backend/src/app.ts:24; Yêu cầu suy ra từ code, chưa phải baseline đã phê duyệt.</x:v>
      </x:c>
    </x:row>
    <x:row r="659" ht="49" customHeight="1">
      <x:c r="A659" s="3" t="str">
        <x:v>OBS-API</x:v>
      </x:c>
      <x:c r="B659" s="3" t="str">
        <x:v>API</x:v>
      </x:c>
      <x:c r="C659" s="3" t="str">
        <x:v>Hợp đồng BACKEND</x:v>
      </x:c>
      <x:c r="D659" s="3" t="str">
        <x:v>TC_API_075</x:v>
      </x:c>
      <x:c r="E659" s="3" t="str">
        <x:v>PUT ADMIN /api/cms/[...path] hợp lệ</x:v>
      </x:c>
      <x:c r="F659" s="3" t="str">
        <x:v>Designed — chưa thực thi</x:v>
      </x:c>
      <x:c r="G659" s="3" t="str">
        <x:v>Nguồn: admin/src/app/api/cms/[...path]/route.ts. Đối với proxy CMS giữ nguyên status/body upstream. Thay placeholder bằng ID/object key fixture; GET không gửi body. Baseline: backend/src/app.ts:24; Yêu cầu suy ra từ code, chưa phải baseline đã phê duyệt.</x:v>
      </x:c>
    </x:row>
    <x:row r="660" ht="49" customHeight="1">
      <x:c r="A660" s="3" t="str">
        <x:v>OBS-API</x:v>
      </x:c>
      <x:c r="B660" s="3" t="str">
        <x:v>API</x:v>
      </x:c>
      <x:c r="C660" s="3" t="str">
        <x:v>Hợp đồng BACKEND</x:v>
      </x:c>
      <x:c r="D660" s="3" t="str">
        <x:v>TC_API_076</x:v>
      </x:c>
      <x:c r="E660" s="3" t="str">
        <x:v>PATCH ADMIN /api/cms/[...path] hợp lệ</x:v>
      </x:c>
      <x:c r="F660" s="3" t="str">
        <x:v>Designed — chưa thực thi</x:v>
      </x:c>
      <x:c r="G660" s="3" t="str">
        <x:v>Nguồn: admin/src/app/api/cms/[...path]/route.ts. Đối với proxy CMS giữ nguyên status/body upstream. Thay placeholder bằng ID/object key fixture; GET không gửi body. Baseline: backend/src/app.ts:24; Yêu cầu suy ra từ code, chưa phải baseline đã phê duyệt.</x:v>
      </x:c>
    </x:row>
    <x:row r="661" ht="49" customHeight="1">
      <x:c r="A661" s="3" t="str">
        <x:v>OBS-API</x:v>
      </x:c>
      <x:c r="B661" s="3" t="str">
        <x:v>API</x:v>
      </x:c>
      <x:c r="C661" s="3" t="str">
        <x:v>Hợp đồng BACKEND</x:v>
      </x:c>
      <x:c r="D661" s="3" t="str">
        <x:v>TC_API_077</x:v>
      </x:c>
      <x:c r="E661" s="3" t="str">
        <x:v>DELETE ADMIN /api/cms/[...path] hợp lệ</x:v>
      </x:c>
      <x:c r="F661" s="3" t="str">
        <x:v>Designed — chưa thực thi</x:v>
      </x:c>
      <x:c r="G661" s="3" t="str">
        <x:v>Nguồn: admin/src/app/api/cms/[...path]/route.ts. Đối với proxy CMS giữ nguyên status/body upstream. Thay placeholder bằng ID/object key fixture; GET không gửi body. Baseline: backend/src/app.ts:24; Yêu cầu suy ra từ code, chưa phải baseline đã phê duyệt.</x:v>
      </x:c>
    </x:row>
    <x:row r="662" ht="49" customHeight="1">
      <x:c r="A662" s="3" t="str">
        <x:v>OBS-API</x:v>
      </x:c>
      <x:c r="B662" s="3" t="str">
        <x:v>API</x:v>
      </x:c>
      <x:c r="C662" s="3" t="str">
        <x:v>Hợp đồng BACKEND</x:v>
      </x:c>
      <x:c r="D662" s="3" t="str">
        <x:v>TC_API_078</x:v>
      </x:c>
      <x:c r="E662" s="3" t="str">
        <x:v>GET ADMIN /api/media/[...path] hợp lệ</x:v>
      </x:c>
      <x:c r="F662" s="3" t="str">
        <x:v>Designed — chưa thực thi</x:v>
      </x:c>
      <x:c r="G662" s="3" t="str">
        <x:v>Nguồn: admin/src/app/api/media/[...path]/route.ts. Đối với proxy CMS giữ nguyên status/body upstream. Thay placeholder bằng ID/object key fixture; GET không gửi body. Baseline: backend/src/app.ts:24; Yêu cầu suy ra từ code, chưa phải baseline đã phê duyệt.</x:v>
      </x:c>
    </x:row>
    <x:row r="663" ht="49" customHeight="1">
      <x:c r="A663" s="3" t="str">
        <x:v>OBS-API</x:v>
      </x:c>
      <x:c r="B663" s="3" t="str">
        <x:v>API</x:v>
      </x:c>
      <x:c r="C663" s="3" t="str">
        <x:v>Hợp đồng BACKEND</x:v>
      </x:c>
      <x:c r="D663" s="3" t="str">
        <x:v>TC_API_079</x:v>
      </x:c>
      <x:c r="E663" s="3" t="str">
        <x:v>POST FRONTEND /api/consultations hợp lệ</x:v>
      </x:c>
      <x:c r="F663" s="3" t="str">
        <x:v>Designed — chưa thực thi</x:v>
      </x:c>
      <x:c r="G663" s="3" t="str">
        <x:v>Nguồn: frontend/src/app/api/consultations/route.ts. Đối với proxy CMS giữ nguyên status/body upstream. Thay placeholder bằng ID/object key fixture; GET không gửi body. Baseline: backend/src/app.ts:24; Yêu cầu suy ra từ code, chưa phải baseline đã phê duyệt.</x:v>
      </x:c>
    </x:row>
    <x:row r="664" ht="36" customHeight="1">
      <x:c r="A664" s="3" t="str">
        <x:v>OBS-API</x:v>
      </x:c>
      <x:c r="B664" s="3" t="str">
        <x:v>API</x:v>
      </x:c>
      <x:c r="C664" s="3" t="str">
        <x:v>Hợp đồng BACKEND</x:v>
      </x:c>
      <x:c r="D664" s="3" t="str">
        <x:v>TC_API_080</x:v>
      </x:c>
      <x:c r="E664" s="3" t="str">
        <x:v>POST FRONTEND /api/consultations JSON hỏng</x:v>
      </x:c>
      <x:c r="F664" s="3" t="str">
        <x:v>Designed — chưa thực thi</x:v>
      </x:c>
      <x:c r="G664" s="3" t="str">
        <x:v>Nguồn: frontend/src/app/api/consultations/route.ts.  Baseline: backend/src/app.ts:24; Yêu cầu suy ra từ code, chưa phải baseline đã phê duyệt.</x:v>
      </x:c>
    </x:row>
    <x:row r="665" ht="49" customHeight="1">
      <x:c r="A665" s="3" t="str">
        <x:v>OBS-API</x:v>
      </x:c>
      <x:c r="B665" s="3" t="str">
        <x:v>API</x:v>
      </x:c>
      <x:c r="C665" s="3" t="str">
        <x:v>Hợp đồng BACKEND</x:v>
      </x:c>
      <x:c r="D665" s="3" t="str">
        <x:v>TC_API_081</x:v>
      </x:c>
      <x:c r="E665" s="3" t="str">
        <x:v>POST FRONTEND /api/analytics/visit hợp lệ</x:v>
      </x:c>
      <x:c r="F665" s="3" t="str">
        <x:v>Designed — chưa thực thi</x:v>
      </x:c>
      <x:c r="G665" s="3" t="str">
        <x:v>Nguồn: frontend/src/app/api/analytics/visit/route.ts. Đối với proxy CMS giữ nguyên status/body upstream. Thay placeholder bằng ID/object key fixture; GET không gửi body. Baseline: backend/src/app.ts:24; Yêu cầu suy ra từ code, chưa phải baseline đã phê duyệt.</x:v>
      </x:c>
    </x:row>
    <x:row r="666" ht="36" customHeight="1">
      <x:c r="A666" s="3" t="str">
        <x:v>OBS-API</x:v>
      </x:c>
      <x:c r="B666" s="3" t="str">
        <x:v>API</x:v>
      </x:c>
      <x:c r="C666" s="3" t="str">
        <x:v>Hợp đồng BACKEND</x:v>
      </x:c>
      <x:c r="D666" s="3" t="str">
        <x:v>TC_API_082</x:v>
      </x:c>
      <x:c r="E666" s="3" t="str">
        <x:v>POST FRONTEND /api/analytics/visit JSON hỏng</x:v>
      </x:c>
      <x:c r="F666" s="3" t="str">
        <x:v>Designed — chưa thực thi</x:v>
      </x:c>
      <x:c r="G666" s="3" t="str">
        <x:v>Nguồn: frontend/src/app/api/analytics/visit/route.ts.  Baseline: backend/src/app.ts:24; Yêu cầu suy ra từ code, chưa phải baseline đã phê duyệt.</x:v>
      </x:c>
    </x:row>
    <x:row r="667" ht="49" customHeight="1">
      <x:c r="A667" s="3" t="str">
        <x:v>OBS-API</x:v>
      </x:c>
      <x:c r="B667" s="3" t="str">
        <x:v>API</x:v>
      </x:c>
      <x:c r="C667" s="3" t="str">
        <x:v>Hợp đồng BACKEND</x:v>
      </x:c>
      <x:c r="D667" s="3" t="str">
        <x:v>TC_API_083</x:v>
      </x:c>
      <x:c r="E667" s="3" t="str">
        <x:v>GET FRONTEND /api/media/[...path] hợp lệ</x:v>
      </x:c>
      <x:c r="F667" s="3" t="str">
        <x:v>Designed — chưa thực thi</x:v>
      </x:c>
      <x:c r="G667" s="3" t="str">
        <x:v>Nguồn: frontend/src/app/api/media/[...path]/route.ts. Đối với proxy CMS giữ nguyên status/body upstream. Thay placeholder bằng ID/object key fixture; GET không gửi body. Baseline: backend/src/app.ts:24; Yêu cầu suy ra từ code, chưa phải baseline đã phê duyệt.</x:v>
      </x:c>
    </x:row>
    <x:row r="668" ht="49" customHeight="1">
      <x:c r="A668" s="3" t="str">
        <x:v>OBS-API</x:v>
      </x:c>
      <x:c r="B668" s="3" t="str">
        <x:v>API</x:v>
      </x:c>
      <x:c r="C668" s="3" t="str">
        <x:v>Hợp đồng BACKEND</x:v>
      </x:c>
      <x:c r="D668" s="3" t="str">
        <x:v>TC_API_084</x:v>
      </x:c>
      <x:c r="E668" s="3" t="str">
        <x:v>GET FRONTEND /api/resources/file hợp lệ</x:v>
      </x:c>
      <x:c r="F668" s="3" t="str">
        <x:v>Designed — chưa thực thi</x:v>
      </x:c>
      <x:c r="G668" s="3" t="str">
        <x:v>Nguồn: frontend/src/app/api/resources/file/route.ts. Đối với proxy CMS giữ nguyên status/body upstream. Thay placeholder bằng ID/object key fixture; GET không gửi body. Baseline: backend/src/app.ts:24; Yêu cầu suy ra từ code, chưa phải baseline đã phê duyệt.</x:v>
      </x:c>
    </x:row>
    <x:row r="669" ht="49" customHeight="1">
      <x:c r="A669" s="3" t="str">
        <x:v>NEWS-001</x:v>
      </x:c>
      <x:c r="B669" s="3" t="str">
        <x:v>NEWS</x:v>
      </x:c>
      <x:c r="C669" s="3" t="str">
        <x:v>Người có news.create phải tạo được bài với tiêu đề, slug, locale, danh mục và nội dung hợp lệ.</x:v>
      </x:c>
      <x:c r="D669" s="3" t="str">
        <x:v>TC_NEWS_069</x:v>
      </x:c>
      <x:c r="E669" s="3" t="str">
        <x:v>Slug trùng: tài liệu và code khác nhau</x:v>
      </x:c>
      <x:c r="F669" s="3" t="str">
        <x:v>Partial — Need Confirmation</x:v>
      </x:c>
      <x:c r="G669" s="3" t="str">
        <x:v>Nguồn: admin/src/components/cms/NewsManager.tsx; backend/src/modules/cms/cms.routes.ts. Need Confirmation: Chấp nhận tự thêm hậu tố hay phải trả 409? Baseline: docs/ba/02-requirements/VGG_REQ-WORKBOOK_v0.1_2026-09-04.xlsx / Requirements; Quy trình duyệt nội dung cần xác nhận</x:v>
      </x:c>
    </x:row>
    <x:row r="670" ht="36" customHeight="1">
      <x:c r="A670" s="3" t="str">
        <x:v>PUB-003</x:v>
      </x:c>
      <x:c r="B670" s="3" t="str">
        <x:v>NEWS</x:v>
      </x:c>
      <x:c r="C670" s="3" t="str">
        <x:v>API công khai chỉ được trả tin trạng thái PUBLISHED và đúng điều kiện thời gian công bố.</x:v>
      </x:c>
      <x:c r="D670" s="3" t="str">
        <x:v>TC_NEWS_070</x:v>
      </x:c>
      <x:c r="E670" s="3" t="str">
        <x:v>Tin PUBLISHED có ngày tương lai</x:v>
      </x:c>
      <x:c r="F670" s="3" t="str">
        <x:v>Partial — Need Confirmation</x:v>
      </x:c>
      <x:c r="G670" s="3" t="str">
        <x:v>Nguồn: backend/src/modules/cms/cms.routes.ts. Need Confirmation: Có lịch xuất bản theo publishedAt hay công khai ngay? Baseline: docs/ba/02-requirements/VGG_REQ-WORKBOOK_v0.1_2026-09-04.xlsx / Requirements; </x:v>
      </x:c>
    </x:row>
    <x:row r="671" ht="36" customHeight="1">
      <x:c r="A671" s="3" t="str">
        <x:v>PUB-003</x:v>
      </x:c>
      <x:c r="B671" s="3" t="str">
        <x:v>NEWS</x:v>
      </x:c>
      <x:c r="C671" s="3" t="str">
        <x:v>API công khai chỉ được trả tin trạng thái PUBLISHED và đúng điều kiện thời gian công bố.</x:v>
      </x:c>
      <x:c r="D671" s="3" t="str">
        <x:v>TC_NEWS_071</x:v>
      </x:c>
      <x:c r="E671" s="3" t="str">
        <x:v>Demo tin mặc định</x:v>
      </x:c>
      <x:c r="F671" s="3" t="str">
        <x:v>Partial — Need Confirmation</x:v>
      </x:c>
      <x:c r="G671" s="3" t="str">
        <x:v>Nguồn: frontend/src/features/news/data.ts. Need Confirmation: Production có bắt buộc tắt demo tin? Baseline: docs/ba/02-requirements/VGG_REQ-WORKBOOK_v0.1_2026-09-04.xlsx / Requirements; </x:v>
      </x:c>
    </x:row>
    <x:row r="672" ht="36" customHeight="1">
      <x:c r="A672" s="3" t="str">
        <x:v>PUB-004</x:v>
      </x:c>
      <x:c r="B672" s="3" t="str">
        <x:v>RESOURCE</x:v>
      </x:c>
      <x:c r="C672" s="3" t="str">
        <x:v>Hệ thống phải liệt kê tài nguyên công khai và phân phối tệp qua proxy nội bộ.</x:v>
      </x:c>
      <x:c r="D672" s="3" t="str">
        <x:v>TC_RESOURCE_077</x:v>
      </x:c>
      <x:c r="E672" s="3" t="str">
        <x:v>Demo resource mặc định</x:v>
      </x:c>
      <x:c r="F672" s="3" t="str">
        <x:v>Partial — Need Confirmation</x:v>
      </x:c>
      <x:c r="G672" s="3" t="str">
        <x:v>Nguồn: frontend/src/features/resources/data.ts. Need Confirmation: Production có bắt buộc tắt demo tài nguyên? Baseline: docs/ba/02-requirements/VGG_REQ-WORKBOOK_v0.1_2026-09-04.xlsx / Requirements; </x:v>
      </x:c>
    </x:row>
    <x:row r="673" ht="49" customHeight="1">
      <x:c r="A673" s="3" t="str">
        <x:v>PUB-001</x:v>
      </x:c>
      <x:c r="B673" s="3" t="str">
        <x:v>I18N</x:v>
      </x:c>
      <x:c r="C673" s="3" t="str">
        <x:v>Hệ thống phải cung cấp tuyến /vi và /en và duy trì locale khi điều hướng.</x:v>
      </x:c>
      <x:c r="D673" s="3" t="str">
        <x:v>TC_I18N_001</x:v>
      </x:c>
      <x:c r="E673" s="3" t="str">
        <x:v>Tin EN bị truy vấn locale=vi</x:v>
      </x:c>
      <x:c r="F673" s="3" t="str">
        <x:v>Partial — Need Confirmation</x:v>
      </x:c>
      <x:c r="G673" s="3" t="str">
        <x:v>Nguồn: frontend/src/features/news/data.ts. Need Confirmation: Nội dung tin có bắt buộc tách VI/EN và fallback như thế nào? Baseline: docs/ba/02-requirements/VGG_REQ-WORKBOOK_v0.1_2026-09-04.xlsx / Requirements; Phạm vi dịch thuật đầy đủ cần xác nhận</x:v>
      </x:c>
    </x:row>
    <x:row r="674" ht="36" customHeight="1">
      <x:c r="A674" s="3" t="str">
        <x:v>PUB-004</x:v>
      </x:c>
      <x:c r="B674" s="3" t="str">
        <x:v>RESOURCE</x:v>
      </x:c>
      <x:c r="C674" s="3" t="str">
        <x:v>Hệ thống phải liệt kê tài nguyên công khai và phân phối tệp qua proxy nội bộ.</x:v>
      </x:c>
      <x:c r="D674" s="3" t="str">
        <x:v>TC_RESOURCE_078</x:v>
      </x:c>
      <x:c r="E674" s="3" t="str">
        <x:v>File nháp có URL media công khai</x:v>
      </x:c>
      <x:c r="F674" s="3" t="str">
        <x:v>Partial — Need Confirmation</x:v>
      </x:c>
      <x:c r="G674" s="3" t="str">
        <x:v>Nguồn: backend/src/modules/cms/cms.routes.ts. Need Confirmation: Trạng thái DRAFT bảo vệ file hay chỉ ẩn metadata? Baseline: docs/ba/02-requirements/VGG_REQ-WORKBOOK_v0.1_2026-09-04.xlsx / Requirements; </x:v>
      </x:c>
    </x:row>
    <x:row r="675" ht="49" customHeight="1">
      <x:c r="A675" s="3" t="str">
        <x:v>RES-003</x:v>
      </x:c>
      <x:c r="B675" s="3" t="str">
        <x:v>RESOURCE</x:v>
      </x:c>
      <x:c r="C675" s="3" t="str">
        <x:v>Người có resources.delete có thể xóa bản ghi tài nguyên; tác động lên tệp vật lý phải được xác định.</x:v>
      </x:c>
      <x:c r="D675" s="3" t="str">
        <x:v>TC_RESOURCE_079</x:v>
      </x:c>
      <x:c r="E675" s="3" t="str">
        <x:v>Object sau hard delete</x:v>
      </x:c>
      <x:c r="F675" s="3" t="str">
        <x:v>Partial — Need Confirmation</x:v>
      </x:c>
      <x:c r="G675" s="3" t="str">
        <x:v>Nguồn: backend/src/modules/cms/cms.routes.ts. Need Confirmation: Có xóa object? retention/restore bao lâu? Baseline: docs/ba/02-requirements/VGG_REQ-WORKBOOK_v0.1_2026-09-04.xlsx / Requirements; Code xóa cứng bản ghi; chính sách lưu trữ và xóa object cần xác nhận</x:v>
      </x:c>
    </x:row>
    <x:row r="676" ht="49" customHeight="1">
      <x:c r="A676" s="3" t="str">
        <x:v>RES-001</x:v>
      </x:c>
      <x:c r="B676" s="3" t="str">
        <x:v>UPLOAD</x:v>
      </x:c>
      <x:c r="C676" s="3" t="str">
        <x:v>Người có resources.create phải tải tệp được phép và tạo bản ghi gắn danh mục.</x:v>
      </x:c>
      <x:c r="D676" s="3" t="str">
        <x:v>TC_UPLOAD_023</x:v>
      </x:c>
      <x:c r="E676" s="3" t="str">
        <x:v>Ngưỡng 25 MiB so với 50 MiB</x:v>
      </x:c>
      <x:c r="F676" s="3" t="str">
        <x:v>Partial — Need Confirmation</x:v>
      </x:c>
      <x:c r="G676" s="3" t="str">
        <x:v>Nguồn: backend/src/modules/cms/cms.routes.ts; admin/src/app/api/cms/upload-resource/route.ts. Need Confirmation: Chốt ngưỡng triển khai và cấu hình STORAGE_MAX_RESOURCE_FILE_MB? Baseline: docs/ba/02-requirements/VGG_REQ-WORKBOOK_v0.1_2026-09-04.xlsx / Requirements; Backend 50 MB, Admin mặc định 25 MB: cần thống nhất</x:v>
      </x:c>
    </x:row>
    <x:row r="677" ht="62" customHeight="1">
      <x:c r="A677" s="3" t="str">
        <x:v>CON-001</x:v>
      </x:c>
      <x:c r="B677" s="3" t="str">
        <x:v>CONSULT</x:v>
      </x:c>
      <x:c r="C677" s="3" t="str">
        <x:v>Hệ thống phải kiểm tra dữ liệu bắt buộc, chống bot cơ bản và ghi nhận yêu cầu tư vấn.</x:v>
      </x:c>
      <x:c r="D677" s="3" t="str">
        <x:v>TC_CONSULT_083</x:v>
      </x:c>
      <x:c r="E677" s="3" t="str">
        <x:v>Giới hạn tên 80/100/120</x:v>
      </x:c>
      <x:c r="F677" s="3" t="str">
        <x:v>Partial — Need Confirmation</x:v>
      </x:c>
      <x:c r="G677" s="3" t="str">
        <x:v>Nguồn: backend/src/consultation.ts; frontend/src/features/home/components/ResourcesConsultation.tsx; backend/src/modules/consultations/consultations.routes.ts. Need Confirmation: Giới hạn tên chuẩn cần nghiệm thu là bao nhiêu? Baseline: docs/ba/02-requirements/VGG_REQ-WORKBOOK_v0.1_2026-09-04.xlsx / Requirements; Cơ sở pháp lý/đồng ý xử lý dữ liệu cần xác nhận</x:v>
      </x:c>
    </x:row>
    <x:row r="678" ht="49" customHeight="1">
      <x:c r="A678" s="3" t="str">
        <x:v>CON-001</x:v>
      </x:c>
      <x:c r="B678" s="3" t="str">
        <x:v>CONSULT</x:v>
      </x:c>
      <x:c r="C678" s="3" t="str">
        <x:v>Hệ thống phải kiểm tra dữ liệu bắt buộc, chống bot cơ bản và ghi nhận yêu cầu tư vấn.</x:v>
      </x:c>
      <x:c r="D678" s="3" t="str">
        <x:v>TC_CONSULT_084</x:v>
      </x:c>
      <x:c r="E678" s="3" t="str">
        <x:v>Phone ký tự chữ qua API</x:v>
      </x:c>
      <x:c r="F678" s="3" t="str">
        <x:v>Partial — Need Confirmation</x:v>
      </x:c>
      <x:c r="G678" s="3" t="str">
        <x:v>Nguồn: backend/src/modules/consultations/consultations.routes.ts. Need Confirmation: Quy tắc phone quốc gia/regex chuẩn có bắt buộc? Baseline: docs/ba/02-requirements/VGG_REQ-WORKBOOK_v0.1_2026-09-04.xlsx / Requirements; Cơ sở pháp lý/đồng ý xử lý dữ liệu cần xác nhận</x:v>
      </x:c>
    </x:row>
    <x:row r="679" ht="49" customHeight="1">
      <x:c r="A679" s="3" t="str">
        <x:v>CON-001</x:v>
      </x:c>
      <x:c r="B679" s="3" t="str">
        <x:v>CONSULT</x:v>
      </x:c>
      <x:c r="C679" s="3" t="str">
        <x:v>Hệ thống phải kiểm tra dữ liệu bắt buộc, chống bot cơ bản và ghi nhận yêu cầu tư vấn.</x:v>
      </x:c>
      <x:c r="D679" s="3" t="str">
        <x:v>TC_CONSULT_085</x:v>
      </x:c>
      <x:c r="E679" s="3" t="str">
        <x:v>Consent hidden tự đồng ý</x:v>
      </x:c>
      <x:c r="F679" s="3" t="str">
        <x:v>Partial — Need Confirmation</x:v>
      </x:c>
      <x:c r="G679" s="3" t="str">
        <x:v>Nguồn: frontend/src/features/home/components/ResourcesConsultation.tsx. Need Confirmation: Có phải checkbox rõ ràng và lưu phiên bản thông báo consent? Baseline: docs/ba/02-requirements/VGG_REQ-WORKBOOK_v0.1_2026-09-04.xlsx / Requirements; Cơ sở pháp lý/đồng ý xử lý dữ liệu cần xác nhận</x:v>
      </x:c>
    </x:row>
    <x:row r="680" ht="49" customHeight="1">
      <x:c r="A680" s="3" t="str">
        <x:v>CON-002</x:v>
      </x:c>
      <x:c r="B680" s="3" t="str">
        <x:v>CONSULT</x:v>
      </x:c>
      <x:c r="C680" s="3" t="str">
        <x:v>Người có consultations.view phải xem danh sách theo bộ lọc/phân trang được hỗ trợ.</x:v>
      </x:c>
      <x:c r="D680" s="3" t="str">
        <x:v>TC_CONSULT_086</x:v>
      </x:c>
      <x:c r="E680" s="3" t="str">
        <x:v>Danh sách chỉ 100 lead</x:v>
      </x:c>
      <x:c r="F680" s="3" t="str">
        <x:v>Partial — Need Confirmation</x:v>
      </x:c>
      <x:c r="G680" s="3" t="str">
        <x:v>Nguồn: backend/src/modules/consultations/consultations.routes.ts. Need Confirmation: Cần phân trang/tìm/lọc đầy đủ hay chỉ 100 mới nhất? Baseline: docs/ba/02-requirements/VGG_REQ-WORKBOOK_v0.1_2026-09-04.xlsx / Requirements; Phạm vi dữ liệu theo người phụ trách cần xác nhận</x:v>
      </x:c>
    </x:row>
    <x:row r="681" ht="49" customHeight="1">
      <x:c r="A681" s="3" t="str">
        <x:v>CON-003</x:v>
      </x:c>
      <x:c r="B681" s="3" t="str">
        <x:v>CONSULT</x:v>
      </x:c>
      <x:c r="C681" s="3" t="str">
        <x:v>Người có consultations.update phải chuyển trạng thái hợp lệ và ghi lịch sử.</x:v>
      </x:c>
      <x:c r="D681" s="3" t="str">
        <x:v>TC_CONSULT_087</x:v>
      </x:c>
      <x:c r="E681" s="3" t="str">
        <x:v>Phân công và ghi chú mới có model</x:v>
      </x:c>
      <x:c r="F681" s="3" t="str">
        <x:v>Partial — Need Confirmation</x:v>
      </x:c>
      <x:c r="G681" s="3" t="str">
        <x:v>Nguồn: backend/prisma/schema.prisma. Need Confirmation: Có thuộc release nghiệm thu? Cần endpoint và rule assignment. Baseline: docs/ba/02-requirements/VGG_REQ-WORKBOOK_v0.1_2026-09-04.xlsx / Requirements; Ma trận chuyển trạng thái cần xác nhận</x:v>
      </x:c>
    </x:row>
    <x:row r="682" ht="49" customHeight="1">
      <x:c r="A682" s="3" t="str">
        <x:v>NFR-001</x:v>
      </x:c>
      <x:c r="B682" s="3" t="str">
        <x:v>PERMISSION</x:v>
      </x:c>
      <x:c r="C682" s="3" t="str">
        <x:v>Hệ thống phải áp dụng RBAC phía server, cookie HttpOnly, băm mật khẩu, CORS giới hạn, rate limit và làm sạch HTML.</x:v>
      </x:c>
      <x:c r="D682" s="3" t="str">
        <x:v>TC_PERMISSION_104</x:v>
      </x:c>
      <x:c r="E682" s="3" t="str">
        <x:v>Permission publish không được guard riêng</x:v>
      </x:c>
      <x:c r="F682" s="3" t="str">
        <x:v>Partial — Need Confirmation</x:v>
      </x:c>
      <x:c r="G682" s="3" t="str">
        <x:v>Nguồn: backend/src/modules/cms/cms.routes.ts. Need Confirmation: Có yêu cầu tách quyền tạo/sửa/duyệt/xuất bản? Baseline: docs/ba/02-requirements/VGG_REQ-WORKBOOK_v0.1_2026-09-04.xlsx / Requirements; Tiêu chuẩn ATTT chính thức cần xác nhận</x:v>
      </x:c>
    </x:row>
    <x:row r="683" ht="49" customHeight="1">
      <x:c r="A683" s="3" t="str">
        <x:v>AUTH-002</x:v>
      </x:c>
      <x:c r="B683" s="3" t="str">
        <x:v>PERMISSION</x:v>
      </x:c>
      <x:c r="C683" s="3" t="str">
        <x:v>Hệ thống phải buộc đổi mật khẩu khi mustChangePassword=true và vô hiệu hóa phiên phù hợp sau thay đổi.</x:v>
      </x:c>
      <x:c r="D683" s="3" t="str">
        <x:v>TC_PERMISSION_105</x:v>
      </x:c>
      <x:c r="E683" s="3" t="str">
        <x:v>Bypass mustChangePassword qua CMS</x:v>
      </x:c>
      <x:c r="F683" s="3" t="str">
        <x:v>Partial — Need Confirmation</x:v>
      </x:c>
      <x:c r="G683" s="3" t="str">
        <x:v>Nguồn: backend/src/modules/cms/cms.routes.ts; backend/src/modules/auth/auth.service.ts. Need Confirmation: Xác nhận guard bắt buộc áp dụng cho mọi mutation CMS/upload. Baseline: docs/ba/02-requirements/VGG_REQ-WORKBOOK_v0.1_2026-09-04.xlsx / Requirements; Chính sách độ mạnh cần xác nhận</x:v>
      </x:c>
    </x:row>
    <x:row r="684" ht="36" customHeight="1">
      <x:c r="A684" s="3" t="str">
        <x:v>USR-001</x:v>
      </x:c>
      <x:c r="B684" s="3" t="str">
        <x:v>PERMISSION</x:v>
      </x:c>
      <x:c r="C684" s="3" t="str">
        <x:v>Chỉ SUPER_ADMIN hoặc quyền admins.* tương ứng được thao tác tài khoản.</x:v>
      </x:c>
      <x:c r="D684" s="3" t="str">
        <x:v>TC_PERMISSION_106</x:v>
      </x:c>
      <x:c r="E684" s="3" t="str">
        <x:v>Bootstrap admin và backend khác quyền</x:v>
      </x:c>
      <x:c r="F684" s="3" t="str">
        <x:v>Partial — Need Confirmation</x:v>
      </x:c>
      <x:c r="G684" s="3" t="str">
        <x:v>Nguồn: admin/src/lib/auth/roles.ts; backend/prisma/bootstrap-admin.ts. Need Confirmation: Bootstrap nào là baseline release? Baseline: docs/ba/02-requirements/VGG_REQ-WORKBOOK_v0.1_2026-09-04.xlsx / Requirements; </x:v>
      </x:c>
    </x:row>
    <x:row r="685" ht="49" customHeight="1">
      <x:c r="A685" s="3" t="str">
        <x:v>SITE-001</x:v>
      </x:c>
      <x:c r="B685" s="3" t="str">
        <x:v>SITE</x:v>
      </x:c>
      <x:c r="C685" s="3" t="str">
        <x:v>Người có quyền phù hợp phải upsert SiteContent theo key duy nhất và cờ published.</x:v>
      </x:c>
      <x:c r="D685" s="3" t="str">
        <x:v>TC_SITE_024</x:v>
      </x:c>
      <x:c r="E685" s="3" t="str">
        <x:v>website.view/update thiếu seed</x:v>
      </x:c>
      <x:c r="F685" s="3" t="str">
        <x:v>Partial — Need Confirmation</x:v>
      </x:c>
      <x:c r="G685" s="3" t="str">
        <x:v>Nguồn: backend/src/modules/cms/cms.routes.ts; backend/prisma/bootstrap-admin.ts. Need Confirmation: Cấp quyền module website bằng migration/seed nào? Baseline: docs/ba/02-requirements/VGG_REQ-WORKBOOK_v0.1_2026-09-04.xlsx / Requirements; Quyền cụ thể và ownership nội dung cần xác nhận</x:v>
      </x:c>
    </x:row>
    <x:row r="686" ht="49" customHeight="1">
      <x:c r="A686" s="3" t="str">
        <x:v>APP-001</x:v>
      </x:c>
      <x:c r="B686" s="3" t="str">
        <x:v>APPLICATION</x:v>
      </x:c>
      <x:c r="C686" s="3" t="str">
        <x:v>Người có quyền phù hợp phải xem danh sách Application và trạng thái.</x:v>
      </x:c>
      <x:c r="D686" s="3" t="str">
        <x:v>TC_APPLICATION_001</x:v>
      </x:c>
      <x:c r="E686" s="3" t="str">
        <x:v>Ứng tuyển chưa có luồng tạo</x:v>
      </x:c>
      <x:c r="F686" s="3" t="str">
        <x:v>Partial — Need Confirmation</x:v>
      </x:c>
      <x:c r="G686" s="3" t="str">
        <x:v>Nguồn: backend/src/modules/cms/cms.routes.ts; backend/prisma/bootstrap-admin.ts. Need Confirmation: Nguồn tạo, workflow, phân trang và người có quyền là ai? Baseline: docs/ba/02-requirements/VGG_REQ-WORKBOOK_v0.1_2026-09-04.xlsx / Requirements; Nguồn tạo hồ sơ, quy trình xử lý và quyền cần xác nhận</x:v>
      </x:c>
    </x:row>
    <x:row r="687" ht="49" customHeight="1">
      <x:c r="A687" s="3" t="str">
        <x:v>AUD-001</x:v>
      </x:c>
      <x:c r="B687" s="3" t="str">
        <x:v>AUDIT</x:v>
      </x:c>
      <x:c r="C687" s="3" t="str">
        <x:v>Hệ thống phải ghi và cho phép truy xuất audit theo quyền đối với các hành động được định nghĩa.</x:v>
      </x:c>
      <x:c r="D687" s="3" t="str">
        <x:v>TC_AUDIT_001</x:v>
      </x:c>
      <x:c r="E687" s="3" t="str">
        <x:v>Thông báo lộ audit giữa vai trò</x:v>
      </x:c>
      <x:c r="F687" s="3" t="str">
        <x:v>Partial — Need Confirmation</x:v>
      </x:c>
      <x:c r="G687" s="3" t="str">
        <x:v>Nguồn: admin/src/app/api/admin/notifications/route.ts. Need Confirmation: Thông báo được phép chứa audit/metadata của ai? Baseline: docs/ba/02-requirements/VGG_REQ-WORKBOOK_v0.1_2026-09-04.xlsx / Requirements; UI/API tra cứu audit cần xác nhận</x:v>
      </x:c>
    </x:row>
    <x:row r="688" ht="49" customHeight="1">
      <x:c r="A688" s="3" t="str">
        <x:v>DASH-001</x:v>
      </x:c>
      <x:c r="B688" s="3" t="str">
        <x:v>DASH</x:v>
      </x:c>
      <x:c r="C688" s="3" t="str">
        <x:v>Người có dashboard.view phải xem được số liệu tổng hợp theo dữ liệu hệ thống.</x:v>
      </x:c>
      <x:c r="D688" s="3" t="str">
        <x:v>TC_DASH_001</x:v>
      </x:c>
      <x:c r="E688" s="3" t="str">
        <x:v>Biểu đồ có dữ liệu mô phỏng</x:v>
      </x:c>
      <x:c r="F688" s="3" t="str">
        <x:v>Partial — Need Confirmation</x:v>
      </x:c>
      <x:c r="G688" s="3" t="str">
        <x:v>Nguồn: admin/src/components/dashboard/RealtimeDashboard.tsx. Need Confirmation: Có được hiển thị số mô phỏng? KPI và breakdown nguồn nào? Baseline: docs/ba/02-requirements/VGG_REQ-WORKBOOK_v0.1_2026-09-04.xlsx / Requirements; Định nghĩa/KPI và kỳ số liệu cần xác nhận</x:v>
      </x:c>
    </x:row>
    <x:row r="689" ht="36" customHeight="1">
      <x:c r="A689" s="3" t="str">
        <x:v>OBS-RESET</x:v>
      </x:c>
      <x:c r="B689" s="3" t="str">
        <x:v>AUTH</x:v>
      </x:c>
      <x:c r="C689" s="3" t="str">
        <x:v>Xác thực và vòng đời phiên</x:v>
      </x:c>
      <x:c r="D689" s="3" t="str">
        <x:v>TC_AUTH_049</x:v>
      </x:c>
      <x:c r="E689" s="3" t="str">
        <x:v>SMTP chưa cấu hình</x:v>
      </x:c>
      <x:c r="F689" s="3" t="str">
        <x:v>Partial — Need Confirmation</x:v>
      </x:c>
      <x:c r="G689" s="3" t="str">
        <x:v>Nguồn: admin/src/lib/auth/email.ts. Need Confirmation: SMTP và người xử lý sự cố có sẵn trong UAT? Baseline: admin/src/app/api/admin/auth; Yêu cầu suy ra từ code, chưa phải baseline đã phê duyệt.</x:v>
      </x:c>
    </x:row>
    <x:row r="690" ht="36" customHeight="1">
      <x:c r="A690" s="3" t="str">
        <x:v>USR-001</x:v>
      </x:c>
      <x:c r="B690" s="3" t="str">
        <x:v>USER</x:v>
      </x:c>
      <x:c r="C690" s="3" t="str">
        <x:v>Chỉ SUPER_ADMIN hoặc quyền admins.* tương ứng được thao tác tài khoản.</x:v>
      </x:c>
      <x:c r="D690" s="3" t="str">
        <x:v>TC_USER_036</x:v>
      </x:c>
      <x:c r="E690" s="3" t="str">
        <x:v>Email VLU UI và schema khác</x:v>
      </x:c>
      <x:c r="F690" s="3" t="str">
        <x:v>Partial — Need Confirmation</x:v>
      </x:c>
      <x:c r="G690" s="3" t="str">
        <x:v>Nguồn: admin/src/lib/auth/schemas.ts. Need Confirmation: Bắt buộc email không? Có whitelist domain và uniqueness khi tạo? Baseline: docs/ba/02-requirements/VGG_REQ-WORKBOOK_v0.1_2026-09-04.xlsx / Requirements; </x:v>
      </x:c>
    </x:row>
    <x:row r="691" ht="49" customHeight="1">
      <x:c r="A691" s="3" t="str">
        <x:v>SITE-001</x:v>
      </x:c>
      <x:c r="B691" s="3" t="str">
        <x:v>SITE</x:v>
      </x:c>
      <x:c r="C691" s="3" t="str">
        <x:v>Người có quyền phù hợp phải upsert SiteContent theo key duy nhất và cờ published.</x:v>
      </x:c>
      <x:c r="D691" s="3" t="str">
        <x:v>TC_SITE_025</x:v>
      </x:c>
      <x:c r="E691" s="3" t="str">
        <x:v>Key chung cho hai locale</x:v>
      </x:c>
      <x:c r="F691" s="3" t="str">
        <x:v>Partial — Need Confirmation</x:v>
      </x:c>
      <x:c r="G691" s="3" t="str">
        <x:v>Nguồn: backend/src/modules/cms/cms.routes.ts. Need Confirmation: Key phải kèm locale hay duy nhất toàn cục theo thiết kế? Baseline: docs/ba/02-requirements/VGG_REQ-WORKBOOK_v0.1_2026-09-04.xlsx / Requirements; Quyền cụ thể và ownership nội dung cần xác nhận</x:v>
      </x:c>
    </x:row>
    <x:row r="692" ht="49" customHeight="1">
      <x:c r="A692" s="3" t="str">
        <x:v>CON-001</x:v>
      </x:c>
      <x:c r="B692" s="3" t="str">
        <x:v>CONSULT</x:v>
      </x:c>
      <x:c r="C692" s="3" t="str">
        <x:v>Hệ thống phải kiểm tra dữ liệu bắt buộc, chống bot cơ bản và ghi nhận yêu cầu tư vấn.</x:v>
      </x:c>
      <x:c r="D692" s="3" t="str">
        <x:v>TC_CONSULT_088</x:v>
      </x:c>
      <x:c r="E692" s="3" t="str">
        <x:v>Idempotency khi timeout sau commit</x:v>
      </x:c>
      <x:c r="F692" s="3" t="str">
        <x:v>Partial — Need Confirmation</x:v>
      </x:c>
      <x:c r="G692" s="3" t="str">
        <x:v>Nguồn: backend/src/modules/consultations/consultations.routes.ts. Need Confirmation: Cho phép gửi lặp hay phải chống trùng trong cửa sổ thời gian nào? Baseline: docs/ba/02-requirements/VGG_REQ-WORKBOOK_v0.1_2026-09-04.xlsx / Requirements; Cơ sở pháp lý/đồng ý xử lý dữ liệu cần xác nhận</x:v>
      </x:c>
    </x:row>
    <x:row r="693" ht="49" customHeight="1">
      <x:c r="A693" s="3" t="str">
        <x:v>DASH-001</x:v>
      </x:c>
      <x:c r="B693" s="3" t="str">
        <x:v>DASH</x:v>
      </x:c>
      <x:c r="C693" s="3" t="str">
        <x:v>Người có dashboard.view phải xem được số liệu tổng hợp theo dữ liệu hệ thống.</x:v>
      </x:c>
      <x:c r="D693" s="3" t="str">
        <x:v>TC_DASH_002</x:v>
      </x:c>
      <x:c r="E693" s="3" t="str">
        <x:v>Tổng KPI</x:v>
      </x:c>
      <x:c r="F693" s="3" t="str">
        <x:v>Designed — chưa thực thi</x:v>
      </x:c>
      <x:c r="G693" s="3" t="str">
        <x:v>Nguồn: backend/src/modules/cms/cms.routes.ts; admin/src/components/dashboard/RealtimeDashboard.tsx.  Baseline: docs/ba/02-requirements/VGG_REQ-WORKBOOK_v0.1_2026-09-04.xlsx / Requirements; Định nghĩa/KPI và kỳ số liệu cần xác nhận</x:v>
      </x:c>
    </x:row>
    <x:row r="694" ht="49" customHeight="1">
      <x:c r="A694" s="3" t="str">
        <x:v>DASH-001</x:v>
      </x:c>
      <x:c r="B694" s="3" t="str">
        <x:v>DASH</x:v>
      </x:c>
      <x:c r="C694" s="3" t="str">
        <x:v>Người có dashboard.view phải xem được số liệu tổng hợp theo dữ liệu hệ thống.</x:v>
      </x:c>
      <x:c r="D694" s="3" t="str">
        <x:v>TC_DASH_003</x:v>
      </x:c>
      <x:c r="E694" s="3" t="str">
        <x:v>Khoảng ngày tư vấn độc lập</x:v>
      </x:c>
      <x:c r="F694" s="3" t="str">
        <x:v>Designed — chưa thực thi</x:v>
      </x:c>
      <x:c r="G694" s="3" t="str">
        <x:v>Nguồn: backend/src/modules/cms/cms.routes.ts; admin/src/components/dashboard/RealtimeDashboard.tsx.  Baseline: docs/ba/02-requirements/VGG_REQ-WORKBOOK_v0.1_2026-09-04.xlsx / Requirements; Định nghĩa/KPI và kỳ số liệu cần xác nhận</x:v>
      </x:c>
    </x:row>
    <x:row r="695" ht="49" customHeight="1">
      <x:c r="A695" s="3" t="str">
        <x:v>DASH-001</x:v>
      </x:c>
      <x:c r="B695" s="3" t="str">
        <x:v>DASH</x:v>
      </x:c>
      <x:c r="C695" s="3" t="str">
        <x:v>Người có dashboard.view phải xem được số liệu tổng hợp theo dữ liệu hệ thống.</x:v>
      </x:c>
      <x:c r="D695" s="3" t="str">
        <x:v>TC_DASH_004</x:v>
      </x:c>
      <x:c r="E695" s="3" t="str">
        <x:v>Tăng trưởng kỳ trước bằng0</x:v>
      </x:c>
      <x:c r="F695" s="3" t="str">
        <x:v>Designed — chưa thực thi</x:v>
      </x:c>
      <x:c r="G695" s="3" t="str">
        <x:v>Nguồn: backend/src/modules/cms/cms.routes.ts; admin/src/components/dashboard/RealtimeDashboard.tsx.  Baseline: docs/ba/02-requirements/VGG_REQ-WORKBOOK_v0.1_2026-09-04.xlsx / Requirements; Định nghĩa/KPI và kỳ số liệu cần xác nhận</x:v>
      </x:c>
    </x:row>
    <x:row r="696" ht="49" customHeight="1">
      <x:c r="A696" s="3" t="str">
        <x:v>DASH-001</x:v>
      </x:c>
      <x:c r="B696" s="3" t="str">
        <x:v>DASH</x:v>
      </x:c>
      <x:c r="C696" s="3" t="str">
        <x:v>Người có dashboard.view phải xem được số liệu tổng hợp theo dữ liệu hệ thống.</x:v>
      </x:c>
      <x:c r="D696" s="3" t="str">
        <x:v>TC_DASH_005</x:v>
      </x:c>
      <x:c r="E696" s="3" t="str">
        <x:v>Hai kỳ đều0</x:v>
      </x:c>
      <x:c r="F696" s="3" t="str">
        <x:v>Designed — chưa thực thi</x:v>
      </x:c>
      <x:c r="G696" s="3" t="str">
        <x:v>Nguồn: backend/src/modules/cms/cms.routes.ts; admin/src/components/dashboard/RealtimeDashboard.tsx.  Baseline: docs/ba/02-requirements/VGG_REQ-WORKBOOK_v0.1_2026-09-04.xlsx / Requirements; Định nghĩa/KPI và kỳ số liệu cần xác nhận</x:v>
      </x:c>
    </x:row>
    <x:row r="697" ht="49" customHeight="1">
      <x:c r="A697" s="3" t="str">
        <x:v>DASH-001</x:v>
      </x:c>
      <x:c r="B697" s="3" t="str">
        <x:v>DASH</x:v>
      </x:c>
      <x:c r="C697" s="3" t="str">
        <x:v>Người có dashboard.view phải xem được số liệu tổng hợp theo dữ liệu hệ thống.</x:v>
      </x:c>
      <x:c r="D697" s="3" t="str">
        <x:v>TC_DASH_006</x:v>
      </x:c>
      <x:c r="E697" s="3" t="str">
        <x:v>Tăng trưởng giảm</x:v>
      </x:c>
      <x:c r="F697" s="3" t="str">
        <x:v>Designed — chưa thực thi</x:v>
      </x:c>
      <x:c r="G697" s="3" t="str">
        <x:v>Nguồn: backend/src/modules/cms/cms.routes.ts; admin/src/components/dashboard/RealtimeDashboard.tsx.  Baseline: docs/ba/02-requirements/VGG_REQ-WORKBOOK_v0.1_2026-09-04.xlsx / Requirements; Định nghĩa/KPI và kỳ số liệu cần xác nhận</x:v>
      </x:c>
    </x:row>
    <x:row r="698" ht="49" customHeight="1">
      <x:c r="A698" s="3" t="str">
        <x:v>DASH-001</x:v>
      </x:c>
      <x:c r="B698" s="3" t="str">
        <x:v>DASH</x:v>
      </x:c>
      <x:c r="C698" s="3" t="str">
        <x:v>Người có dashboard.view phải xem được số liệu tổng hợp theo dữ liệu hệ thống.</x:v>
      </x:c>
      <x:c r="D698" s="3" t="str">
        <x:v>TC_DASH_007</x:v>
      </x:c>
      <x:c r="E698" s="3" t="str">
        <x:v>Polling dashboard</x:v>
      </x:c>
      <x:c r="F698" s="3" t="str">
        <x:v>Designed — chưa thực thi</x:v>
      </x:c>
      <x:c r="G698" s="3" t="str">
        <x:v>Nguồn: backend/src/modules/cms/cms.routes.ts; admin/src/components/dashboard/RealtimeDashboard.tsx.  Baseline: docs/ba/02-requirements/VGG_REQ-WORKBOOK_v0.1_2026-09-04.xlsx / Requirements; Định nghĩa/KPI và kỳ số liệu cần xác nhận</x:v>
      </x:c>
    </x:row>
    <x:row r="699" ht="49" customHeight="1">
      <x:c r="A699" s="3" t="str">
        <x:v>DASH-001</x:v>
      </x:c>
      <x:c r="B699" s="3" t="str">
        <x:v>DASH</x:v>
      </x:c>
      <x:c r="C699" s="3" t="str">
        <x:v>Người có dashboard.view phải xem được số liệu tổng hợp theo dữ liệu hệ thống.</x:v>
      </x:c>
      <x:c r="D699" s="3" t="str">
        <x:v>TC_DASH_008</x:v>
      </x:c>
      <x:c r="E699" s="3" t="str">
        <x:v>Ngày cuối bao gồm hết ngày</x:v>
      </x:c>
      <x:c r="F699" s="3" t="str">
        <x:v>Designed — chưa thực thi</x:v>
      </x:c>
      <x:c r="G699" s="3" t="str">
        <x:v>Nguồn: backend/src/modules/cms/cms.routes.ts; admin/src/components/dashboard/RealtimeDashboard.tsx.  Baseline: docs/ba/02-requirements/VGG_REQ-WORKBOOK_v0.1_2026-09-04.xlsx / Requirements; Định nghĩa/KPI và kỳ số liệu cần xác nhận</x:v>
      </x:c>
    </x:row>
    <x:row r="700" ht="36" customHeight="1">
      <x:c r="A700" s="3" t="str">
        <x:v>DASH-001</x:v>
      </x:c>
      <x:c r="B700" s="3" t="str">
        <x:v>DASH</x:v>
      </x:c>
      <x:c r="C700" s="3" t="str">
        <x:v>Người có dashboard.view phải xem được số liệu tổng hợp theo dữ liệu hệ thống.</x:v>
      </x:c>
      <x:c r="D700" s="3" t="str">
        <x:v>TC_DASH_009</x:v>
      </x:c>
      <x:c r="E700" s="3" t="str">
        <x:v>Khoảng 179 ngày</x:v>
      </x:c>
      <x:c r="F700" s="3" t="str">
        <x:v>Designed — chưa thực thi</x:v>
      </x:c>
      <x:c r="G700" s="3" t="str">
        <x:v>Nguồn: backend/src/modules/cms/cms.routes.ts.  Baseline: docs/ba/02-requirements/VGG_REQ-WORKBOOK_v0.1_2026-09-04.xlsx / Requirements; Định nghĩa/KPI và kỳ số liệu cần xác nhận</x:v>
      </x:c>
    </x:row>
    <x:row r="701" ht="36" customHeight="1">
      <x:c r="A701" s="3" t="str">
        <x:v>DASH-001</x:v>
      </x:c>
      <x:c r="B701" s="3" t="str">
        <x:v>DASH</x:v>
      </x:c>
      <x:c r="C701" s="3" t="str">
        <x:v>Người có dashboard.view phải xem được số liệu tổng hợp theo dữ liệu hệ thống.</x:v>
      </x:c>
      <x:c r="D701" s="3" t="str">
        <x:v>TC_DASH_010</x:v>
      </x:c>
      <x:c r="E701" s="3" t="str">
        <x:v>Khoảng 180 ngày</x:v>
      </x:c>
      <x:c r="F701" s="3" t="str">
        <x:v>Designed — chưa thực thi</x:v>
      </x:c>
      <x:c r="G701" s="3" t="str">
        <x:v>Nguồn: backend/src/modules/cms/cms.routes.ts.  Baseline: docs/ba/02-requirements/VGG_REQ-WORKBOOK_v0.1_2026-09-04.xlsx / Requirements; Định nghĩa/KPI và kỳ số liệu cần xác nhận</x:v>
      </x:c>
    </x:row>
    <x:row r="702" ht="36" customHeight="1">
      <x:c r="A702" s="3" t="str">
        <x:v>DASH-001</x:v>
      </x:c>
      <x:c r="B702" s="3" t="str">
        <x:v>DASH</x:v>
      </x:c>
      <x:c r="C702" s="3" t="str">
        <x:v>Người có dashboard.view phải xem được số liệu tổng hợp theo dữ liệu hệ thống.</x:v>
      </x:c>
      <x:c r="D702" s="3" t="str">
        <x:v>TC_DASH_011</x:v>
      </x:c>
      <x:c r="E702" s="3" t="str">
        <x:v>Khoảng 181 ngày</x:v>
      </x:c>
      <x:c r="F702" s="3" t="str">
        <x:v>Designed — chưa thực thi</x:v>
      </x:c>
      <x:c r="G702" s="3" t="str">
        <x:v>Nguồn: backend/src/modules/cms/cms.routes.ts.  Baseline: docs/ba/02-requirements/VGG_REQ-WORKBOOK_v0.1_2026-09-04.xlsx / Requirements; Định nghĩa/KPI và kỳ số liệu cần xác nhận</x:v>
      </x:c>
    </x:row>
    <x:row r="703" ht="49" customHeight="1">
      <x:c r="A703" s="3" t="str">
        <x:v>SITE-001</x:v>
      </x:c>
      <x:c r="B703" s="3" t="str">
        <x:v>SITE</x:v>
      </x:c>
      <x:c r="C703" s="3" t="str">
        <x:v>Người có quyền phù hợp phải upsert SiteContent theo key duy nhất và cờ published.</x:v>
      </x:c>
      <x:c r="D703" s="3" t="str">
        <x:v>TC_SITE_026</x:v>
      </x:c>
      <x:c r="E703" s="3" t="str">
        <x:v>Tạo key</x:v>
      </x:c>
      <x:c r="F703" s="3" t="str">
        <x:v>Designed — chưa thực thi</x:v>
      </x:c>
      <x:c r="G703" s="3" t="str">
        <x:v>Nguồn: backend/src/modules/cms/cms.routes.ts; admin/src/components/cms/CmsManager.tsx.  Baseline: docs/ba/02-requirements/VGG_REQ-WORKBOOK_v0.1_2026-09-04.xlsx / Requirements; Quyền cụ thể và ownership nội dung cần xác nhận</x:v>
      </x:c>
    </x:row>
    <x:row r="704" ht="49" customHeight="1">
      <x:c r="A704" s="3" t="str">
        <x:v>SITE-001</x:v>
      </x:c>
      <x:c r="B704" s="3" t="str">
        <x:v>SITE</x:v>
      </x:c>
      <x:c r="C704" s="3" t="str">
        <x:v>Người có quyền phù hợp phải upsert SiteContent theo key duy nhất và cờ published.</x:v>
      </x:c>
      <x:c r="D704" s="3" t="str">
        <x:v>TC_SITE_027</x:v>
      </x:c>
      <x:c r="E704" s="3" t="str">
        <x:v>Cập nhật key</x:v>
      </x:c>
      <x:c r="F704" s="3" t="str">
        <x:v>Designed — chưa thực thi</x:v>
      </x:c>
      <x:c r="G704" s="3" t="str">
        <x:v>Nguồn: backend/src/modules/cms/cms.routes.ts; admin/src/components/cms/CmsManager.tsx.  Baseline: docs/ba/02-requirements/VGG_REQ-WORKBOOK_v0.1_2026-09-04.xlsx / Requirements; Quyền cụ thể và ownership nội dung cần xác nhận</x:v>
      </x:c>
    </x:row>
    <x:row r="705" ht="49" customHeight="1">
      <x:c r="A705" s="3" t="str">
        <x:v>SITE-001</x:v>
      </x:c>
      <x:c r="B705" s="3" t="str">
        <x:v>SITE</x:v>
      </x:c>
      <x:c r="C705" s="3" t="str">
        <x:v>Người có quyền phù hợp phải upsert SiteContent theo key duy nhất và cờ published.</x:v>
      </x:c>
      <x:c r="D705" s="3" t="str">
        <x:v>TC_SITE_028</x:v>
      </x:c>
      <x:c r="E705" s="3" t="str">
        <x:v>Công khai key</x:v>
      </x:c>
      <x:c r="F705" s="3" t="str">
        <x:v>Designed — chưa thực thi</x:v>
      </x:c>
      <x:c r="G705" s="3" t="str">
        <x:v>Nguồn: backend/src/modules/cms/cms.routes.ts; admin/src/components/cms/CmsManager.tsx.  Baseline: docs/ba/02-requirements/VGG_REQ-WORKBOOK_v0.1_2026-09-04.xlsx / Requirements; Quyền cụ thể và ownership nội dung cần xác nhận</x:v>
      </x:c>
    </x:row>
    <x:row r="706" ht="49" customHeight="1">
      <x:c r="A706" s="3" t="str">
        <x:v>SITE-001</x:v>
      </x:c>
      <x:c r="B706" s="3" t="str">
        <x:v>SITE</x:v>
      </x:c>
      <x:c r="C706" s="3" t="str">
        <x:v>Người có quyền phù hợp phải upsert SiteContent theo key duy nhất và cờ published.</x:v>
      </x:c>
      <x:c r="D706" s="3" t="str">
        <x:v>TC_SITE_029</x:v>
      </x:c>
      <x:c r="E706" s="3" t="str">
        <x:v>JSON form không hợp lệ</x:v>
      </x:c>
      <x:c r="F706" s="3" t="str">
        <x:v>Designed — chưa thực thi</x:v>
      </x:c>
      <x:c r="G706" s="3" t="str">
        <x:v>Nguồn: backend/src/modules/cms/cms.routes.ts; admin/src/components/cms/CmsManager.tsx.  Baseline: docs/ba/02-requirements/VGG_REQ-WORKBOOK_v0.1_2026-09-04.xlsx / Requirements; Quyền cụ thể và ownership nội dung cần xác nhận</x:v>
      </x:c>
    </x:row>
    <x:row r="707" ht="49" customHeight="1">
      <x:c r="A707" s="3" t="str">
        <x:v>SITE-001</x:v>
      </x:c>
      <x:c r="B707" s="3" t="str">
        <x:v>SITE</x:v>
      </x:c>
      <x:c r="C707" s="3" t="str">
        <x:v>Người có quyền phù hợp phải upsert SiteContent theo key duy nhất và cờ published.</x:v>
      </x:c>
      <x:c r="D707" s="3" t="str">
        <x:v>TC_SITE_030</x:v>
      </x:c>
      <x:c r="E707" s="3" t="str">
        <x:v>Locale không hỗ trợ</x:v>
      </x:c>
      <x:c r="F707" s="3" t="str">
        <x:v>Designed — chưa thực thi</x:v>
      </x:c>
      <x:c r="G707" s="3" t="str">
        <x:v>Nguồn: backend/src/modules/cms/cms.routes.ts; admin/src/components/cms/CmsManager.tsx.  Baseline: docs/ba/02-requirements/VGG_REQ-WORKBOOK_v0.1_2026-09-04.xlsx / Requirements; Quyền cụ thể và ownership nội dung cần xác nhận</x:v>
      </x:c>
    </x:row>
    <x:row r="708" ht="49" customHeight="1">
      <x:c r="A708" s="3" t="str">
        <x:v>OBS-DATA</x:v>
      </x:c>
      <x:c r="B708" s="3" t="str">
        <x:v>DATA</x:v>
      </x:c>
      <x:c r="C708" s="3" t="str">
        <x:v>Dữ liệu và vận hành</x:v>
      </x:c>
      <x:c r="D708" s="3" t="str">
        <x:v>TC_DATA_001</x:v>
      </x:c>
      <x:c r="E708" s="3" t="str">
        <x:v>Theo dõi route visit</x:v>
      </x:c>
      <x:c r="F708" s="3" t="str">
        <x:v>Designed — chưa thực thi</x:v>
      </x:c>
      <x:c r="G708" s="3" t="str">
        <x:v>Nguồn: backend/prisma/migrations; backend/src/modules/cms/cms.routes.ts; docs/handover/09_BACKUP_AND_RESTORE.md.  Baseline: backend/prisma/migrations; backend/src/modules/cms/cms.routes.ts; docs/handover/09_BACKUP_AND_RESTORE.md; Yêu cầu suy ra từ code, chưa phải baseline đã phê duyệt.</x:v>
      </x:c>
    </x:row>
    <x:row r="709" ht="49" customHeight="1">
      <x:c r="A709" s="3" t="str">
        <x:v>OBS-DATA</x:v>
      </x:c>
      <x:c r="B709" s="3" t="str">
        <x:v>DATA</x:v>
      </x:c>
      <x:c r="C709" s="3" t="str">
        <x:v>Dữ liệu và vận hành</x:v>
      </x:c>
      <x:c r="D709" s="3" t="str">
        <x:v>TC_DATA_002</x:v>
      </x:c>
      <x:c r="E709" s="3" t="str">
        <x:v>Media không tồn tại</x:v>
      </x:c>
      <x:c r="F709" s="3" t="str">
        <x:v>Designed — chưa thực thi</x:v>
      </x:c>
      <x:c r="G709" s="3" t="str">
        <x:v>Nguồn: backend/prisma/migrations; backend/src/modules/cms/cms.routes.ts; docs/handover/09_BACKUP_AND_RESTORE.md.  Baseline: backend/prisma/migrations; backend/src/modules/cms/cms.routes.ts; docs/handover/09_BACKUP_AND_RESTORE.md; Yêu cầu suy ra từ code, chưa phải baseline đã phê duyệt.</x:v>
      </x:c>
    </x:row>
    <x:row r="710" ht="49" customHeight="1">
      <x:c r="A710" s="3" t="str">
        <x:v>OBS-DATA</x:v>
      </x:c>
      <x:c r="B710" s="3" t="str">
        <x:v>DATA</x:v>
      </x:c>
      <x:c r="C710" s="3" t="str">
        <x:v>Dữ liệu và vận hành</x:v>
      </x:c>
      <x:c r="D710" s="3" t="str">
        <x:v>TC_DATA_003</x:v>
      </x:c>
      <x:c r="E710" s="3" t="str">
        <x:v>Health khi DB lỗi</x:v>
      </x:c>
      <x:c r="F710" s="3" t="str">
        <x:v>Designed — chưa thực thi</x:v>
      </x:c>
      <x:c r="G710" s="3" t="str">
        <x:v>Nguồn: backend/prisma/migrations; backend/src/modules/cms/cms.routes.ts; docs/handover/09_BACKUP_AND_RESTORE.md.  Baseline: backend/prisma/migrations; backend/src/modules/cms/cms.routes.ts; docs/handover/09_BACKUP_AND_RESTORE.md; Yêu cầu suy ra từ code, chưa phải baseline đã phê duyệt.</x:v>
      </x:c>
    </x:row>
    <x:row r="711" ht="49" customHeight="1">
      <x:c r="A711" s="3" t="str">
        <x:v>OBS-DATA</x:v>
      </x:c>
      <x:c r="B711" s="3" t="str">
        <x:v>DATA</x:v>
      </x:c>
      <x:c r="C711" s="3" t="str">
        <x:v>Dữ liệu và vận hành</x:v>
      </x:c>
      <x:c r="D711" s="3" t="str">
        <x:v>TC_DATA_004</x:v>
      </x:c>
      <x:c r="E711" s="3" t="str">
        <x:v>Migration DB mới</x:v>
      </x:c>
      <x:c r="F711" s="3" t="str">
        <x:v>Designed — chưa thực thi</x:v>
      </x:c>
      <x:c r="G711" s="3" t="str">
        <x:v>Nguồn: backend/prisma/migrations; backend/src/modules/cms/cms.routes.ts; docs/handover/09_BACKUP_AND_RESTORE.md.  Baseline: backend/prisma/migrations; backend/src/modules/cms/cms.routes.ts; docs/handover/09_BACKUP_AND_RESTORE.md; Yêu cầu suy ra từ code, chưa phải baseline đã phê duyệt.</x:v>
      </x:c>
    </x:row>
    <x:row r="712" ht="49" customHeight="1">
      <x:c r="A712" s="3" t="str">
        <x:v>OBS-DATA</x:v>
      </x:c>
      <x:c r="B712" s="3" t="str">
        <x:v>DATA</x:v>
      </x:c>
      <x:c r="C712" s="3" t="str">
        <x:v>Dữ liệu và vận hành</x:v>
      </x:c>
      <x:c r="D712" s="3" t="str">
        <x:v>TC_DATA_005</x:v>
      </x:c>
      <x:c r="E712" s="3" t="str">
        <x:v>Migration DB có dữ liệu cũ</x:v>
      </x:c>
      <x:c r="F712" s="3" t="str">
        <x:v>Designed — chưa thực thi</x:v>
      </x:c>
      <x:c r="G712" s="3" t="str">
        <x:v>Nguồn: backend/prisma/migrations; backend/src/modules/cms/cms.routes.ts; docs/handover/09_BACKUP_AND_RESTORE.md.  Baseline: backend/prisma/migrations; backend/src/modules/cms/cms.routes.ts; docs/handover/09_BACKUP_AND_RESTORE.md; Yêu cầu suy ra từ code, chưa phải baseline đã phê duyệt.</x:v>
      </x:c>
    </x:row>
    <x:row r="713" ht="49" customHeight="1">
      <x:c r="A713" s="3" t="str">
        <x:v>OBS-DATA</x:v>
      </x:c>
      <x:c r="B713" s="3" t="str">
        <x:v>DATA</x:v>
      </x:c>
      <x:c r="C713" s="3" t="str">
        <x:v>Dữ liệu và vận hành</x:v>
      </x:c>
      <x:c r="D713" s="3" t="str">
        <x:v>TC_DATA_006</x:v>
      </x:c>
      <x:c r="E713" s="3" t="str">
        <x:v>Migration chạy lại</x:v>
      </x:c>
      <x:c r="F713" s="3" t="str">
        <x:v>Designed — chưa thực thi</x:v>
      </x:c>
      <x:c r="G713" s="3" t="str">
        <x:v>Nguồn: backend/prisma/migrations; backend/src/modules/cms/cms.routes.ts; docs/handover/09_BACKUP_AND_RESTORE.md.  Baseline: backend/prisma/migrations; backend/src/modules/cms/cms.routes.ts; docs/handover/09_BACKUP_AND_RESTORE.md; Yêu cầu suy ra từ code, chưa phải baseline đã phê duyệt.</x:v>
      </x:c>
    </x:row>
    <x:row r="714" ht="49" customHeight="1">
      <x:c r="A714" s="3" t="str">
        <x:v>NFR-002</x:v>
      </x:c>
      <x:c r="B714" s="3" t="str">
        <x:v>DATA</x:v>
      </x:c>
      <x:c r="C714" s="3" t="str">
        <x:v>Phải có quy trình sao lưu PostgreSQL và MinIO, mã hóa/phân quyền bản sao và diễn tập phục hồi định kỳ.</x:v>
      </x:c>
      <x:c r="D714" s="3" t="str">
        <x:v>TC_DATA_007</x:v>
      </x:c>
      <x:c r="E714" s="3" t="str">
        <x:v>Backup restore DB và MinIO</x:v>
      </x:c>
      <x:c r="F714" s="3" t="str">
        <x:v>Designed — chưa thực thi</x:v>
      </x:c>
      <x:c r="G714" s="3" t="str">
        <x:v>Nguồn: backend/prisma/migrations; backend/src/modules/cms/cms.routes.ts; docs/handover/09_BACKUP_AND_RESTORE.md.  Baseline: docs/ba/02-requirements/VGG_REQ-WORKBOOK_v0.1_2026-09-04.xlsx / Requirements; RPO/RTO, retention, chủ sở hữu cần xác nhận</x:v>
      </x:c>
    </x:row>
    <x:row r="715" ht="49" customHeight="1">
      <x:c r="A715" s="3" t="str">
        <x:v>NFR-003</x:v>
      </x:c>
      <x:c r="B715" s="3" t="str">
        <x:v>UI</x:v>
      </x:c>
      <x:c r="C715" s="3" t="str">
        <x:v>Các luồng trọng yếu phải đáp ứng WCAG 2.1 AA hoặc chuẩn được stakeholder phê duyệt.</x:v>
      </x:c>
      <x:c r="D715" s="3" t="str">
        <x:v>TC_UI_001</x:v>
      </x:c>
      <x:c r="E715" s="3" t="str">
        <x:v>Trang chủ tại 320px</x:v>
      </x:c>
      <x:c r="F715" s="3" t="str">
        <x:v>Designed — chưa thực thi</x:v>
      </x:c>
      <x:c r="G71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16" ht="49" customHeight="1">
      <x:c r="A716" s="3" t="str">
        <x:v>NFR-003</x:v>
      </x:c>
      <x:c r="B716" s="3" t="str">
        <x:v>UI</x:v>
      </x:c>
      <x:c r="C716" s="3" t="str">
        <x:v>Các luồng trọng yếu phải đáp ứng WCAG 2.1 AA hoặc chuẩn được stakeholder phê duyệt.</x:v>
      </x:c>
      <x:c r="D716" s="3" t="str">
        <x:v>TC_UI_002</x:v>
      </x:c>
      <x:c r="E716" s="3" t="str">
        <x:v>Trang chủ tại 375px</x:v>
      </x:c>
      <x:c r="F716" s="3" t="str">
        <x:v>Designed — chưa thực thi</x:v>
      </x:c>
      <x:c r="G71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17" ht="49" customHeight="1">
      <x:c r="A717" s="3" t="str">
        <x:v>NFR-003</x:v>
      </x:c>
      <x:c r="B717" s="3" t="str">
        <x:v>UI</x:v>
      </x:c>
      <x:c r="C717" s="3" t="str">
        <x:v>Các luồng trọng yếu phải đáp ứng WCAG 2.1 AA hoặc chuẩn được stakeholder phê duyệt.</x:v>
      </x:c>
      <x:c r="D717" s="3" t="str">
        <x:v>TC_UI_003</x:v>
      </x:c>
      <x:c r="E717" s="3" t="str">
        <x:v>Trang chủ tại 390px</x:v>
      </x:c>
      <x:c r="F717" s="3" t="str">
        <x:v>Designed — chưa thực thi</x:v>
      </x:c>
      <x:c r="G71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18" ht="49" customHeight="1">
      <x:c r="A718" s="3" t="str">
        <x:v>NFR-003</x:v>
      </x:c>
      <x:c r="B718" s="3" t="str">
        <x:v>UI</x:v>
      </x:c>
      <x:c r="C718" s="3" t="str">
        <x:v>Các luồng trọng yếu phải đáp ứng WCAG 2.1 AA hoặc chuẩn được stakeholder phê duyệt.</x:v>
      </x:c>
      <x:c r="D718" s="3" t="str">
        <x:v>TC_UI_004</x:v>
      </x:c>
      <x:c r="E718" s="3" t="str">
        <x:v>Trang chủ tại 768px</x:v>
      </x:c>
      <x:c r="F718" s="3" t="str">
        <x:v>Designed — chưa thực thi</x:v>
      </x:c>
      <x:c r="G71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19" ht="49" customHeight="1">
      <x:c r="A719" s="3" t="str">
        <x:v>NFR-003</x:v>
      </x:c>
      <x:c r="B719" s="3" t="str">
        <x:v>UI</x:v>
      </x:c>
      <x:c r="C719" s="3" t="str">
        <x:v>Các luồng trọng yếu phải đáp ứng WCAG 2.1 AA hoặc chuẩn được stakeholder phê duyệt.</x:v>
      </x:c>
      <x:c r="D719" s="3" t="str">
        <x:v>TC_UI_005</x:v>
      </x:c>
      <x:c r="E719" s="3" t="str">
        <x:v>Trang chủ tại 1024px</x:v>
      </x:c>
      <x:c r="F719" s="3" t="str">
        <x:v>Designed — chưa thực thi</x:v>
      </x:c>
      <x:c r="G71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0" ht="49" customHeight="1">
      <x:c r="A720" s="3" t="str">
        <x:v>NFR-003</x:v>
      </x:c>
      <x:c r="B720" s="3" t="str">
        <x:v>UI</x:v>
      </x:c>
      <x:c r="C720" s="3" t="str">
        <x:v>Các luồng trọng yếu phải đáp ứng WCAG 2.1 AA hoặc chuẩn được stakeholder phê duyệt.</x:v>
      </x:c>
      <x:c r="D720" s="3" t="str">
        <x:v>TC_UI_006</x:v>
      </x:c>
      <x:c r="E720" s="3" t="str">
        <x:v>Trang chủ tại 1280px</x:v>
      </x:c>
      <x:c r="F720" s="3" t="str">
        <x:v>Designed — chưa thực thi</x:v>
      </x:c>
      <x:c r="G72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1" ht="49" customHeight="1">
      <x:c r="A721" s="3" t="str">
        <x:v>NFR-003</x:v>
      </x:c>
      <x:c r="B721" s="3" t="str">
        <x:v>UI</x:v>
      </x:c>
      <x:c r="C721" s="3" t="str">
        <x:v>Các luồng trọng yếu phải đáp ứng WCAG 2.1 AA hoặc chuẩn được stakeholder phê duyệt.</x:v>
      </x:c>
      <x:c r="D721" s="3" t="str">
        <x:v>TC_UI_007</x:v>
      </x:c>
      <x:c r="E721" s="3" t="str">
        <x:v>Trang chủ tại 1440px</x:v>
      </x:c>
      <x:c r="F721" s="3" t="str">
        <x:v>Designed — chưa thực thi</x:v>
      </x:c>
      <x:c r="G72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2" ht="49" customHeight="1">
      <x:c r="A722" s="3" t="str">
        <x:v>NFR-003</x:v>
      </x:c>
      <x:c r="B722" s="3" t="str">
        <x:v>UI</x:v>
      </x:c>
      <x:c r="C722" s="3" t="str">
        <x:v>Các luồng trọng yếu phải đáp ứng WCAG 2.1 AA hoặc chuẩn được stakeholder phê duyệt.</x:v>
      </x:c>
      <x:c r="D722" s="3" t="str">
        <x:v>TC_UI_008</x:v>
      </x:c>
      <x:c r="E722" s="3" t="str">
        <x:v>Trang chủ tại 1920px</x:v>
      </x:c>
      <x:c r="F722" s="3" t="str">
        <x:v>Designed — chưa thực thi</x:v>
      </x:c>
      <x:c r="G72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3" ht="49" customHeight="1">
      <x:c r="A723" s="3" t="str">
        <x:v>PUB-001</x:v>
      </x:c>
      <x:c r="B723" s="3" t="str">
        <x:v>I18N</x:v>
      </x:c>
      <x:c r="C723" s="3" t="str">
        <x:v>Hệ thống phải cung cấp tuyến /vi và /en và duy trì locale khi điều hướng.</x:v>
      </x:c>
      <x:c r="D723" s="3" t="str">
        <x:v>TC_I18N_002</x:v>
      </x:c>
      <x:c r="E723" s="3" t="str">
        <x:v>Trang chủ: Đổi VI sang EN</x:v>
      </x:c>
      <x:c r="F723" s="3" t="str">
        <x:v>Designed — chưa thực thi</x:v>
      </x:c>
      <x:c r="G723" s="3" t="str">
        <x:v>Nguồn: frontend/src/shared/components/layout/LanguageToggle.tsx; frontend/src/messages.  Baseline: docs/ba/02-requirements/VGG_REQ-WORKBOOK_v0.1_2026-09-04.xlsx / Requirements; Phạm vi dịch thuật đầy đủ cần xác nhận</x:v>
      </x:c>
    </x:row>
    <x:row r="724" ht="49" customHeight="1">
      <x:c r="A724" s="3" t="str">
        <x:v>PUB-001</x:v>
      </x:c>
      <x:c r="B724" s="3" t="str">
        <x:v>I18N</x:v>
      </x:c>
      <x:c r="C724" s="3" t="str">
        <x:v>Hệ thống phải cung cấp tuyến /vi và /en và duy trì locale khi điều hướng.</x:v>
      </x:c>
      <x:c r="D724" s="3" t="str">
        <x:v>TC_I18N_003</x:v>
      </x:c>
      <x:c r="E724" s="3" t="str">
        <x:v>Trang chủ: Bản dịch toàn trang</x:v>
      </x:c>
      <x:c r="F724" s="3" t="str">
        <x:v>Partial — Need Confirmation</x:v>
      </x:c>
      <x:c r="G724"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25" ht="49" customHeight="1">
      <x:c r="A725" s="3" t="str">
        <x:v>PUB-001</x:v>
      </x:c>
      <x:c r="B725" s="3" t="str">
        <x:v>I18N</x:v>
      </x:c>
      <x:c r="C725" s="3" t="str">
        <x:v>Hệ thống phải cung cấp tuyến /vi và /en và duy trì locale khi điều hướng.</x:v>
      </x:c>
      <x:c r="D725" s="3" t="str">
        <x:v>TC_I18N_004</x:v>
      </x:c>
      <x:c r="E725" s="3" t="str">
        <x:v>Trang chủ: Back sau đổi locale</x:v>
      </x:c>
      <x:c r="F725" s="3" t="str">
        <x:v>Designed — chưa thực thi</x:v>
      </x:c>
      <x:c r="G725" s="3" t="str">
        <x:v>Nguồn: frontend/src/shared/components/layout/LanguageToggle.tsx; frontend/src/messages.  Baseline: docs/ba/02-requirements/VGG_REQ-WORKBOOK_v0.1_2026-09-04.xlsx / Requirements; Phạm vi dịch thuật đầy đủ cần xác nhận</x:v>
      </x:c>
    </x:row>
    <x:row r="726" ht="49" customHeight="1">
      <x:c r="A726" s="3" t="str">
        <x:v>NFR-003</x:v>
      </x:c>
      <x:c r="B726" s="3" t="str">
        <x:v>UI</x:v>
      </x:c>
      <x:c r="C726" s="3" t="str">
        <x:v>Các luồng trọng yếu phải đáp ứng WCAG 2.1 AA hoặc chuẩn được stakeholder phê duyệt.</x:v>
      </x:c>
      <x:c r="D726" s="3" t="str">
        <x:v>TC_UI_009</x:v>
      </x:c>
      <x:c r="E726" s="3" t="str">
        <x:v>Giới thiệu tại 320px</x:v>
      </x:c>
      <x:c r="F726" s="3" t="str">
        <x:v>Designed — chưa thực thi</x:v>
      </x:c>
      <x:c r="G72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7" ht="49" customHeight="1">
      <x:c r="A727" s="3" t="str">
        <x:v>NFR-003</x:v>
      </x:c>
      <x:c r="B727" s="3" t="str">
        <x:v>UI</x:v>
      </x:c>
      <x:c r="C727" s="3" t="str">
        <x:v>Các luồng trọng yếu phải đáp ứng WCAG 2.1 AA hoặc chuẩn được stakeholder phê duyệt.</x:v>
      </x:c>
      <x:c r="D727" s="3" t="str">
        <x:v>TC_UI_010</x:v>
      </x:c>
      <x:c r="E727" s="3" t="str">
        <x:v>Giới thiệu tại 375px</x:v>
      </x:c>
      <x:c r="F727" s="3" t="str">
        <x:v>Designed — chưa thực thi</x:v>
      </x:c>
      <x:c r="G72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8" ht="49" customHeight="1">
      <x:c r="A728" s="3" t="str">
        <x:v>NFR-003</x:v>
      </x:c>
      <x:c r="B728" s="3" t="str">
        <x:v>UI</x:v>
      </x:c>
      <x:c r="C728" s="3" t="str">
        <x:v>Các luồng trọng yếu phải đáp ứng WCAG 2.1 AA hoặc chuẩn được stakeholder phê duyệt.</x:v>
      </x:c>
      <x:c r="D728" s="3" t="str">
        <x:v>TC_UI_011</x:v>
      </x:c>
      <x:c r="E728" s="3" t="str">
        <x:v>Giới thiệu tại 390px</x:v>
      </x:c>
      <x:c r="F728" s="3" t="str">
        <x:v>Designed — chưa thực thi</x:v>
      </x:c>
      <x:c r="G72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29" ht="49" customHeight="1">
      <x:c r="A729" s="3" t="str">
        <x:v>NFR-003</x:v>
      </x:c>
      <x:c r="B729" s="3" t="str">
        <x:v>UI</x:v>
      </x:c>
      <x:c r="C729" s="3" t="str">
        <x:v>Các luồng trọng yếu phải đáp ứng WCAG 2.1 AA hoặc chuẩn được stakeholder phê duyệt.</x:v>
      </x:c>
      <x:c r="D729" s="3" t="str">
        <x:v>TC_UI_012</x:v>
      </x:c>
      <x:c r="E729" s="3" t="str">
        <x:v>Giới thiệu tại 768px</x:v>
      </x:c>
      <x:c r="F729" s="3" t="str">
        <x:v>Designed — chưa thực thi</x:v>
      </x:c>
      <x:c r="G72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0" ht="49" customHeight="1">
      <x:c r="A730" s="3" t="str">
        <x:v>NFR-003</x:v>
      </x:c>
      <x:c r="B730" s="3" t="str">
        <x:v>UI</x:v>
      </x:c>
      <x:c r="C730" s="3" t="str">
        <x:v>Các luồng trọng yếu phải đáp ứng WCAG 2.1 AA hoặc chuẩn được stakeholder phê duyệt.</x:v>
      </x:c>
      <x:c r="D730" s="3" t="str">
        <x:v>TC_UI_013</x:v>
      </x:c>
      <x:c r="E730" s="3" t="str">
        <x:v>Giới thiệu tại 1024px</x:v>
      </x:c>
      <x:c r="F730" s="3" t="str">
        <x:v>Designed — chưa thực thi</x:v>
      </x:c>
      <x:c r="G73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1" ht="49" customHeight="1">
      <x:c r="A731" s="3" t="str">
        <x:v>NFR-003</x:v>
      </x:c>
      <x:c r="B731" s="3" t="str">
        <x:v>UI</x:v>
      </x:c>
      <x:c r="C731" s="3" t="str">
        <x:v>Các luồng trọng yếu phải đáp ứng WCAG 2.1 AA hoặc chuẩn được stakeholder phê duyệt.</x:v>
      </x:c>
      <x:c r="D731" s="3" t="str">
        <x:v>TC_UI_014</x:v>
      </x:c>
      <x:c r="E731" s="3" t="str">
        <x:v>Giới thiệu tại 1280px</x:v>
      </x:c>
      <x:c r="F731" s="3" t="str">
        <x:v>Designed — chưa thực thi</x:v>
      </x:c>
      <x:c r="G73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2" ht="49" customHeight="1">
      <x:c r="A732" s="3" t="str">
        <x:v>NFR-003</x:v>
      </x:c>
      <x:c r="B732" s="3" t="str">
        <x:v>UI</x:v>
      </x:c>
      <x:c r="C732" s="3" t="str">
        <x:v>Các luồng trọng yếu phải đáp ứng WCAG 2.1 AA hoặc chuẩn được stakeholder phê duyệt.</x:v>
      </x:c>
      <x:c r="D732" s="3" t="str">
        <x:v>TC_UI_015</x:v>
      </x:c>
      <x:c r="E732" s="3" t="str">
        <x:v>Giới thiệu tại 1440px</x:v>
      </x:c>
      <x:c r="F732" s="3" t="str">
        <x:v>Designed — chưa thực thi</x:v>
      </x:c>
      <x:c r="G73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3" ht="49" customHeight="1">
      <x:c r="A733" s="3" t="str">
        <x:v>NFR-003</x:v>
      </x:c>
      <x:c r="B733" s="3" t="str">
        <x:v>UI</x:v>
      </x:c>
      <x:c r="C733" s="3" t="str">
        <x:v>Các luồng trọng yếu phải đáp ứng WCAG 2.1 AA hoặc chuẩn được stakeholder phê duyệt.</x:v>
      </x:c>
      <x:c r="D733" s="3" t="str">
        <x:v>TC_UI_016</x:v>
      </x:c>
      <x:c r="E733" s="3" t="str">
        <x:v>Giới thiệu tại 1920px</x:v>
      </x:c>
      <x:c r="F733" s="3" t="str">
        <x:v>Designed — chưa thực thi</x:v>
      </x:c>
      <x:c r="G73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4" ht="49" customHeight="1">
      <x:c r="A734" s="3" t="str">
        <x:v>PUB-001</x:v>
      </x:c>
      <x:c r="B734" s="3" t="str">
        <x:v>I18N</x:v>
      </x:c>
      <x:c r="C734" s="3" t="str">
        <x:v>Hệ thống phải cung cấp tuyến /vi và /en và duy trì locale khi điều hướng.</x:v>
      </x:c>
      <x:c r="D734" s="3" t="str">
        <x:v>TC_I18N_005</x:v>
      </x:c>
      <x:c r="E734" s="3" t="str">
        <x:v>Giới thiệu: Đổi VI sang EN</x:v>
      </x:c>
      <x:c r="F734" s="3" t="str">
        <x:v>Designed — chưa thực thi</x:v>
      </x:c>
      <x:c r="G734" s="3" t="str">
        <x:v>Nguồn: frontend/src/shared/components/layout/LanguageToggle.tsx; frontend/src/messages.  Baseline: docs/ba/02-requirements/VGG_REQ-WORKBOOK_v0.1_2026-09-04.xlsx / Requirements; Phạm vi dịch thuật đầy đủ cần xác nhận</x:v>
      </x:c>
    </x:row>
    <x:row r="735" ht="49" customHeight="1">
      <x:c r="A735" s="3" t="str">
        <x:v>PUB-001</x:v>
      </x:c>
      <x:c r="B735" s="3" t="str">
        <x:v>I18N</x:v>
      </x:c>
      <x:c r="C735" s="3" t="str">
        <x:v>Hệ thống phải cung cấp tuyến /vi và /en và duy trì locale khi điều hướng.</x:v>
      </x:c>
      <x:c r="D735" s="3" t="str">
        <x:v>TC_I18N_006</x:v>
      </x:c>
      <x:c r="E735" s="3" t="str">
        <x:v>Giới thiệu: Bản dịch toàn trang</x:v>
      </x:c>
      <x:c r="F735" s="3" t="str">
        <x:v>Partial — Need Confirmation</x:v>
      </x:c>
      <x:c r="G735"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36" ht="49" customHeight="1">
      <x:c r="A736" s="3" t="str">
        <x:v>PUB-001</x:v>
      </x:c>
      <x:c r="B736" s="3" t="str">
        <x:v>I18N</x:v>
      </x:c>
      <x:c r="C736" s="3" t="str">
        <x:v>Hệ thống phải cung cấp tuyến /vi và /en và duy trì locale khi điều hướng.</x:v>
      </x:c>
      <x:c r="D736" s="3" t="str">
        <x:v>TC_I18N_007</x:v>
      </x:c>
      <x:c r="E736" s="3" t="str">
        <x:v>Giới thiệu: Back sau đổi locale</x:v>
      </x:c>
      <x:c r="F736" s="3" t="str">
        <x:v>Designed — chưa thực thi</x:v>
      </x:c>
      <x:c r="G736" s="3" t="str">
        <x:v>Nguồn: frontend/src/shared/components/layout/LanguageToggle.tsx; frontend/src/messages.  Baseline: docs/ba/02-requirements/VGG_REQ-WORKBOOK_v0.1_2026-09-04.xlsx / Requirements; Phạm vi dịch thuật đầy đủ cần xác nhận</x:v>
      </x:c>
    </x:row>
    <x:row r="737" ht="49" customHeight="1">
      <x:c r="A737" s="3" t="str">
        <x:v>NFR-003</x:v>
      </x:c>
      <x:c r="B737" s="3" t="str">
        <x:v>UI</x:v>
      </x:c>
      <x:c r="C737" s="3" t="str">
        <x:v>Các luồng trọng yếu phải đáp ứng WCAG 2.1 AA hoặc chuẩn được stakeholder phê duyệt.</x:v>
      </x:c>
      <x:c r="D737" s="3" t="str">
        <x:v>TC_UI_017</x:v>
      </x:c>
      <x:c r="E737" s="3" t="str">
        <x:v>Lãnh đạo tại 320px</x:v>
      </x:c>
      <x:c r="F737" s="3" t="str">
        <x:v>Designed — chưa thực thi</x:v>
      </x:c>
      <x:c r="G73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8" ht="49" customHeight="1">
      <x:c r="A738" s="3" t="str">
        <x:v>NFR-003</x:v>
      </x:c>
      <x:c r="B738" s="3" t="str">
        <x:v>UI</x:v>
      </x:c>
      <x:c r="C738" s="3" t="str">
        <x:v>Các luồng trọng yếu phải đáp ứng WCAG 2.1 AA hoặc chuẩn được stakeholder phê duyệt.</x:v>
      </x:c>
      <x:c r="D738" s="3" t="str">
        <x:v>TC_UI_018</x:v>
      </x:c>
      <x:c r="E738" s="3" t="str">
        <x:v>Lãnh đạo tại 375px</x:v>
      </x:c>
      <x:c r="F738" s="3" t="str">
        <x:v>Designed — chưa thực thi</x:v>
      </x:c>
      <x:c r="G73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39" ht="49" customHeight="1">
      <x:c r="A739" s="3" t="str">
        <x:v>NFR-003</x:v>
      </x:c>
      <x:c r="B739" s="3" t="str">
        <x:v>UI</x:v>
      </x:c>
      <x:c r="C739" s="3" t="str">
        <x:v>Các luồng trọng yếu phải đáp ứng WCAG 2.1 AA hoặc chuẩn được stakeholder phê duyệt.</x:v>
      </x:c>
      <x:c r="D739" s="3" t="str">
        <x:v>TC_UI_019</x:v>
      </x:c>
      <x:c r="E739" s="3" t="str">
        <x:v>Lãnh đạo tại 390px</x:v>
      </x:c>
      <x:c r="F739" s="3" t="str">
        <x:v>Designed — chưa thực thi</x:v>
      </x:c>
      <x:c r="G73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0" ht="49" customHeight="1">
      <x:c r="A740" s="3" t="str">
        <x:v>NFR-003</x:v>
      </x:c>
      <x:c r="B740" s="3" t="str">
        <x:v>UI</x:v>
      </x:c>
      <x:c r="C740" s="3" t="str">
        <x:v>Các luồng trọng yếu phải đáp ứng WCAG 2.1 AA hoặc chuẩn được stakeholder phê duyệt.</x:v>
      </x:c>
      <x:c r="D740" s="3" t="str">
        <x:v>TC_UI_020</x:v>
      </x:c>
      <x:c r="E740" s="3" t="str">
        <x:v>Lãnh đạo tại 768px</x:v>
      </x:c>
      <x:c r="F740" s="3" t="str">
        <x:v>Designed — chưa thực thi</x:v>
      </x:c>
      <x:c r="G74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1" ht="49" customHeight="1">
      <x:c r="A741" s="3" t="str">
        <x:v>NFR-003</x:v>
      </x:c>
      <x:c r="B741" s="3" t="str">
        <x:v>UI</x:v>
      </x:c>
      <x:c r="C741" s="3" t="str">
        <x:v>Các luồng trọng yếu phải đáp ứng WCAG 2.1 AA hoặc chuẩn được stakeholder phê duyệt.</x:v>
      </x:c>
      <x:c r="D741" s="3" t="str">
        <x:v>TC_UI_021</x:v>
      </x:c>
      <x:c r="E741" s="3" t="str">
        <x:v>Lãnh đạo tại 1024px</x:v>
      </x:c>
      <x:c r="F741" s="3" t="str">
        <x:v>Designed — chưa thực thi</x:v>
      </x:c>
      <x:c r="G74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2" ht="49" customHeight="1">
      <x:c r="A742" s="3" t="str">
        <x:v>NFR-003</x:v>
      </x:c>
      <x:c r="B742" s="3" t="str">
        <x:v>UI</x:v>
      </x:c>
      <x:c r="C742" s="3" t="str">
        <x:v>Các luồng trọng yếu phải đáp ứng WCAG 2.1 AA hoặc chuẩn được stakeholder phê duyệt.</x:v>
      </x:c>
      <x:c r="D742" s="3" t="str">
        <x:v>TC_UI_022</x:v>
      </x:c>
      <x:c r="E742" s="3" t="str">
        <x:v>Lãnh đạo tại 1280px</x:v>
      </x:c>
      <x:c r="F742" s="3" t="str">
        <x:v>Designed — chưa thực thi</x:v>
      </x:c>
      <x:c r="G74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3" ht="49" customHeight="1">
      <x:c r="A743" s="3" t="str">
        <x:v>NFR-003</x:v>
      </x:c>
      <x:c r="B743" s="3" t="str">
        <x:v>UI</x:v>
      </x:c>
      <x:c r="C743" s="3" t="str">
        <x:v>Các luồng trọng yếu phải đáp ứng WCAG 2.1 AA hoặc chuẩn được stakeholder phê duyệt.</x:v>
      </x:c>
      <x:c r="D743" s="3" t="str">
        <x:v>TC_UI_023</x:v>
      </x:c>
      <x:c r="E743" s="3" t="str">
        <x:v>Lãnh đạo tại 1440px</x:v>
      </x:c>
      <x:c r="F743" s="3" t="str">
        <x:v>Designed — chưa thực thi</x:v>
      </x:c>
      <x:c r="G74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4" ht="49" customHeight="1">
      <x:c r="A744" s="3" t="str">
        <x:v>NFR-003</x:v>
      </x:c>
      <x:c r="B744" s="3" t="str">
        <x:v>UI</x:v>
      </x:c>
      <x:c r="C744" s="3" t="str">
        <x:v>Các luồng trọng yếu phải đáp ứng WCAG 2.1 AA hoặc chuẩn được stakeholder phê duyệt.</x:v>
      </x:c>
      <x:c r="D744" s="3" t="str">
        <x:v>TC_UI_024</x:v>
      </x:c>
      <x:c r="E744" s="3" t="str">
        <x:v>Lãnh đạo tại 1920px</x:v>
      </x:c>
      <x:c r="F744" s="3" t="str">
        <x:v>Designed — chưa thực thi</x:v>
      </x:c>
      <x:c r="G74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5" ht="49" customHeight="1">
      <x:c r="A745" s="3" t="str">
        <x:v>PUB-001</x:v>
      </x:c>
      <x:c r="B745" s="3" t="str">
        <x:v>I18N</x:v>
      </x:c>
      <x:c r="C745" s="3" t="str">
        <x:v>Hệ thống phải cung cấp tuyến /vi và /en và duy trì locale khi điều hướng.</x:v>
      </x:c>
      <x:c r="D745" s="3" t="str">
        <x:v>TC_I18N_008</x:v>
      </x:c>
      <x:c r="E745" s="3" t="str">
        <x:v>Lãnh đạo: Đổi VI sang EN</x:v>
      </x:c>
      <x:c r="F745" s="3" t="str">
        <x:v>Designed — chưa thực thi</x:v>
      </x:c>
      <x:c r="G745" s="3" t="str">
        <x:v>Nguồn: frontend/src/shared/components/layout/LanguageToggle.tsx; frontend/src/messages.  Baseline: docs/ba/02-requirements/VGG_REQ-WORKBOOK_v0.1_2026-09-04.xlsx / Requirements; Phạm vi dịch thuật đầy đủ cần xác nhận</x:v>
      </x:c>
    </x:row>
    <x:row r="746" ht="49" customHeight="1">
      <x:c r="A746" s="3" t="str">
        <x:v>PUB-001</x:v>
      </x:c>
      <x:c r="B746" s="3" t="str">
        <x:v>I18N</x:v>
      </x:c>
      <x:c r="C746" s="3" t="str">
        <x:v>Hệ thống phải cung cấp tuyến /vi và /en và duy trì locale khi điều hướng.</x:v>
      </x:c>
      <x:c r="D746" s="3" t="str">
        <x:v>TC_I18N_009</x:v>
      </x:c>
      <x:c r="E746" s="3" t="str">
        <x:v>Lãnh đạo: Bản dịch toàn trang</x:v>
      </x:c>
      <x:c r="F746" s="3" t="str">
        <x:v>Partial — Need Confirmation</x:v>
      </x:c>
      <x:c r="G746"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47" ht="49" customHeight="1">
      <x:c r="A747" s="3" t="str">
        <x:v>PUB-001</x:v>
      </x:c>
      <x:c r="B747" s="3" t="str">
        <x:v>I18N</x:v>
      </x:c>
      <x:c r="C747" s="3" t="str">
        <x:v>Hệ thống phải cung cấp tuyến /vi và /en và duy trì locale khi điều hướng.</x:v>
      </x:c>
      <x:c r="D747" s="3" t="str">
        <x:v>TC_I18N_010</x:v>
      </x:c>
      <x:c r="E747" s="3" t="str">
        <x:v>Lãnh đạo: Back sau đổi locale</x:v>
      </x:c>
      <x:c r="F747" s="3" t="str">
        <x:v>Designed — chưa thực thi</x:v>
      </x:c>
      <x:c r="G747" s="3" t="str">
        <x:v>Nguồn: frontend/src/shared/components/layout/LanguageToggle.tsx; frontend/src/messages.  Baseline: docs/ba/02-requirements/VGG_REQ-WORKBOOK_v0.1_2026-09-04.xlsx / Requirements; Phạm vi dịch thuật đầy đủ cần xác nhận</x:v>
      </x:c>
    </x:row>
    <x:row r="748" ht="49" customHeight="1">
      <x:c r="A748" s="3" t="str">
        <x:v>NFR-003</x:v>
      </x:c>
      <x:c r="B748" s="3" t="str">
        <x:v>UI</x:v>
      </x:c>
      <x:c r="C748" s="3" t="str">
        <x:v>Các luồng trọng yếu phải đáp ứng WCAG 2.1 AA hoặc chuẩn được stakeholder phê duyệt.</x:v>
      </x:c>
      <x:c r="D748" s="3" t="str">
        <x:v>TC_UI_025</x:v>
      </x:c>
      <x:c r="E748" s="3" t="str">
        <x:v>Chương trình tại 320px</x:v>
      </x:c>
      <x:c r="F748" s="3" t="str">
        <x:v>Designed — chưa thực thi</x:v>
      </x:c>
      <x:c r="G74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49" ht="49" customHeight="1">
      <x:c r="A749" s="3" t="str">
        <x:v>NFR-003</x:v>
      </x:c>
      <x:c r="B749" s="3" t="str">
        <x:v>UI</x:v>
      </x:c>
      <x:c r="C749" s="3" t="str">
        <x:v>Các luồng trọng yếu phải đáp ứng WCAG 2.1 AA hoặc chuẩn được stakeholder phê duyệt.</x:v>
      </x:c>
      <x:c r="D749" s="3" t="str">
        <x:v>TC_UI_026</x:v>
      </x:c>
      <x:c r="E749" s="3" t="str">
        <x:v>Chương trình tại 375px</x:v>
      </x:c>
      <x:c r="F749" s="3" t="str">
        <x:v>Designed — chưa thực thi</x:v>
      </x:c>
      <x:c r="G74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0" ht="49" customHeight="1">
      <x:c r="A750" s="3" t="str">
        <x:v>NFR-003</x:v>
      </x:c>
      <x:c r="B750" s="3" t="str">
        <x:v>UI</x:v>
      </x:c>
      <x:c r="C750" s="3" t="str">
        <x:v>Các luồng trọng yếu phải đáp ứng WCAG 2.1 AA hoặc chuẩn được stakeholder phê duyệt.</x:v>
      </x:c>
      <x:c r="D750" s="3" t="str">
        <x:v>TC_UI_027</x:v>
      </x:c>
      <x:c r="E750" s="3" t="str">
        <x:v>Chương trình tại 390px</x:v>
      </x:c>
      <x:c r="F750" s="3" t="str">
        <x:v>Designed — chưa thực thi</x:v>
      </x:c>
      <x:c r="G75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1" ht="49" customHeight="1">
      <x:c r="A751" s="3" t="str">
        <x:v>NFR-003</x:v>
      </x:c>
      <x:c r="B751" s="3" t="str">
        <x:v>UI</x:v>
      </x:c>
      <x:c r="C751" s="3" t="str">
        <x:v>Các luồng trọng yếu phải đáp ứng WCAG 2.1 AA hoặc chuẩn được stakeholder phê duyệt.</x:v>
      </x:c>
      <x:c r="D751" s="3" t="str">
        <x:v>TC_UI_028</x:v>
      </x:c>
      <x:c r="E751" s="3" t="str">
        <x:v>Chương trình tại 768px</x:v>
      </x:c>
      <x:c r="F751" s="3" t="str">
        <x:v>Designed — chưa thực thi</x:v>
      </x:c>
      <x:c r="G75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2" ht="49" customHeight="1">
      <x:c r="A752" s="3" t="str">
        <x:v>NFR-003</x:v>
      </x:c>
      <x:c r="B752" s="3" t="str">
        <x:v>UI</x:v>
      </x:c>
      <x:c r="C752" s="3" t="str">
        <x:v>Các luồng trọng yếu phải đáp ứng WCAG 2.1 AA hoặc chuẩn được stakeholder phê duyệt.</x:v>
      </x:c>
      <x:c r="D752" s="3" t="str">
        <x:v>TC_UI_029</x:v>
      </x:c>
      <x:c r="E752" s="3" t="str">
        <x:v>Chương trình tại 1024px</x:v>
      </x:c>
      <x:c r="F752" s="3" t="str">
        <x:v>Designed — chưa thực thi</x:v>
      </x:c>
      <x:c r="G75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3" ht="49" customHeight="1">
      <x:c r="A753" s="3" t="str">
        <x:v>NFR-003</x:v>
      </x:c>
      <x:c r="B753" s="3" t="str">
        <x:v>UI</x:v>
      </x:c>
      <x:c r="C753" s="3" t="str">
        <x:v>Các luồng trọng yếu phải đáp ứng WCAG 2.1 AA hoặc chuẩn được stakeholder phê duyệt.</x:v>
      </x:c>
      <x:c r="D753" s="3" t="str">
        <x:v>TC_UI_030</x:v>
      </x:c>
      <x:c r="E753" s="3" t="str">
        <x:v>Chương trình tại 1280px</x:v>
      </x:c>
      <x:c r="F753" s="3" t="str">
        <x:v>Designed — chưa thực thi</x:v>
      </x:c>
      <x:c r="G75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4" ht="49" customHeight="1">
      <x:c r="A754" s="3" t="str">
        <x:v>NFR-003</x:v>
      </x:c>
      <x:c r="B754" s="3" t="str">
        <x:v>UI</x:v>
      </x:c>
      <x:c r="C754" s="3" t="str">
        <x:v>Các luồng trọng yếu phải đáp ứng WCAG 2.1 AA hoặc chuẩn được stakeholder phê duyệt.</x:v>
      </x:c>
      <x:c r="D754" s="3" t="str">
        <x:v>TC_UI_031</x:v>
      </x:c>
      <x:c r="E754" s="3" t="str">
        <x:v>Chương trình tại 1440px</x:v>
      </x:c>
      <x:c r="F754" s="3" t="str">
        <x:v>Designed — chưa thực thi</x:v>
      </x:c>
      <x:c r="G75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5" ht="49" customHeight="1">
      <x:c r="A755" s="3" t="str">
        <x:v>NFR-003</x:v>
      </x:c>
      <x:c r="B755" s="3" t="str">
        <x:v>UI</x:v>
      </x:c>
      <x:c r="C755" s="3" t="str">
        <x:v>Các luồng trọng yếu phải đáp ứng WCAG 2.1 AA hoặc chuẩn được stakeholder phê duyệt.</x:v>
      </x:c>
      <x:c r="D755" s="3" t="str">
        <x:v>TC_UI_032</x:v>
      </x:c>
      <x:c r="E755" s="3" t="str">
        <x:v>Chương trình tại 1920px</x:v>
      </x:c>
      <x:c r="F755" s="3" t="str">
        <x:v>Designed — chưa thực thi</x:v>
      </x:c>
      <x:c r="G75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56" ht="49" customHeight="1">
      <x:c r="A756" s="3" t="str">
        <x:v>PUB-001</x:v>
      </x:c>
      <x:c r="B756" s="3" t="str">
        <x:v>I18N</x:v>
      </x:c>
      <x:c r="C756" s="3" t="str">
        <x:v>Hệ thống phải cung cấp tuyến /vi và /en và duy trì locale khi điều hướng.</x:v>
      </x:c>
      <x:c r="D756" s="3" t="str">
        <x:v>TC_I18N_011</x:v>
      </x:c>
      <x:c r="E756" s="3" t="str">
        <x:v>Chương trình: Đổi VI sang EN</x:v>
      </x:c>
      <x:c r="F756" s="3" t="str">
        <x:v>Designed — chưa thực thi</x:v>
      </x:c>
      <x:c r="G756" s="3" t="str">
        <x:v>Nguồn: frontend/src/shared/components/layout/LanguageToggle.tsx; frontend/src/messages.  Baseline: docs/ba/02-requirements/VGG_REQ-WORKBOOK_v0.1_2026-09-04.xlsx / Requirements; Phạm vi dịch thuật đầy đủ cần xác nhận</x:v>
      </x:c>
    </x:row>
    <x:row r="757" ht="49" customHeight="1">
      <x:c r="A757" s="3" t="str">
        <x:v>PUB-001</x:v>
      </x:c>
      <x:c r="B757" s="3" t="str">
        <x:v>I18N</x:v>
      </x:c>
      <x:c r="C757" s="3" t="str">
        <x:v>Hệ thống phải cung cấp tuyến /vi và /en và duy trì locale khi điều hướng.</x:v>
      </x:c>
      <x:c r="D757" s="3" t="str">
        <x:v>TC_I18N_012</x:v>
      </x:c>
      <x:c r="E757" s="3" t="str">
        <x:v>Chương trình: Bản dịch toàn trang</x:v>
      </x:c>
      <x:c r="F757" s="3" t="str">
        <x:v>Partial — Need Confirmation</x:v>
      </x:c>
      <x:c r="G757"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58" ht="49" customHeight="1">
      <x:c r="A758" s="3" t="str">
        <x:v>PUB-001</x:v>
      </x:c>
      <x:c r="B758" s="3" t="str">
        <x:v>I18N</x:v>
      </x:c>
      <x:c r="C758" s="3" t="str">
        <x:v>Hệ thống phải cung cấp tuyến /vi và /en và duy trì locale khi điều hướng.</x:v>
      </x:c>
      <x:c r="D758" s="3" t="str">
        <x:v>TC_I18N_013</x:v>
      </x:c>
      <x:c r="E758" s="3" t="str">
        <x:v>Chương trình: Back sau đổi locale</x:v>
      </x:c>
      <x:c r="F758" s="3" t="str">
        <x:v>Designed — chưa thực thi</x:v>
      </x:c>
      <x:c r="G758" s="3" t="str">
        <x:v>Nguồn: frontend/src/shared/components/layout/LanguageToggle.tsx; frontend/src/messages.  Baseline: docs/ba/02-requirements/VGG_REQ-WORKBOOK_v0.1_2026-09-04.xlsx / Requirements; Phạm vi dịch thuật đầy đủ cần xác nhận</x:v>
      </x:c>
    </x:row>
    <x:row r="759" ht="49" customHeight="1">
      <x:c r="A759" s="3" t="str">
        <x:v>NFR-003</x:v>
      </x:c>
      <x:c r="B759" s="3" t="str">
        <x:v>UI</x:v>
      </x:c>
      <x:c r="C759" s="3" t="str">
        <x:v>Các luồng trọng yếu phải đáp ứng WCAG 2.1 AA hoặc chuẩn được stakeholder phê duyệt.</x:v>
      </x:c>
      <x:c r="D759" s="3" t="str">
        <x:v>TC_UI_033</x:v>
      </x:c>
      <x:c r="E759" s="3" t="str">
        <x:v>Thạc sĩ tại 320px</x:v>
      </x:c>
      <x:c r="F759" s="3" t="str">
        <x:v>Designed — chưa thực thi</x:v>
      </x:c>
      <x:c r="G75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0" ht="49" customHeight="1">
      <x:c r="A760" s="3" t="str">
        <x:v>NFR-003</x:v>
      </x:c>
      <x:c r="B760" s="3" t="str">
        <x:v>UI</x:v>
      </x:c>
      <x:c r="C760" s="3" t="str">
        <x:v>Các luồng trọng yếu phải đáp ứng WCAG 2.1 AA hoặc chuẩn được stakeholder phê duyệt.</x:v>
      </x:c>
      <x:c r="D760" s="3" t="str">
        <x:v>TC_UI_034</x:v>
      </x:c>
      <x:c r="E760" s="3" t="str">
        <x:v>Thạc sĩ tại 375px</x:v>
      </x:c>
      <x:c r="F760" s="3" t="str">
        <x:v>Designed — chưa thực thi</x:v>
      </x:c>
      <x:c r="G76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1" ht="49" customHeight="1">
      <x:c r="A761" s="3" t="str">
        <x:v>NFR-003</x:v>
      </x:c>
      <x:c r="B761" s="3" t="str">
        <x:v>UI</x:v>
      </x:c>
      <x:c r="C761" s="3" t="str">
        <x:v>Các luồng trọng yếu phải đáp ứng WCAG 2.1 AA hoặc chuẩn được stakeholder phê duyệt.</x:v>
      </x:c>
      <x:c r="D761" s="3" t="str">
        <x:v>TC_UI_035</x:v>
      </x:c>
      <x:c r="E761" s="3" t="str">
        <x:v>Thạc sĩ tại 390px</x:v>
      </x:c>
      <x:c r="F761" s="3" t="str">
        <x:v>Designed — chưa thực thi</x:v>
      </x:c>
      <x:c r="G76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2" ht="49" customHeight="1">
      <x:c r="A762" s="3" t="str">
        <x:v>NFR-003</x:v>
      </x:c>
      <x:c r="B762" s="3" t="str">
        <x:v>UI</x:v>
      </x:c>
      <x:c r="C762" s="3" t="str">
        <x:v>Các luồng trọng yếu phải đáp ứng WCAG 2.1 AA hoặc chuẩn được stakeholder phê duyệt.</x:v>
      </x:c>
      <x:c r="D762" s="3" t="str">
        <x:v>TC_UI_036</x:v>
      </x:c>
      <x:c r="E762" s="3" t="str">
        <x:v>Thạc sĩ tại 768px</x:v>
      </x:c>
      <x:c r="F762" s="3" t="str">
        <x:v>Designed — chưa thực thi</x:v>
      </x:c>
      <x:c r="G76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3" ht="49" customHeight="1">
      <x:c r="A763" s="3" t="str">
        <x:v>NFR-003</x:v>
      </x:c>
      <x:c r="B763" s="3" t="str">
        <x:v>UI</x:v>
      </x:c>
      <x:c r="C763" s="3" t="str">
        <x:v>Các luồng trọng yếu phải đáp ứng WCAG 2.1 AA hoặc chuẩn được stakeholder phê duyệt.</x:v>
      </x:c>
      <x:c r="D763" s="3" t="str">
        <x:v>TC_UI_037</x:v>
      </x:c>
      <x:c r="E763" s="3" t="str">
        <x:v>Thạc sĩ tại 1024px</x:v>
      </x:c>
      <x:c r="F763" s="3" t="str">
        <x:v>Designed — chưa thực thi</x:v>
      </x:c>
      <x:c r="G76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4" ht="49" customHeight="1">
      <x:c r="A764" s="3" t="str">
        <x:v>NFR-003</x:v>
      </x:c>
      <x:c r="B764" s="3" t="str">
        <x:v>UI</x:v>
      </x:c>
      <x:c r="C764" s="3" t="str">
        <x:v>Các luồng trọng yếu phải đáp ứng WCAG 2.1 AA hoặc chuẩn được stakeholder phê duyệt.</x:v>
      </x:c>
      <x:c r="D764" s="3" t="str">
        <x:v>TC_UI_038</x:v>
      </x:c>
      <x:c r="E764" s="3" t="str">
        <x:v>Thạc sĩ tại 1280px</x:v>
      </x:c>
      <x:c r="F764" s="3" t="str">
        <x:v>Designed — chưa thực thi</x:v>
      </x:c>
      <x:c r="G76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5" ht="49" customHeight="1">
      <x:c r="A765" s="3" t="str">
        <x:v>NFR-003</x:v>
      </x:c>
      <x:c r="B765" s="3" t="str">
        <x:v>UI</x:v>
      </x:c>
      <x:c r="C765" s="3" t="str">
        <x:v>Các luồng trọng yếu phải đáp ứng WCAG 2.1 AA hoặc chuẩn được stakeholder phê duyệt.</x:v>
      </x:c>
      <x:c r="D765" s="3" t="str">
        <x:v>TC_UI_039</x:v>
      </x:c>
      <x:c r="E765" s="3" t="str">
        <x:v>Thạc sĩ tại 1440px</x:v>
      </x:c>
      <x:c r="F765" s="3" t="str">
        <x:v>Designed — chưa thực thi</x:v>
      </x:c>
      <x:c r="G76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6" ht="49" customHeight="1">
      <x:c r="A766" s="3" t="str">
        <x:v>NFR-003</x:v>
      </x:c>
      <x:c r="B766" s="3" t="str">
        <x:v>UI</x:v>
      </x:c>
      <x:c r="C766" s="3" t="str">
        <x:v>Các luồng trọng yếu phải đáp ứng WCAG 2.1 AA hoặc chuẩn được stakeholder phê duyệt.</x:v>
      </x:c>
      <x:c r="D766" s="3" t="str">
        <x:v>TC_UI_040</x:v>
      </x:c>
      <x:c r="E766" s="3" t="str">
        <x:v>Thạc sĩ tại 1920px</x:v>
      </x:c>
      <x:c r="F766" s="3" t="str">
        <x:v>Designed — chưa thực thi</x:v>
      </x:c>
      <x:c r="G76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67" ht="49" customHeight="1">
      <x:c r="A767" s="3" t="str">
        <x:v>PUB-001</x:v>
      </x:c>
      <x:c r="B767" s="3" t="str">
        <x:v>I18N</x:v>
      </x:c>
      <x:c r="C767" s="3" t="str">
        <x:v>Hệ thống phải cung cấp tuyến /vi và /en và duy trì locale khi điều hướng.</x:v>
      </x:c>
      <x:c r="D767" s="3" t="str">
        <x:v>TC_I18N_014</x:v>
      </x:c>
      <x:c r="E767" s="3" t="str">
        <x:v>Thạc sĩ: Đổi VI sang EN</x:v>
      </x:c>
      <x:c r="F767" s="3" t="str">
        <x:v>Designed — chưa thực thi</x:v>
      </x:c>
      <x:c r="G767" s="3" t="str">
        <x:v>Nguồn: frontend/src/shared/components/layout/LanguageToggle.tsx; frontend/src/messages.  Baseline: docs/ba/02-requirements/VGG_REQ-WORKBOOK_v0.1_2026-09-04.xlsx / Requirements; Phạm vi dịch thuật đầy đủ cần xác nhận</x:v>
      </x:c>
    </x:row>
    <x:row r="768" ht="49" customHeight="1">
      <x:c r="A768" s="3" t="str">
        <x:v>PUB-001</x:v>
      </x:c>
      <x:c r="B768" s="3" t="str">
        <x:v>I18N</x:v>
      </x:c>
      <x:c r="C768" s="3" t="str">
        <x:v>Hệ thống phải cung cấp tuyến /vi và /en và duy trì locale khi điều hướng.</x:v>
      </x:c>
      <x:c r="D768" s="3" t="str">
        <x:v>TC_I18N_015</x:v>
      </x:c>
      <x:c r="E768" s="3" t="str">
        <x:v>Thạc sĩ: Bản dịch toàn trang</x:v>
      </x:c>
      <x:c r="F768" s="3" t="str">
        <x:v>Partial — Need Confirmation</x:v>
      </x:c>
      <x:c r="G768"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69" ht="49" customHeight="1">
      <x:c r="A769" s="3" t="str">
        <x:v>PUB-001</x:v>
      </x:c>
      <x:c r="B769" s="3" t="str">
        <x:v>I18N</x:v>
      </x:c>
      <x:c r="C769" s="3" t="str">
        <x:v>Hệ thống phải cung cấp tuyến /vi và /en và duy trì locale khi điều hướng.</x:v>
      </x:c>
      <x:c r="D769" s="3" t="str">
        <x:v>TC_I18N_016</x:v>
      </x:c>
      <x:c r="E769" s="3" t="str">
        <x:v>Thạc sĩ: Back sau đổi locale</x:v>
      </x:c>
      <x:c r="F769" s="3" t="str">
        <x:v>Designed — chưa thực thi</x:v>
      </x:c>
      <x:c r="G769" s="3" t="str">
        <x:v>Nguồn: frontend/src/shared/components/layout/LanguageToggle.tsx; frontend/src/messages.  Baseline: docs/ba/02-requirements/VGG_REQ-WORKBOOK_v0.1_2026-09-04.xlsx / Requirements; Phạm vi dịch thuật đầy đủ cần xác nhận</x:v>
      </x:c>
    </x:row>
    <x:row r="770" ht="49" customHeight="1">
      <x:c r="A770" s="3" t="str">
        <x:v>NFR-003</x:v>
      </x:c>
      <x:c r="B770" s="3" t="str">
        <x:v>UI</x:v>
      </x:c>
      <x:c r="C770" s="3" t="str">
        <x:v>Các luồng trọng yếu phải đáp ứng WCAG 2.1 AA hoặc chuẩn được stakeholder phê duyệt.</x:v>
      </x:c>
      <x:c r="D770" s="3" t="str">
        <x:v>TC_UI_041</x:v>
      </x:c>
      <x:c r="E770" s="3" t="str">
        <x:v>Tuyển sinh tại 320px</x:v>
      </x:c>
      <x:c r="F770" s="3" t="str">
        <x:v>Designed — chưa thực thi</x:v>
      </x:c>
      <x:c r="G77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1" ht="49" customHeight="1">
      <x:c r="A771" s="3" t="str">
        <x:v>NFR-003</x:v>
      </x:c>
      <x:c r="B771" s="3" t="str">
        <x:v>UI</x:v>
      </x:c>
      <x:c r="C771" s="3" t="str">
        <x:v>Các luồng trọng yếu phải đáp ứng WCAG 2.1 AA hoặc chuẩn được stakeholder phê duyệt.</x:v>
      </x:c>
      <x:c r="D771" s="3" t="str">
        <x:v>TC_UI_042</x:v>
      </x:c>
      <x:c r="E771" s="3" t="str">
        <x:v>Tuyển sinh tại 375px</x:v>
      </x:c>
      <x:c r="F771" s="3" t="str">
        <x:v>Designed — chưa thực thi</x:v>
      </x:c>
      <x:c r="G77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2" ht="49" customHeight="1">
      <x:c r="A772" s="3" t="str">
        <x:v>NFR-003</x:v>
      </x:c>
      <x:c r="B772" s="3" t="str">
        <x:v>UI</x:v>
      </x:c>
      <x:c r="C772" s="3" t="str">
        <x:v>Các luồng trọng yếu phải đáp ứng WCAG 2.1 AA hoặc chuẩn được stakeholder phê duyệt.</x:v>
      </x:c>
      <x:c r="D772" s="3" t="str">
        <x:v>TC_UI_043</x:v>
      </x:c>
      <x:c r="E772" s="3" t="str">
        <x:v>Tuyển sinh tại 390px</x:v>
      </x:c>
      <x:c r="F772" s="3" t="str">
        <x:v>Designed — chưa thực thi</x:v>
      </x:c>
      <x:c r="G77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3" ht="49" customHeight="1">
      <x:c r="A773" s="3" t="str">
        <x:v>NFR-003</x:v>
      </x:c>
      <x:c r="B773" s="3" t="str">
        <x:v>UI</x:v>
      </x:c>
      <x:c r="C773" s="3" t="str">
        <x:v>Các luồng trọng yếu phải đáp ứng WCAG 2.1 AA hoặc chuẩn được stakeholder phê duyệt.</x:v>
      </x:c>
      <x:c r="D773" s="3" t="str">
        <x:v>TC_UI_044</x:v>
      </x:c>
      <x:c r="E773" s="3" t="str">
        <x:v>Tuyển sinh tại 768px</x:v>
      </x:c>
      <x:c r="F773" s="3" t="str">
        <x:v>Designed — chưa thực thi</x:v>
      </x:c>
      <x:c r="G77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4" ht="49" customHeight="1">
      <x:c r="A774" s="3" t="str">
        <x:v>NFR-003</x:v>
      </x:c>
      <x:c r="B774" s="3" t="str">
        <x:v>UI</x:v>
      </x:c>
      <x:c r="C774" s="3" t="str">
        <x:v>Các luồng trọng yếu phải đáp ứng WCAG 2.1 AA hoặc chuẩn được stakeholder phê duyệt.</x:v>
      </x:c>
      <x:c r="D774" s="3" t="str">
        <x:v>TC_UI_045</x:v>
      </x:c>
      <x:c r="E774" s="3" t="str">
        <x:v>Tuyển sinh tại 1024px</x:v>
      </x:c>
      <x:c r="F774" s="3" t="str">
        <x:v>Designed — chưa thực thi</x:v>
      </x:c>
      <x:c r="G77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5" ht="49" customHeight="1">
      <x:c r="A775" s="3" t="str">
        <x:v>NFR-003</x:v>
      </x:c>
      <x:c r="B775" s="3" t="str">
        <x:v>UI</x:v>
      </x:c>
      <x:c r="C775" s="3" t="str">
        <x:v>Các luồng trọng yếu phải đáp ứng WCAG 2.1 AA hoặc chuẩn được stakeholder phê duyệt.</x:v>
      </x:c>
      <x:c r="D775" s="3" t="str">
        <x:v>TC_UI_046</x:v>
      </x:c>
      <x:c r="E775" s="3" t="str">
        <x:v>Tuyển sinh tại 1280px</x:v>
      </x:c>
      <x:c r="F775" s="3" t="str">
        <x:v>Designed — chưa thực thi</x:v>
      </x:c>
      <x:c r="G77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6" ht="49" customHeight="1">
      <x:c r="A776" s="3" t="str">
        <x:v>NFR-003</x:v>
      </x:c>
      <x:c r="B776" s="3" t="str">
        <x:v>UI</x:v>
      </x:c>
      <x:c r="C776" s="3" t="str">
        <x:v>Các luồng trọng yếu phải đáp ứng WCAG 2.1 AA hoặc chuẩn được stakeholder phê duyệt.</x:v>
      </x:c>
      <x:c r="D776" s="3" t="str">
        <x:v>TC_UI_047</x:v>
      </x:c>
      <x:c r="E776" s="3" t="str">
        <x:v>Tuyển sinh tại 1440px</x:v>
      </x:c>
      <x:c r="F776" s="3" t="str">
        <x:v>Designed — chưa thực thi</x:v>
      </x:c>
      <x:c r="G77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7" ht="49" customHeight="1">
      <x:c r="A777" s="3" t="str">
        <x:v>NFR-003</x:v>
      </x:c>
      <x:c r="B777" s="3" t="str">
        <x:v>UI</x:v>
      </x:c>
      <x:c r="C777" s="3" t="str">
        <x:v>Các luồng trọng yếu phải đáp ứng WCAG 2.1 AA hoặc chuẩn được stakeholder phê duyệt.</x:v>
      </x:c>
      <x:c r="D777" s="3" t="str">
        <x:v>TC_UI_048</x:v>
      </x:c>
      <x:c r="E777" s="3" t="str">
        <x:v>Tuyển sinh tại 1920px</x:v>
      </x:c>
      <x:c r="F777" s="3" t="str">
        <x:v>Designed — chưa thực thi</x:v>
      </x:c>
      <x:c r="G77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78" ht="49" customHeight="1">
      <x:c r="A778" s="3" t="str">
        <x:v>PUB-001</x:v>
      </x:c>
      <x:c r="B778" s="3" t="str">
        <x:v>I18N</x:v>
      </x:c>
      <x:c r="C778" s="3" t="str">
        <x:v>Hệ thống phải cung cấp tuyến /vi và /en và duy trì locale khi điều hướng.</x:v>
      </x:c>
      <x:c r="D778" s="3" t="str">
        <x:v>TC_I18N_017</x:v>
      </x:c>
      <x:c r="E778" s="3" t="str">
        <x:v>Tuyển sinh: Đổi VI sang EN</x:v>
      </x:c>
      <x:c r="F778" s="3" t="str">
        <x:v>Designed — chưa thực thi</x:v>
      </x:c>
      <x:c r="G778" s="3" t="str">
        <x:v>Nguồn: frontend/src/shared/components/layout/LanguageToggle.tsx; frontend/src/messages.  Baseline: docs/ba/02-requirements/VGG_REQ-WORKBOOK_v0.1_2026-09-04.xlsx / Requirements; Phạm vi dịch thuật đầy đủ cần xác nhận</x:v>
      </x:c>
    </x:row>
    <x:row r="779" ht="49" customHeight="1">
      <x:c r="A779" s="3" t="str">
        <x:v>PUB-001</x:v>
      </x:c>
      <x:c r="B779" s="3" t="str">
        <x:v>I18N</x:v>
      </x:c>
      <x:c r="C779" s="3" t="str">
        <x:v>Hệ thống phải cung cấp tuyến /vi và /en và duy trì locale khi điều hướng.</x:v>
      </x:c>
      <x:c r="D779" s="3" t="str">
        <x:v>TC_I18N_018</x:v>
      </x:c>
      <x:c r="E779" s="3" t="str">
        <x:v>Tuyển sinh: Bản dịch toàn trang</x:v>
      </x:c>
      <x:c r="F779" s="3" t="str">
        <x:v>Partial — Need Confirmation</x:v>
      </x:c>
      <x:c r="G779"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80" ht="49" customHeight="1">
      <x:c r="A780" s="3" t="str">
        <x:v>PUB-001</x:v>
      </x:c>
      <x:c r="B780" s="3" t="str">
        <x:v>I18N</x:v>
      </x:c>
      <x:c r="C780" s="3" t="str">
        <x:v>Hệ thống phải cung cấp tuyến /vi và /en và duy trì locale khi điều hướng.</x:v>
      </x:c>
      <x:c r="D780" s="3" t="str">
        <x:v>TC_I18N_019</x:v>
      </x:c>
      <x:c r="E780" s="3" t="str">
        <x:v>Tuyển sinh: Back sau đổi locale</x:v>
      </x:c>
      <x:c r="F780" s="3" t="str">
        <x:v>Designed — chưa thực thi</x:v>
      </x:c>
      <x:c r="G780" s="3" t="str">
        <x:v>Nguồn: frontend/src/shared/components/layout/LanguageToggle.tsx; frontend/src/messages.  Baseline: docs/ba/02-requirements/VGG_REQ-WORKBOOK_v0.1_2026-09-04.xlsx / Requirements; Phạm vi dịch thuật đầy đủ cần xác nhận</x:v>
      </x:c>
    </x:row>
    <x:row r="781" ht="49" customHeight="1">
      <x:c r="A781" s="3" t="str">
        <x:v>NFR-003</x:v>
      </x:c>
      <x:c r="B781" s="3" t="str">
        <x:v>UI</x:v>
      </x:c>
      <x:c r="C781" s="3" t="str">
        <x:v>Các luồng trọng yếu phải đáp ứng WCAG 2.1 AA hoặc chuẩn được stakeholder phê duyệt.</x:v>
      </x:c>
      <x:c r="D781" s="3" t="str">
        <x:v>TC_UI_049</x:v>
      </x:c>
      <x:c r="E781" s="3" t="str">
        <x:v>Học bổng tại 320px</x:v>
      </x:c>
      <x:c r="F781" s="3" t="str">
        <x:v>Designed — chưa thực thi</x:v>
      </x:c>
      <x:c r="G78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2" ht="49" customHeight="1">
      <x:c r="A782" s="3" t="str">
        <x:v>NFR-003</x:v>
      </x:c>
      <x:c r="B782" s="3" t="str">
        <x:v>UI</x:v>
      </x:c>
      <x:c r="C782" s="3" t="str">
        <x:v>Các luồng trọng yếu phải đáp ứng WCAG 2.1 AA hoặc chuẩn được stakeholder phê duyệt.</x:v>
      </x:c>
      <x:c r="D782" s="3" t="str">
        <x:v>TC_UI_050</x:v>
      </x:c>
      <x:c r="E782" s="3" t="str">
        <x:v>Học bổng tại 375px</x:v>
      </x:c>
      <x:c r="F782" s="3" t="str">
        <x:v>Designed — chưa thực thi</x:v>
      </x:c>
      <x:c r="G78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3" ht="49" customHeight="1">
      <x:c r="A783" s="3" t="str">
        <x:v>NFR-003</x:v>
      </x:c>
      <x:c r="B783" s="3" t="str">
        <x:v>UI</x:v>
      </x:c>
      <x:c r="C783" s="3" t="str">
        <x:v>Các luồng trọng yếu phải đáp ứng WCAG 2.1 AA hoặc chuẩn được stakeholder phê duyệt.</x:v>
      </x:c>
      <x:c r="D783" s="3" t="str">
        <x:v>TC_UI_051</x:v>
      </x:c>
      <x:c r="E783" s="3" t="str">
        <x:v>Học bổng tại 390px</x:v>
      </x:c>
      <x:c r="F783" s="3" t="str">
        <x:v>Designed — chưa thực thi</x:v>
      </x:c>
      <x:c r="G78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4" ht="49" customHeight="1">
      <x:c r="A784" s="3" t="str">
        <x:v>NFR-003</x:v>
      </x:c>
      <x:c r="B784" s="3" t="str">
        <x:v>UI</x:v>
      </x:c>
      <x:c r="C784" s="3" t="str">
        <x:v>Các luồng trọng yếu phải đáp ứng WCAG 2.1 AA hoặc chuẩn được stakeholder phê duyệt.</x:v>
      </x:c>
      <x:c r="D784" s="3" t="str">
        <x:v>TC_UI_052</x:v>
      </x:c>
      <x:c r="E784" s="3" t="str">
        <x:v>Học bổng tại 768px</x:v>
      </x:c>
      <x:c r="F784" s="3" t="str">
        <x:v>Designed — chưa thực thi</x:v>
      </x:c>
      <x:c r="G78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5" ht="49" customHeight="1">
      <x:c r="A785" s="3" t="str">
        <x:v>NFR-003</x:v>
      </x:c>
      <x:c r="B785" s="3" t="str">
        <x:v>UI</x:v>
      </x:c>
      <x:c r="C785" s="3" t="str">
        <x:v>Các luồng trọng yếu phải đáp ứng WCAG 2.1 AA hoặc chuẩn được stakeholder phê duyệt.</x:v>
      </x:c>
      <x:c r="D785" s="3" t="str">
        <x:v>TC_UI_053</x:v>
      </x:c>
      <x:c r="E785" s="3" t="str">
        <x:v>Học bổng tại 1024px</x:v>
      </x:c>
      <x:c r="F785" s="3" t="str">
        <x:v>Designed — chưa thực thi</x:v>
      </x:c>
      <x:c r="G78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6" ht="49" customHeight="1">
      <x:c r="A786" s="3" t="str">
        <x:v>NFR-003</x:v>
      </x:c>
      <x:c r="B786" s="3" t="str">
        <x:v>UI</x:v>
      </x:c>
      <x:c r="C786" s="3" t="str">
        <x:v>Các luồng trọng yếu phải đáp ứng WCAG 2.1 AA hoặc chuẩn được stakeholder phê duyệt.</x:v>
      </x:c>
      <x:c r="D786" s="3" t="str">
        <x:v>TC_UI_054</x:v>
      </x:c>
      <x:c r="E786" s="3" t="str">
        <x:v>Học bổng tại 1280px</x:v>
      </x:c>
      <x:c r="F786" s="3" t="str">
        <x:v>Designed — chưa thực thi</x:v>
      </x:c>
      <x:c r="G78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7" ht="49" customHeight="1">
      <x:c r="A787" s="3" t="str">
        <x:v>NFR-003</x:v>
      </x:c>
      <x:c r="B787" s="3" t="str">
        <x:v>UI</x:v>
      </x:c>
      <x:c r="C787" s="3" t="str">
        <x:v>Các luồng trọng yếu phải đáp ứng WCAG 2.1 AA hoặc chuẩn được stakeholder phê duyệt.</x:v>
      </x:c>
      <x:c r="D787" s="3" t="str">
        <x:v>TC_UI_055</x:v>
      </x:c>
      <x:c r="E787" s="3" t="str">
        <x:v>Học bổng tại 1440px</x:v>
      </x:c>
      <x:c r="F787" s="3" t="str">
        <x:v>Designed — chưa thực thi</x:v>
      </x:c>
      <x:c r="G78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8" ht="49" customHeight="1">
      <x:c r="A788" s="3" t="str">
        <x:v>NFR-003</x:v>
      </x:c>
      <x:c r="B788" s="3" t="str">
        <x:v>UI</x:v>
      </x:c>
      <x:c r="C788" s="3" t="str">
        <x:v>Các luồng trọng yếu phải đáp ứng WCAG 2.1 AA hoặc chuẩn được stakeholder phê duyệt.</x:v>
      </x:c>
      <x:c r="D788" s="3" t="str">
        <x:v>TC_UI_056</x:v>
      </x:c>
      <x:c r="E788" s="3" t="str">
        <x:v>Học bổng tại 1920px</x:v>
      </x:c>
      <x:c r="F788" s="3" t="str">
        <x:v>Designed — chưa thực thi</x:v>
      </x:c>
      <x:c r="G78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89" ht="49" customHeight="1">
      <x:c r="A789" s="3" t="str">
        <x:v>PUB-001</x:v>
      </x:c>
      <x:c r="B789" s="3" t="str">
        <x:v>I18N</x:v>
      </x:c>
      <x:c r="C789" s="3" t="str">
        <x:v>Hệ thống phải cung cấp tuyến /vi và /en và duy trì locale khi điều hướng.</x:v>
      </x:c>
      <x:c r="D789" s="3" t="str">
        <x:v>TC_I18N_020</x:v>
      </x:c>
      <x:c r="E789" s="3" t="str">
        <x:v>Học bổng: Đổi VI sang EN</x:v>
      </x:c>
      <x:c r="F789" s="3" t="str">
        <x:v>Designed — chưa thực thi</x:v>
      </x:c>
      <x:c r="G789" s="3" t="str">
        <x:v>Nguồn: frontend/src/shared/components/layout/LanguageToggle.tsx; frontend/src/messages.  Baseline: docs/ba/02-requirements/VGG_REQ-WORKBOOK_v0.1_2026-09-04.xlsx / Requirements; Phạm vi dịch thuật đầy đủ cần xác nhận</x:v>
      </x:c>
    </x:row>
    <x:row r="790" ht="49" customHeight="1">
      <x:c r="A790" s="3" t="str">
        <x:v>PUB-001</x:v>
      </x:c>
      <x:c r="B790" s="3" t="str">
        <x:v>I18N</x:v>
      </x:c>
      <x:c r="C790" s="3" t="str">
        <x:v>Hệ thống phải cung cấp tuyến /vi và /en và duy trì locale khi điều hướng.</x:v>
      </x:c>
      <x:c r="D790" s="3" t="str">
        <x:v>TC_I18N_021</x:v>
      </x:c>
      <x:c r="E790" s="3" t="str">
        <x:v>Học bổng: Bản dịch toàn trang</x:v>
      </x:c>
      <x:c r="F790" s="3" t="str">
        <x:v>Partial — Need Confirmation</x:v>
      </x:c>
      <x:c r="G790"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791" ht="49" customHeight="1">
      <x:c r="A791" s="3" t="str">
        <x:v>PUB-001</x:v>
      </x:c>
      <x:c r="B791" s="3" t="str">
        <x:v>I18N</x:v>
      </x:c>
      <x:c r="C791" s="3" t="str">
        <x:v>Hệ thống phải cung cấp tuyến /vi và /en và duy trì locale khi điều hướng.</x:v>
      </x:c>
      <x:c r="D791" s="3" t="str">
        <x:v>TC_I18N_022</x:v>
      </x:c>
      <x:c r="E791" s="3" t="str">
        <x:v>Học bổng: Back sau đổi locale</x:v>
      </x:c>
      <x:c r="F791" s="3" t="str">
        <x:v>Designed — chưa thực thi</x:v>
      </x:c>
      <x:c r="G791" s="3" t="str">
        <x:v>Nguồn: frontend/src/shared/components/layout/LanguageToggle.tsx; frontend/src/messages.  Baseline: docs/ba/02-requirements/VGG_REQ-WORKBOOK_v0.1_2026-09-04.xlsx / Requirements; Phạm vi dịch thuật đầy đủ cần xác nhận</x:v>
      </x:c>
    </x:row>
    <x:row r="792" ht="49" customHeight="1">
      <x:c r="A792" s="3" t="str">
        <x:v>NFR-003</x:v>
      </x:c>
      <x:c r="B792" s="3" t="str">
        <x:v>UI</x:v>
      </x:c>
      <x:c r="C792" s="3" t="str">
        <x:v>Các luồng trọng yếu phải đáp ứng WCAG 2.1 AA hoặc chuẩn được stakeholder phê duyệt.</x:v>
      </x:c>
      <x:c r="D792" s="3" t="str">
        <x:v>TC_UI_057</x:v>
      </x:c>
      <x:c r="E792" s="3" t="str">
        <x:v>Nghiên cứu tại 320px</x:v>
      </x:c>
      <x:c r="F792" s="3" t="str">
        <x:v>Designed — chưa thực thi</x:v>
      </x:c>
      <x:c r="G79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3" ht="49" customHeight="1">
      <x:c r="A793" s="3" t="str">
        <x:v>NFR-003</x:v>
      </x:c>
      <x:c r="B793" s="3" t="str">
        <x:v>UI</x:v>
      </x:c>
      <x:c r="C793" s="3" t="str">
        <x:v>Các luồng trọng yếu phải đáp ứng WCAG 2.1 AA hoặc chuẩn được stakeholder phê duyệt.</x:v>
      </x:c>
      <x:c r="D793" s="3" t="str">
        <x:v>TC_UI_058</x:v>
      </x:c>
      <x:c r="E793" s="3" t="str">
        <x:v>Nghiên cứu tại 375px</x:v>
      </x:c>
      <x:c r="F793" s="3" t="str">
        <x:v>Designed — chưa thực thi</x:v>
      </x:c>
      <x:c r="G79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4" ht="49" customHeight="1">
      <x:c r="A794" s="3" t="str">
        <x:v>NFR-003</x:v>
      </x:c>
      <x:c r="B794" s="3" t="str">
        <x:v>UI</x:v>
      </x:c>
      <x:c r="C794" s="3" t="str">
        <x:v>Các luồng trọng yếu phải đáp ứng WCAG 2.1 AA hoặc chuẩn được stakeholder phê duyệt.</x:v>
      </x:c>
      <x:c r="D794" s="3" t="str">
        <x:v>TC_UI_059</x:v>
      </x:c>
      <x:c r="E794" s="3" t="str">
        <x:v>Nghiên cứu tại 390px</x:v>
      </x:c>
      <x:c r="F794" s="3" t="str">
        <x:v>Designed — chưa thực thi</x:v>
      </x:c>
      <x:c r="G79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5" ht="49" customHeight="1">
      <x:c r="A795" s="3" t="str">
        <x:v>NFR-003</x:v>
      </x:c>
      <x:c r="B795" s="3" t="str">
        <x:v>UI</x:v>
      </x:c>
      <x:c r="C795" s="3" t="str">
        <x:v>Các luồng trọng yếu phải đáp ứng WCAG 2.1 AA hoặc chuẩn được stakeholder phê duyệt.</x:v>
      </x:c>
      <x:c r="D795" s="3" t="str">
        <x:v>TC_UI_060</x:v>
      </x:c>
      <x:c r="E795" s="3" t="str">
        <x:v>Nghiên cứu tại 768px</x:v>
      </x:c>
      <x:c r="F795" s="3" t="str">
        <x:v>Designed — chưa thực thi</x:v>
      </x:c>
      <x:c r="G79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6" ht="49" customHeight="1">
      <x:c r="A796" s="3" t="str">
        <x:v>NFR-003</x:v>
      </x:c>
      <x:c r="B796" s="3" t="str">
        <x:v>UI</x:v>
      </x:c>
      <x:c r="C796" s="3" t="str">
        <x:v>Các luồng trọng yếu phải đáp ứng WCAG 2.1 AA hoặc chuẩn được stakeholder phê duyệt.</x:v>
      </x:c>
      <x:c r="D796" s="3" t="str">
        <x:v>TC_UI_061</x:v>
      </x:c>
      <x:c r="E796" s="3" t="str">
        <x:v>Nghiên cứu tại 1024px</x:v>
      </x:c>
      <x:c r="F796" s="3" t="str">
        <x:v>Designed — chưa thực thi</x:v>
      </x:c>
      <x:c r="G79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7" ht="49" customHeight="1">
      <x:c r="A797" s="3" t="str">
        <x:v>NFR-003</x:v>
      </x:c>
      <x:c r="B797" s="3" t="str">
        <x:v>UI</x:v>
      </x:c>
      <x:c r="C797" s="3" t="str">
        <x:v>Các luồng trọng yếu phải đáp ứng WCAG 2.1 AA hoặc chuẩn được stakeholder phê duyệt.</x:v>
      </x:c>
      <x:c r="D797" s="3" t="str">
        <x:v>TC_UI_062</x:v>
      </x:c>
      <x:c r="E797" s="3" t="str">
        <x:v>Nghiên cứu tại 1280px</x:v>
      </x:c>
      <x:c r="F797" s="3" t="str">
        <x:v>Designed — chưa thực thi</x:v>
      </x:c>
      <x:c r="G79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8" ht="49" customHeight="1">
      <x:c r="A798" s="3" t="str">
        <x:v>NFR-003</x:v>
      </x:c>
      <x:c r="B798" s="3" t="str">
        <x:v>UI</x:v>
      </x:c>
      <x:c r="C798" s="3" t="str">
        <x:v>Các luồng trọng yếu phải đáp ứng WCAG 2.1 AA hoặc chuẩn được stakeholder phê duyệt.</x:v>
      </x:c>
      <x:c r="D798" s="3" t="str">
        <x:v>TC_UI_063</x:v>
      </x:c>
      <x:c r="E798" s="3" t="str">
        <x:v>Nghiên cứu tại 1440px</x:v>
      </x:c>
      <x:c r="F798" s="3" t="str">
        <x:v>Designed — chưa thực thi</x:v>
      </x:c>
      <x:c r="G79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799" ht="49" customHeight="1">
      <x:c r="A799" s="3" t="str">
        <x:v>NFR-003</x:v>
      </x:c>
      <x:c r="B799" s="3" t="str">
        <x:v>UI</x:v>
      </x:c>
      <x:c r="C799" s="3" t="str">
        <x:v>Các luồng trọng yếu phải đáp ứng WCAG 2.1 AA hoặc chuẩn được stakeholder phê duyệt.</x:v>
      </x:c>
      <x:c r="D799" s="3" t="str">
        <x:v>TC_UI_064</x:v>
      </x:c>
      <x:c r="E799" s="3" t="str">
        <x:v>Nghiên cứu tại 1920px</x:v>
      </x:c>
      <x:c r="F799" s="3" t="str">
        <x:v>Designed — chưa thực thi</x:v>
      </x:c>
      <x:c r="G79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0" ht="49" customHeight="1">
      <x:c r="A800" s="3" t="str">
        <x:v>PUB-001</x:v>
      </x:c>
      <x:c r="B800" s="3" t="str">
        <x:v>I18N</x:v>
      </x:c>
      <x:c r="C800" s="3" t="str">
        <x:v>Hệ thống phải cung cấp tuyến /vi và /en và duy trì locale khi điều hướng.</x:v>
      </x:c>
      <x:c r="D800" s="3" t="str">
        <x:v>TC_I18N_023</x:v>
      </x:c>
      <x:c r="E800" s="3" t="str">
        <x:v>Nghiên cứu: Đổi VI sang EN</x:v>
      </x:c>
      <x:c r="F800" s="3" t="str">
        <x:v>Designed — chưa thực thi</x:v>
      </x:c>
      <x:c r="G800" s="3" t="str">
        <x:v>Nguồn: frontend/src/shared/components/layout/LanguageToggle.tsx; frontend/src/messages.  Baseline: docs/ba/02-requirements/VGG_REQ-WORKBOOK_v0.1_2026-09-04.xlsx / Requirements; Phạm vi dịch thuật đầy đủ cần xác nhận</x:v>
      </x:c>
    </x:row>
    <x:row r="801" ht="49" customHeight="1">
      <x:c r="A801" s="3" t="str">
        <x:v>PUB-001</x:v>
      </x:c>
      <x:c r="B801" s="3" t="str">
        <x:v>I18N</x:v>
      </x:c>
      <x:c r="C801" s="3" t="str">
        <x:v>Hệ thống phải cung cấp tuyến /vi và /en và duy trì locale khi điều hướng.</x:v>
      </x:c>
      <x:c r="D801" s="3" t="str">
        <x:v>TC_I18N_024</x:v>
      </x:c>
      <x:c r="E801" s="3" t="str">
        <x:v>Nghiên cứu: Bản dịch toàn trang</x:v>
      </x:c>
      <x:c r="F801" s="3" t="str">
        <x:v>Partial — Need Confirmation</x:v>
      </x:c>
      <x:c r="G801"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802" ht="49" customHeight="1">
      <x:c r="A802" s="3" t="str">
        <x:v>PUB-001</x:v>
      </x:c>
      <x:c r="B802" s="3" t="str">
        <x:v>I18N</x:v>
      </x:c>
      <x:c r="C802" s="3" t="str">
        <x:v>Hệ thống phải cung cấp tuyến /vi và /en và duy trì locale khi điều hướng.</x:v>
      </x:c>
      <x:c r="D802" s="3" t="str">
        <x:v>TC_I18N_025</x:v>
      </x:c>
      <x:c r="E802" s="3" t="str">
        <x:v>Nghiên cứu: Back sau đổi locale</x:v>
      </x:c>
      <x:c r="F802" s="3" t="str">
        <x:v>Designed — chưa thực thi</x:v>
      </x:c>
      <x:c r="G802" s="3" t="str">
        <x:v>Nguồn: frontend/src/shared/components/layout/LanguageToggle.tsx; frontend/src/messages.  Baseline: docs/ba/02-requirements/VGG_REQ-WORKBOOK_v0.1_2026-09-04.xlsx / Requirements; Phạm vi dịch thuật đầy đủ cần xác nhận</x:v>
      </x:c>
    </x:row>
    <x:row r="803" ht="49" customHeight="1">
      <x:c r="A803" s="3" t="str">
        <x:v>NFR-003</x:v>
      </x:c>
      <x:c r="B803" s="3" t="str">
        <x:v>UI</x:v>
      </x:c>
      <x:c r="C803" s="3" t="str">
        <x:v>Các luồng trọng yếu phải đáp ứng WCAG 2.1 AA hoặc chuẩn được stakeholder phê duyệt.</x:v>
      </x:c>
      <x:c r="D803" s="3" t="str">
        <x:v>TC_UI_065</x:v>
      </x:c>
      <x:c r="E803" s="3" t="str">
        <x:v>Công bố tại 320px</x:v>
      </x:c>
      <x:c r="F803" s="3" t="str">
        <x:v>Designed — chưa thực thi</x:v>
      </x:c>
      <x:c r="G80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4" ht="49" customHeight="1">
      <x:c r="A804" s="3" t="str">
        <x:v>NFR-003</x:v>
      </x:c>
      <x:c r="B804" s="3" t="str">
        <x:v>UI</x:v>
      </x:c>
      <x:c r="C804" s="3" t="str">
        <x:v>Các luồng trọng yếu phải đáp ứng WCAG 2.1 AA hoặc chuẩn được stakeholder phê duyệt.</x:v>
      </x:c>
      <x:c r="D804" s="3" t="str">
        <x:v>TC_UI_066</x:v>
      </x:c>
      <x:c r="E804" s="3" t="str">
        <x:v>Công bố tại 375px</x:v>
      </x:c>
      <x:c r="F804" s="3" t="str">
        <x:v>Designed — chưa thực thi</x:v>
      </x:c>
      <x:c r="G80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5" ht="49" customHeight="1">
      <x:c r="A805" s="3" t="str">
        <x:v>NFR-003</x:v>
      </x:c>
      <x:c r="B805" s="3" t="str">
        <x:v>UI</x:v>
      </x:c>
      <x:c r="C805" s="3" t="str">
        <x:v>Các luồng trọng yếu phải đáp ứng WCAG 2.1 AA hoặc chuẩn được stakeholder phê duyệt.</x:v>
      </x:c>
      <x:c r="D805" s="3" t="str">
        <x:v>TC_UI_067</x:v>
      </x:c>
      <x:c r="E805" s="3" t="str">
        <x:v>Công bố tại 390px</x:v>
      </x:c>
      <x:c r="F805" s="3" t="str">
        <x:v>Designed — chưa thực thi</x:v>
      </x:c>
      <x:c r="G80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6" ht="49" customHeight="1">
      <x:c r="A806" s="3" t="str">
        <x:v>NFR-003</x:v>
      </x:c>
      <x:c r="B806" s="3" t="str">
        <x:v>UI</x:v>
      </x:c>
      <x:c r="C806" s="3" t="str">
        <x:v>Các luồng trọng yếu phải đáp ứng WCAG 2.1 AA hoặc chuẩn được stakeholder phê duyệt.</x:v>
      </x:c>
      <x:c r="D806" s="3" t="str">
        <x:v>TC_UI_068</x:v>
      </x:c>
      <x:c r="E806" s="3" t="str">
        <x:v>Công bố tại 768px</x:v>
      </x:c>
      <x:c r="F806" s="3" t="str">
        <x:v>Designed — chưa thực thi</x:v>
      </x:c>
      <x:c r="G80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7" ht="49" customHeight="1">
      <x:c r="A807" s="3" t="str">
        <x:v>NFR-003</x:v>
      </x:c>
      <x:c r="B807" s="3" t="str">
        <x:v>UI</x:v>
      </x:c>
      <x:c r="C807" s="3" t="str">
        <x:v>Các luồng trọng yếu phải đáp ứng WCAG 2.1 AA hoặc chuẩn được stakeholder phê duyệt.</x:v>
      </x:c>
      <x:c r="D807" s="3" t="str">
        <x:v>TC_UI_069</x:v>
      </x:c>
      <x:c r="E807" s="3" t="str">
        <x:v>Công bố tại 1024px</x:v>
      </x:c>
      <x:c r="F807" s="3" t="str">
        <x:v>Designed — chưa thực thi</x:v>
      </x:c>
      <x:c r="G80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8" ht="49" customHeight="1">
      <x:c r="A808" s="3" t="str">
        <x:v>NFR-003</x:v>
      </x:c>
      <x:c r="B808" s="3" t="str">
        <x:v>UI</x:v>
      </x:c>
      <x:c r="C808" s="3" t="str">
        <x:v>Các luồng trọng yếu phải đáp ứng WCAG 2.1 AA hoặc chuẩn được stakeholder phê duyệt.</x:v>
      </x:c>
      <x:c r="D808" s="3" t="str">
        <x:v>TC_UI_070</x:v>
      </x:c>
      <x:c r="E808" s="3" t="str">
        <x:v>Công bố tại 1280px</x:v>
      </x:c>
      <x:c r="F808" s="3" t="str">
        <x:v>Designed — chưa thực thi</x:v>
      </x:c>
      <x:c r="G80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09" ht="49" customHeight="1">
      <x:c r="A809" s="3" t="str">
        <x:v>NFR-003</x:v>
      </x:c>
      <x:c r="B809" s="3" t="str">
        <x:v>UI</x:v>
      </x:c>
      <x:c r="C809" s="3" t="str">
        <x:v>Các luồng trọng yếu phải đáp ứng WCAG 2.1 AA hoặc chuẩn được stakeholder phê duyệt.</x:v>
      </x:c>
      <x:c r="D809" s="3" t="str">
        <x:v>TC_UI_071</x:v>
      </x:c>
      <x:c r="E809" s="3" t="str">
        <x:v>Công bố tại 1440px</x:v>
      </x:c>
      <x:c r="F809" s="3" t="str">
        <x:v>Designed — chưa thực thi</x:v>
      </x:c>
      <x:c r="G80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0" ht="49" customHeight="1">
      <x:c r="A810" s="3" t="str">
        <x:v>NFR-003</x:v>
      </x:c>
      <x:c r="B810" s="3" t="str">
        <x:v>UI</x:v>
      </x:c>
      <x:c r="C810" s="3" t="str">
        <x:v>Các luồng trọng yếu phải đáp ứng WCAG 2.1 AA hoặc chuẩn được stakeholder phê duyệt.</x:v>
      </x:c>
      <x:c r="D810" s="3" t="str">
        <x:v>TC_UI_072</x:v>
      </x:c>
      <x:c r="E810" s="3" t="str">
        <x:v>Công bố tại 1920px</x:v>
      </x:c>
      <x:c r="F810" s="3" t="str">
        <x:v>Designed — chưa thực thi</x:v>
      </x:c>
      <x:c r="G81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1" ht="49" customHeight="1">
      <x:c r="A811" s="3" t="str">
        <x:v>PUB-001</x:v>
      </x:c>
      <x:c r="B811" s="3" t="str">
        <x:v>I18N</x:v>
      </x:c>
      <x:c r="C811" s="3" t="str">
        <x:v>Hệ thống phải cung cấp tuyến /vi và /en và duy trì locale khi điều hướng.</x:v>
      </x:c>
      <x:c r="D811" s="3" t="str">
        <x:v>TC_I18N_026</x:v>
      </x:c>
      <x:c r="E811" s="3" t="str">
        <x:v>Công bố: Đổi VI sang EN</x:v>
      </x:c>
      <x:c r="F811" s="3" t="str">
        <x:v>Designed — chưa thực thi</x:v>
      </x:c>
      <x:c r="G811" s="3" t="str">
        <x:v>Nguồn: frontend/src/shared/components/layout/LanguageToggle.tsx; frontend/src/messages.  Baseline: docs/ba/02-requirements/VGG_REQ-WORKBOOK_v0.1_2026-09-04.xlsx / Requirements; Phạm vi dịch thuật đầy đủ cần xác nhận</x:v>
      </x:c>
    </x:row>
    <x:row r="812" ht="49" customHeight="1">
      <x:c r="A812" s="3" t="str">
        <x:v>PUB-001</x:v>
      </x:c>
      <x:c r="B812" s="3" t="str">
        <x:v>I18N</x:v>
      </x:c>
      <x:c r="C812" s="3" t="str">
        <x:v>Hệ thống phải cung cấp tuyến /vi và /en và duy trì locale khi điều hướng.</x:v>
      </x:c>
      <x:c r="D812" s="3" t="str">
        <x:v>TC_I18N_027</x:v>
      </x:c>
      <x:c r="E812" s="3" t="str">
        <x:v>Công bố: Bản dịch toàn trang</x:v>
      </x:c>
      <x:c r="F812" s="3" t="str">
        <x:v>Partial — Need Confirmation</x:v>
      </x:c>
      <x:c r="G812"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813" ht="49" customHeight="1">
      <x:c r="A813" s="3" t="str">
        <x:v>PUB-001</x:v>
      </x:c>
      <x:c r="B813" s="3" t="str">
        <x:v>I18N</x:v>
      </x:c>
      <x:c r="C813" s="3" t="str">
        <x:v>Hệ thống phải cung cấp tuyến /vi và /en và duy trì locale khi điều hướng.</x:v>
      </x:c>
      <x:c r="D813" s="3" t="str">
        <x:v>TC_I18N_028</x:v>
      </x:c>
      <x:c r="E813" s="3" t="str">
        <x:v>Công bố: Back sau đổi locale</x:v>
      </x:c>
      <x:c r="F813" s="3" t="str">
        <x:v>Designed — chưa thực thi</x:v>
      </x:c>
      <x:c r="G813" s="3" t="str">
        <x:v>Nguồn: frontend/src/shared/components/layout/LanguageToggle.tsx; frontend/src/messages.  Baseline: docs/ba/02-requirements/VGG_REQ-WORKBOOK_v0.1_2026-09-04.xlsx / Requirements; Phạm vi dịch thuật đầy đủ cần xác nhận</x:v>
      </x:c>
    </x:row>
    <x:row r="814" ht="49" customHeight="1">
      <x:c r="A814" s="3" t="str">
        <x:v>NFR-003</x:v>
      </x:c>
      <x:c r="B814" s="3" t="str">
        <x:v>UI</x:v>
      </x:c>
      <x:c r="C814" s="3" t="str">
        <x:v>Các luồng trọng yếu phải đáp ứng WCAG 2.1 AA hoặc chuẩn được stakeholder phê duyệt.</x:v>
      </x:c>
      <x:c r="D814" s="3" t="str">
        <x:v>TC_UI_073</x:v>
      </x:c>
      <x:c r="E814" s="3" t="str">
        <x:v>Người học tại 320px</x:v>
      </x:c>
      <x:c r="F814" s="3" t="str">
        <x:v>Designed — chưa thực thi</x:v>
      </x:c>
      <x:c r="G81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5" ht="49" customHeight="1">
      <x:c r="A815" s="3" t="str">
        <x:v>NFR-003</x:v>
      </x:c>
      <x:c r="B815" s="3" t="str">
        <x:v>UI</x:v>
      </x:c>
      <x:c r="C815" s="3" t="str">
        <x:v>Các luồng trọng yếu phải đáp ứng WCAG 2.1 AA hoặc chuẩn được stakeholder phê duyệt.</x:v>
      </x:c>
      <x:c r="D815" s="3" t="str">
        <x:v>TC_UI_074</x:v>
      </x:c>
      <x:c r="E815" s="3" t="str">
        <x:v>Người học tại 375px</x:v>
      </x:c>
      <x:c r="F815" s="3" t="str">
        <x:v>Designed — chưa thực thi</x:v>
      </x:c>
      <x:c r="G81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6" ht="49" customHeight="1">
      <x:c r="A816" s="3" t="str">
        <x:v>NFR-003</x:v>
      </x:c>
      <x:c r="B816" s="3" t="str">
        <x:v>UI</x:v>
      </x:c>
      <x:c r="C816" s="3" t="str">
        <x:v>Các luồng trọng yếu phải đáp ứng WCAG 2.1 AA hoặc chuẩn được stakeholder phê duyệt.</x:v>
      </x:c>
      <x:c r="D816" s="3" t="str">
        <x:v>TC_UI_075</x:v>
      </x:c>
      <x:c r="E816" s="3" t="str">
        <x:v>Người học tại 390px</x:v>
      </x:c>
      <x:c r="F816" s="3" t="str">
        <x:v>Designed — chưa thực thi</x:v>
      </x:c>
      <x:c r="G81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7" ht="49" customHeight="1">
      <x:c r="A817" s="3" t="str">
        <x:v>NFR-003</x:v>
      </x:c>
      <x:c r="B817" s="3" t="str">
        <x:v>UI</x:v>
      </x:c>
      <x:c r="C817" s="3" t="str">
        <x:v>Các luồng trọng yếu phải đáp ứng WCAG 2.1 AA hoặc chuẩn được stakeholder phê duyệt.</x:v>
      </x:c>
      <x:c r="D817" s="3" t="str">
        <x:v>TC_UI_076</x:v>
      </x:c>
      <x:c r="E817" s="3" t="str">
        <x:v>Người học tại 768px</x:v>
      </x:c>
      <x:c r="F817" s="3" t="str">
        <x:v>Designed — chưa thực thi</x:v>
      </x:c>
      <x:c r="G81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8" ht="49" customHeight="1">
      <x:c r="A818" s="3" t="str">
        <x:v>NFR-003</x:v>
      </x:c>
      <x:c r="B818" s="3" t="str">
        <x:v>UI</x:v>
      </x:c>
      <x:c r="C818" s="3" t="str">
        <x:v>Các luồng trọng yếu phải đáp ứng WCAG 2.1 AA hoặc chuẩn được stakeholder phê duyệt.</x:v>
      </x:c>
      <x:c r="D818" s="3" t="str">
        <x:v>TC_UI_077</x:v>
      </x:c>
      <x:c r="E818" s="3" t="str">
        <x:v>Người học tại 1024px</x:v>
      </x:c>
      <x:c r="F818" s="3" t="str">
        <x:v>Designed — chưa thực thi</x:v>
      </x:c>
      <x:c r="G81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19" ht="49" customHeight="1">
      <x:c r="A819" s="3" t="str">
        <x:v>NFR-003</x:v>
      </x:c>
      <x:c r="B819" s="3" t="str">
        <x:v>UI</x:v>
      </x:c>
      <x:c r="C819" s="3" t="str">
        <x:v>Các luồng trọng yếu phải đáp ứng WCAG 2.1 AA hoặc chuẩn được stakeholder phê duyệt.</x:v>
      </x:c>
      <x:c r="D819" s="3" t="str">
        <x:v>TC_UI_078</x:v>
      </x:c>
      <x:c r="E819" s="3" t="str">
        <x:v>Người học tại 1280px</x:v>
      </x:c>
      <x:c r="F819" s="3" t="str">
        <x:v>Designed — chưa thực thi</x:v>
      </x:c>
      <x:c r="G81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0" ht="49" customHeight="1">
      <x:c r="A820" s="3" t="str">
        <x:v>NFR-003</x:v>
      </x:c>
      <x:c r="B820" s="3" t="str">
        <x:v>UI</x:v>
      </x:c>
      <x:c r="C820" s="3" t="str">
        <x:v>Các luồng trọng yếu phải đáp ứng WCAG 2.1 AA hoặc chuẩn được stakeholder phê duyệt.</x:v>
      </x:c>
      <x:c r="D820" s="3" t="str">
        <x:v>TC_UI_079</x:v>
      </x:c>
      <x:c r="E820" s="3" t="str">
        <x:v>Người học tại 1440px</x:v>
      </x:c>
      <x:c r="F820" s="3" t="str">
        <x:v>Designed — chưa thực thi</x:v>
      </x:c>
      <x:c r="G82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1" ht="49" customHeight="1">
      <x:c r="A821" s="3" t="str">
        <x:v>NFR-003</x:v>
      </x:c>
      <x:c r="B821" s="3" t="str">
        <x:v>UI</x:v>
      </x:c>
      <x:c r="C821" s="3" t="str">
        <x:v>Các luồng trọng yếu phải đáp ứng WCAG 2.1 AA hoặc chuẩn được stakeholder phê duyệt.</x:v>
      </x:c>
      <x:c r="D821" s="3" t="str">
        <x:v>TC_UI_080</x:v>
      </x:c>
      <x:c r="E821" s="3" t="str">
        <x:v>Người học tại 1920px</x:v>
      </x:c>
      <x:c r="F821" s="3" t="str">
        <x:v>Designed — chưa thực thi</x:v>
      </x:c>
      <x:c r="G82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2" ht="49" customHeight="1">
      <x:c r="A822" s="3" t="str">
        <x:v>PUB-001</x:v>
      </x:c>
      <x:c r="B822" s="3" t="str">
        <x:v>I18N</x:v>
      </x:c>
      <x:c r="C822" s="3" t="str">
        <x:v>Hệ thống phải cung cấp tuyến /vi và /en và duy trì locale khi điều hướng.</x:v>
      </x:c>
      <x:c r="D822" s="3" t="str">
        <x:v>TC_I18N_029</x:v>
      </x:c>
      <x:c r="E822" s="3" t="str">
        <x:v>Người học: Đổi VI sang EN</x:v>
      </x:c>
      <x:c r="F822" s="3" t="str">
        <x:v>Designed — chưa thực thi</x:v>
      </x:c>
      <x:c r="G822" s="3" t="str">
        <x:v>Nguồn: frontend/src/shared/components/layout/LanguageToggle.tsx; frontend/src/messages.  Baseline: docs/ba/02-requirements/VGG_REQ-WORKBOOK_v0.1_2026-09-04.xlsx / Requirements; Phạm vi dịch thuật đầy đủ cần xác nhận</x:v>
      </x:c>
    </x:row>
    <x:row r="823" ht="49" customHeight="1">
      <x:c r="A823" s="3" t="str">
        <x:v>PUB-001</x:v>
      </x:c>
      <x:c r="B823" s="3" t="str">
        <x:v>I18N</x:v>
      </x:c>
      <x:c r="C823" s="3" t="str">
        <x:v>Hệ thống phải cung cấp tuyến /vi và /en và duy trì locale khi điều hướng.</x:v>
      </x:c>
      <x:c r="D823" s="3" t="str">
        <x:v>TC_I18N_030</x:v>
      </x:c>
      <x:c r="E823" s="3" t="str">
        <x:v>Người học: Bản dịch toàn trang</x:v>
      </x:c>
      <x:c r="F823" s="3" t="str">
        <x:v>Partial — Need Confirmation</x:v>
      </x:c>
      <x:c r="G823"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824" ht="49" customHeight="1">
      <x:c r="A824" s="3" t="str">
        <x:v>PUB-001</x:v>
      </x:c>
      <x:c r="B824" s="3" t="str">
        <x:v>I18N</x:v>
      </x:c>
      <x:c r="C824" s="3" t="str">
        <x:v>Hệ thống phải cung cấp tuyến /vi và /en và duy trì locale khi điều hướng.</x:v>
      </x:c>
      <x:c r="D824" s="3" t="str">
        <x:v>TC_I18N_031</x:v>
      </x:c>
      <x:c r="E824" s="3" t="str">
        <x:v>Người học: Back sau đổi locale</x:v>
      </x:c>
      <x:c r="F824" s="3" t="str">
        <x:v>Designed — chưa thực thi</x:v>
      </x:c>
      <x:c r="G824" s="3" t="str">
        <x:v>Nguồn: frontend/src/shared/components/layout/LanguageToggle.tsx; frontend/src/messages.  Baseline: docs/ba/02-requirements/VGG_REQ-WORKBOOK_v0.1_2026-09-04.xlsx / Requirements; Phạm vi dịch thuật đầy đủ cần xác nhận</x:v>
      </x:c>
    </x:row>
    <x:row r="825" ht="49" customHeight="1">
      <x:c r="A825" s="3" t="str">
        <x:v>NFR-003</x:v>
      </x:c>
      <x:c r="B825" s="3" t="str">
        <x:v>UI</x:v>
      </x:c>
      <x:c r="C825" s="3" t="str">
        <x:v>Các luồng trọng yếu phải đáp ứng WCAG 2.1 AA hoặc chuẩn được stakeholder phê duyệt.</x:v>
      </x:c>
      <x:c r="D825" s="3" t="str">
        <x:v>TC_UI_081</x:v>
      </x:c>
      <x:c r="E825" s="3" t="str">
        <x:v>Tin tức tại 320px</x:v>
      </x:c>
      <x:c r="F825" s="3" t="str">
        <x:v>Designed — chưa thực thi</x:v>
      </x:c>
      <x:c r="G82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6" ht="49" customHeight="1">
      <x:c r="A826" s="3" t="str">
        <x:v>NFR-003</x:v>
      </x:c>
      <x:c r="B826" s="3" t="str">
        <x:v>UI</x:v>
      </x:c>
      <x:c r="C826" s="3" t="str">
        <x:v>Các luồng trọng yếu phải đáp ứng WCAG 2.1 AA hoặc chuẩn được stakeholder phê duyệt.</x:v>
      </x:c>
      <x:c r="D826" s="3" t="str">
        <x:v>TC_UI_082</x:v>
      </x:c>
      <x:c r="E826" s="3" t="str">
        <x:v>Tin tức tại 375px</x:v>
      </x:c>
      <x:c r="F826" s="3" t="str">
        <x:v>Designed — chưa thực thi</x:v>
      </x:c>
      <x:c r="G82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7" ht="49" customHeight="1">
      <x:c r="A827" s="3" t="str">
        <x:v>NFR-003</x:v>
      </x:c>
      <x:c r="B827" s="3" t="str">
        <x:v>UI</x:v>
      </x:c>
      <x:c r="C827" s="3" t="str">
        <x:v>Các luồng trọng yếu phải đáp ứng WCAG 2.1 AA hoặc chuẩn được stakeholder phê duyệt.</x:v>
      </x:c>
      <x:c r="D827" s="3" t="str">
        <x:v>TC_UI_083</x:v>
      </x:c>
      <x:c r="E827" s="3" t="str">
        <x:v>Tin tức tại 390px</x:v>
      </x:c>
      <x:c r="F827" s="3" t="str">
        <x:v>Designed — chưa thực thi</x:v>
      </x:c>
      <x:c r="G82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8" ht="49" customHeight="1">
      <x:c r="A828" s="3" t="str">
        <x:v>NFR-003</x:v>
      </x:c>
      <x:c r="B828" s="3" t="str">
        <x:v>UI</x:v>
      </x:c>
      <x:c r="C828" s="3" t="str">
        <x:v>Các luồng trọng yếu phải đáp ứng WCAG 2.1 AA hoặc chuẩn được stakeholder phê duyệt.</x:v>
      </x:c>
      <x:c r="D828" s="3" t="str">
        <x:v>TC_UI_084</x:v>
      </x:c>
      <x:c r="E828" s="3" t="str">
        <x:v>Tin tức tại 768px</x:v>
      </x:c>
      <x:c r="F828" s="3" t="str">
        <x:v>Designed — chưa thực thi</x:v>
      </x:c>
      <x:c r="G82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29" ht="49" customHeight="1">
      <x:c r="A829" s="3" t="str">
        <x:v>NFR-003</x:v>
      </x:c>
      <x:c r="B829" s="3" t="str">
        <x:v>UI</x:v>
      </x:c>
      <x:c r="C829" s="3" t="str">
        <x:v>Các luồng trọng yếu phải đáp ứng WCAG 2.1 AA hoặc chuẩn được stakeholder phê duyệt.</x:v>
      </x:c>
      <x:c r="D829" s="3" t="str">
        <x:v>TC_UI_085</x:v>
      </x:c>
      <x:c r="E829" s="3" t="str">
        <x:v>Tin tức tại 1024px</x:v>
      </x:c>
      <x:c r="F829" s="3" t="str">
        <x:v>Designed — chưa thực thi</x:v>
      </x:c>
      <x:c r="G82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0" ht="49" customHeight="1">
      <x:c r="A830" s="3" t="str">
        <x:v>NFR-003</x:v>
      </x:c>
      <x:c r="B830" s="3" t="str">
        <x:v>UI</x:v>
      </x:c>
      <x:c r="C830" s="3" t="str">
        <x:v>Các luồng trọng yếu phải đáp ứng WCAG 2.1 AA hoặc chuẩn được stakeholder phê duyệt.</x:v>
      </x:c>
      <x:c r="D830" s="3" t="str">
        <x:v>TC_UI_086</x:v>
      </x:c>
      <x:c r="E830" s="3" t="str">
        <x:v>Tin tức tại 1280px</x:v>
      </x:c>
      <x:c r="F830" s="3" t="str">
        <x:v>Designed — chưa thực thi</x:v>
      </x:c>
      <x:c r="G83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1" ht="49" customHeight="1">
      <x:c r="A831" s="3" t="str">
        <x:v>NFR-003</x:v>
      </x:c>
      <x:c r="B831" s="3" t="str">
        <x:v>UI</x:v>
      </x:c>
      <x:c r="C831" s="3" t="str">
        <x:v>Các luồng trọng yếu phải đáp ứng WCAG 2.1 AA hoặc chuẩn được stakeholder phê duyệt.</x:v>
      </x:c>
      <x:c r="D831" s="3" t="str">
        <x:v>TC_UI_087</x:v>
      </x:c>
      <x:c r="E831" s="3" t="str">
        <x:v>Tin tức tại 1440px</x:v>
      </x:c>
      <x:c r="F831" s="3" t="str">
        <x:v>Designed — chưa thực thi</x:v>
      </x:c>
      <x:c r="G83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2" ht="49" customHeight="1">
      <x:c r="A832" s="3" t="str">
        <x:v>NFR-003</x:v>
      </x:c>
      <x:c r="B832" s="3" t="str">
        <x:v>UI</x:v>
      </x:c>
      <x:c r="C832" s="3" t="str">
        <x:v>Các luồng trọng yếu phải đáp ứng WCAG 2.1 AA hoặc chuẩn được stakeholder phê duyệt.</x:v>
      </x:c>
      <x:c r="D832" s="3" t="str">
        <x:v>TC_UI_088</x:v>
      </x:c>
      <x:c r="E832" s="3" t="str">
        <x:v>Tin tức tại 1920px</x:v>
      </x:c>
      <x:c r="F832" s="3" t="str">
        <x:v>Designed — chưa thực thi</x:v>
      </x:c>
      <x:c r="G83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3" ht="49" customHeight="1">
      <x:c r="A833" s="3" t="str">
        <x:v>PUB-001</x:v>
      </x:c>
      <x:c r="B833" s="3" t="str">
        <x:v>I18N</x:v>
      </x:c>
      <x:c r="C833" s="3" t="str">
        <x:v>Hệ thống phải cung cấp tuyến /vi và /en và duy trì locale khi điều hướng.</x:v>
      </x:c>
      <x:c r="D833" s="3" t="str">
        <x:v>TC_I18N_032</x:v>
      </x:c>
      <x:c r="E833" s="3" t="str">
        <x:v>Tin tức: Đổi VI sang EN</x:v>
      </x:c>
      <x:c r="F833" s="3" t="str">
        <x:v>Designed — chưa thực thi</x:v>
      </x:c>
      <x:c r="G833" s="3" t="str">
        <x:v>Nguồn: frontend/src/shared/components/layout/LanguageToggle.tsx; frontend/src/messages.  Baseline: docs/ba/02-requirements/VGG_REQ-WORKBOOK_v0.1_2026-09-04.xlsx / Requirements; Phạm vi dịch thuật đầy đủ cần xác nhận</x:v>
      </x:c>
    </x:row>
    <x:row r="834" ht="49" customHeight="1">
      <x:c r="A834" s="3" t="str">
        <x:v>PUB-001</x:v>
      </x:c>
      <x:c r="B834" s="3" t="str">
        <x:v>I18N</x:v>
      </x:c>
      <x:c r="C834" s="3" t="str">
        <x:v>Hệ thống phải cung cấp tuyến /vi và /en và duy trì locale khi điều hướng.</x:v>
      </x:c>
      <x:c r="D834" s="3" t="str">
        <x:v>TC_I18N_033</x:v>
      </x:c>
      <x:c r="E834" s="3" t="str">
        <x:v>Tin tức: Bản dịch toàn trang</x:v>
      </x:c>
      <x:c r="F834" s="3" t="str">
        <x:v>Partial — Need Confirmation</x:v>
      </x:c>
      <x:c r="G834"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835" ht="49" customHeight="1">
      <x:c r="A835" s="3" t="str">
        <x:v>PUB-001</x:v>
      </x:c>
      <x:c r="B835" s="3" t="str">
        <x:v>I18N</x:v>
      </x:c>
      <x:c r="C835" s="3" t="str">
        <x:v>Hệ thống phải cung cấp tuyến /vi và /en và duy trì locale khi điều hướng.</x:v>
      </x:c>
      <x:c r="D835" s="3" t="str">
        <x:v>TC_I18N_034</x:v>
      </x:c>
      <x:c r="E835" s="3" t="str">
        <x:v>Tin tức: Back sau đổi locale</x:v>
      </x:c>
      <x:c r="F835" s="3" t="str">
        <x:v>Designed — chưa thực thi</x:v>
      </x:c>
      <x:c r="G835" s="3" t="str">
        <x:v>Nguồn: frontend/src/shared/components/layout/LanguageToggle.tsx; frontend/src/messages.  Baseline: docs/ba/02-requirements/VGG_REQ-WORKBOOK_v0.1_2026-09-04.xlsx / Requirements; Phạm vi dịch thuật đầy đủ cần xác nhận</x:v>
      </x:c>
    </x:row>
    <x:row r="836" ht="49" customHeight="1">
      <x:c r="A836" s="3" t="str">
        <x:v>NFR-003</x:v>
      </x:c>
      <x:c r="B836" s="3" t="str">
        <x:v>UI</x:v>
      </x:c>
      <x:c r="C836" s="3" t="str">
        <x:v>Các luồng trọng yếu phải đáp ứng WCAG 2.1 AA hoặc chuẩn được stakeholder phê duyệt.</x:v>
      </x:c>
      <x:c r="D836" s="3" t="str">
        <x:v>TC_UI_089</x:v>
      </x:c>
      <x:c r="E836" s="3" t="str">
        <x:v>Chi tiết tin tại 320px</x:v>
      </x:c>
      <x:c r="F836" s="3" t="str">
        <x:v>Designed — chưa thực thi</x:v>
      </x:c>
      <x:c r="G83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7" ht="49" customHeight="1">
      <x:c r="A837" s="3" t="str">
        <x:v>NFR-003</x:v>
      </x:c>
      <x:c r="B837" s="3" t="str">
        <x:v>UI</x:v>
      </x:c>
      <x:c r="C837" s="3" t="str">
        <x:v>Các luồng trọng yếu phải đáp ứng WCAG 2.1 AA hoặc chuẩn được stakeholder phê duyệt.</x:v>
      </x:c>
      <x:c r="D837" s="3" t="str">
        <x:v>TC_UI_090</x:v>
      </x:c>
      <x:c r="E837" s="3" t="str">
        <x:v>Chi tiết tin tại 375px</x:v>
      </x:c>
      <x:c r="F837" s="3" t="str">
        <x:v>Designed — chưa thực thi</x:v>
      </x:c>
      <x:c r="G83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8" ht="49" customHeight="1">
      <x:c r="A838" s="3" t="str">
        <x:v>NFR-003</x:v>
      </x:c>
      <x:c r="B838" s="3" t="str">
        <x:v>UI</x:v>
      </x:c>
      <x:c r="C838" s="3" t="str">
        <x:v>Các luồng trọng yếu phải đáp ứng WCAG 2.1 AA hoặc chuẩn được stakeholder phê duyệt.</x:v>
      </x:c>
      <x:c r="D838" s="3" t="str">
        <x:v>TC_UI_091</x:v>
      </x:c>
      <x:c r="E838" s="3" t="str">
        <x:v>Chi tiết tin tại 390px</x:v>
      </x:c>
      <x:c r="F838" s="3" t="str">
        <x:v>Designed — chưa thực thi</x:v>
      </x:c>
      <x:c r="G83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39" ht="49" customHeight="1">
      <x:c r="A839" s="3" t="str">
        <x:v>NFR-003</x:v>
      </x:c>
      <x:c r="B839" s="3" t="str">
        <x:v>UI</x:v>
      </x:c>
      <x:c r="C839" s="3" t="str">
        <x:v>Các luồng trọng yếu phải đáp ứng WCAG 2.1 AA hoặc chuẩn được stakeholder phê duyệt.</x:v>
      </x:c>
      <x:c r="D839" s="3" t="str">
        <x:v>TC_UI_092</x:v>
      </x:c>
      <x:c r="E839" s="3" t="str">
        <x:v>Chi tiết tin tại 768px</x:v>
      </x:c>
      <x:c r="F839" s="3" t="str">
        <x:v>Designed — chưa thực thi</x:v>
      </x:c>
      <x:c r="G83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0" ht="49" customHeight="1">
      <x:c r="A840" s="3" t="str">
        <x:v>NFR-003</x:v>
      </x:c>
      <x:c r="B840" s="3" t="str">
        <x:v>UI</x:v>
      </x:c>
      <x:c r="C840" s="3" t="str">
        <x:v>Các luồng trọng yếu phải đáp ứng WCAG 2.1 AA hoặc chuẩn được stakeholder phê duyệt.</x:v>
      </x:c>
      <x:c r="D840" s="3" t="str">
        <x:v>TC_UI_093</x:v>
      </x:c>
      <x:c r="E840" s="3" t="str">
        <x:v>Chi tiết tin tại 1024px</x:v>
      </x:c>
      <x:c r="F840" s="3" t="str">
        <x:v>Designed — chưa thực thi</x:v>
      </x:c>
      <x:c r="G84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1" ht="49" customHeight="1">
      <x:c r="A841" s="3" t="str">
        <x:v>NFR-003</x:v>
      </x:c>
      <x:c r="B841" s="3" t="str">
        <x:v>UI</x:v>
      </x:c>
      <x:c r="C841" s="3" t="str">
        <x:v>Các luồng trọng yếu phải đáp ứng WCAG 2.1 AA hoặc chuẩn được stakeholder phê duyệt.</x:v>
      </x:c>
      <x:c r="D841" s="3" t="str">
        <x:v>TC_UI_094</x:v>
      </x:c>
      <x:c r="E841" s="3" t="str">
        <x:v>Chi tiết tin tại 1280px</x:v>
      </x:c>
      <x:c r="F841" s="3" t="str">
        <x:v>Designed — chưa thực thi</x:v>
      </x:c>
      <x:c r="G84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2" ht="49" customHeight="1">
      <x:c r="A842" s="3" t="str">
        <x:v>NFR-003</x:v>
      </x:c>
      <x:c r="B842" s="3" t="str">
        <x:v>UI</x:v>
      </x:c>
      <x:c r="C842" s="3" t="str">
        <x:v>Các luồng trọng yếu phải đáp ứng WCAG 2.1 AA hoặc chuẩn được stakeholder phê duyệt.</x:v>
      </x:c>
      <x:c r="D842" s="3" t="str">
        <x:v>TC_UI_095</x:v>
      </x:c>
      <x:c r="E842" s="3" t="str">
        <x:v>Chi tiết tin tại 1440px</x:v>
      </x:c>
      <x:c r="F842" s="3" t="str">
        <x:v>Designed — chưa thực thi</x:v>
      </x:c>
      <x:c r="G84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3" ht="49" customHeight="1">
      <x:c r="A843" s="3" t="str">
        <x:v>NFR-003</x:v>
      </x:c>
      <x:c r="B843" s="3" t="str">
        <x:v>UI</x:v>
      </x:c>
      <x:c r="C843" s="3" t="str">
        <x:v>Các luồng trọng yếu phải đáp ứng WCAG 2.1 AA hoặc chuẩn được stakeholder phê duyệt.</x:v>
      </x:c>
      <x:c r="D843" s="3" t="str">
        <x:v>TC_UI_096</x:v>
      </x:c>
      <x:c r="E843" s="3" t="str">
        <x:v>Chi tiết tin tại 1920px</x:v>
      </x:c>
      <x:c r="F843" s="3" t="str">
        <x:v>Designed — chưa thực thi</x:v>
      </x:c>
      <x:c r="G84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4" ht="49" customHeight="1">
      <x:c r="A844" s="3" t="str">
        <x:v>PUB-001</x:v>
      </x:c>
      <x:c r="B844" s="3" t="str">
        <x:v>I18N</x:v>
      </x:c>
      <x:c r="C844" s="3" t="str">
        <x:v>Hệ thống phải cung cấp tuyến /vi và /en và duy trì locale khi điều hướng.</x:v>
      </x:c>
      <x:c r="D844" s="3" t="str">
        <x:v>TC_I18N_035</x:v>
      </x:c>
      <x:c r="E844" s="3" t="str">
        <x:v>Chi tiết tin: Đổi VI sang EN</x:v>
      </x:c>
      <x:c r="F844" s="3" t="str">
        <x:v>Designed — chưa thực thi</x:v>
      </x:c>
      <x:c r="G844" s="3" t="str">
        <x:v>Nguồn: frontend/src/shared/components/layout/LanguageToggle.tsx; frontend/src/messages.  Baseline: docs/ba/02-requirements/VGG_REQ-WORKBOOK_v0.1_2026-09-04.xlsx / Requirements; Phạm vi dịch thuật đầy đủ cần xác nhận</x:v>
      </x:c>
    </x:row>
    <x:row r="845" ht="49" customHeight="1">
      <x:c r="A845" s="3" t="str">
        <x:v>PUB-001</x:v>
      </x:c>
      <x:c r="B845" s="3" t="str">
        <x:v>I18N</x:v>
      </x:c>
      <x:c r="C845" s="3" t="str">
        <x:v>Hệ thống phải cung cấp tuyến /vi và /en và duy trì locale khi điều hướng.</x:v>
      </x:c>
      <x:c r="D845" s="3" t="str">
        <x:v>TC_I18N_036</x:v>
      </x:c>
      <x:c r="E845" s="3" t="str">
        <x:v>Chi tiết tin: Bản dịch toàn trang</x:v>
      </x:c>
      <x:c r="F845" s="3" t="str">
        <x:v>Partial — Need Confirmation</x:v>
      </x:c>
      <x:c r="G845"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846" ht="49" customHeight="1">
      <x:c r="A846" s="3" t="str">
        <x:v>PUB-001</x:v>
      </x:c>
      <x:c r="B846" s="3" t="str">
        <x:v>I18N</x:v>
      </x:c>
      <x:c r="C846" s="3" t="str">
        <x:v>Hệ thống phải cung cấp tuyến /vi và /en và duy trì locale khi điều hướng.</x:v>
      </x:c>
      <x:c r="D846" s="3" t="str">
        <x:v>TC_I18N_037</x:v>
      </x:c>
      <x:c r="E846" s="3" t="str">
        <x:v>Chi tiết tin: Back sau đổi locale</x:v>
      </x:c>
      <x:c r="F846" s="3" t="str">
        <x:v>Designed — chưa thực thi</x:v>
      </x:c>
      <x:c r="G846" s="3" t="str">
        <x:v>Nguồn: frontend/src/shared/components/layout/LanguageToggle.tsx; frontend/src/messages.  Baseline: docs/ba/02-requirements/VGG_REQ-WORKBOOK_v0.1_2026-09-04.xlsx / Requirements; Phạm vi dịch thuật đầy đủ cần xác nhận</x:v>
      </x:c>
    </x:row>
    <x:row r="847" ht="49" customHeight="1">
      <x:c r="A847" s="3" t="str">
        <x:v>NFR-003</x:v>
      </x:c>
      <x:c r="B847" s="3" t="str">
        <x:v>UI</x:v>
      </x:c>
      <x:c r="C847" s="3" t="str">
        <x:v>Các luồng trọng yếu phải đáp ứng WCAG 2.1 AA hoặc chuẩn được stakeholder phê duyệt.</x:v>
      </x:c>
      <x:c r="D847" s="3" t="str">
        <x:v>TC_UI_097</x:v>
      </x:c>
      <x:c r="E847" s="3" t="str">
        <x:v>Tài nguyên tại 320px</x:v>
      </x:c>
      <x:c r="F847" s="3" t="str">
        <x:v>Designed — chưa thực thi</x:v>
      </x:c>
      <x:c r="G84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8" ht="49" customHeight="1">
      <x:c r="A848" s="3" t="str">
        <x:v>NFR-003</x:v>
      </x:c>
      <x:c r="B848" s="3" t="str">
        <x:v>UI</x:v>
      </x:c>
      <x:c r="C848" s="3" t="str">
        <x:v>Các luồng trọng yếu phải đáp ứng WCAG 2.1 AA hoặc chuẩn được stakeholder phê duyệt.</x:v>
      </x:c>
      <x:c r="D848" s="3" t="str">
        <x:v>TC_UI_098</x:v>
      </x:c>
      <x:c r="E848" s="3" t="str">
        <x:v>Tài nguyên tại 375px</x:v>
      </x:c>
      <x:c r="F848" s="3" t="str">
        <x:v>Designed — chưa thực thi</x:v>
      </x:c>
      <x:c r="G84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49" ht="49" customHeight="1">
      <x:c r="A849" s="3" t="str">
        <x:v>NFR-003</x:v>
      </x:c>
      <x:c r="B849" s="3" t="str">
        <x:v>UI</x:v>
      </x:c>
      <x:c r="C849" s="3" t="str">
        <x:v>Các luồng trọng yếu phải đáp ứng WCAG 2.1 AA hoặc chuẩn được stakeholder phê duyệt.</x:v>
      </x:c>
      <x:c r="D849" s="3" t="str">
        <x:v>TC_UI_099</x:v>
      </x:c>
      <x:c r="E849" s="3" t="str">
        <x:v>Tài nguyên tại 390px</x:v>
      </x:c>
      <x:c r="F849" s="3" t="str">
        <x:v>Designed — chưa thực thi</x:v>
      </x:c>
      <x:c r="G84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0" ht="49" customHeight="1">
      <x:c r="A850" s="3" t="str">
        <x:v>NFR-003</x:v>
      </x:c>
      <x:c r="B850" s="3" t="str">
        <x:v>UI</x:v>
      </x:c>
      <x:c r="C850" s="3" t="str">
        <x:v>Các luồng trọng yếu phải đáp ứng WCAG 2.1 AA hoặc chuẩn được stakeholder phê duyệt.</x:v>
      </x:c>
      <x:c r="D850" s="3" t="str">
        <x:v>TC_UI_100</x:v>
      </x:c>
      <x:c r="E850" s="3" t="str">
        <x:v>Tài nguyên tại 768px</x:v>
      </x:c>
      <x:c r="F850" s="3" t="str">
        <x:v>Designed — chưa thực thi</x:v>
      </x:c>
      <x:c r="G85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1" ht="49" customHeight="1">
      <x:c r="A851" s="3" t="str">
        <x:v>NFR-003</x:v>
      </x:c>
      <x:c r="B851" s="3" t="str">
        <x:v>UI</x:v>
      </x:c>
      <x:c r="C851" s="3" t="str">
        <x:v>Các luồng trọng yếu phải đáp ứng WCAG 2.1 AA hoặc chuẩn được stakeholder phê duyệt.</x:v>
      </x:c>
      <x:c r="D851" s="3" t="str">
        <x:v>TC_UI_101</x:v>
      </x:c>
      <x:c r="E851" s="3" t="str">
        <x:v>Tài nguyên tại 1024px</x:v>
      </x:c>
      <x:c r="F851" s="3" t="str">
        <x:v>Designed — chưa thực thi</x:v>
      </x:c>
      <x:c r="G85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2" ht="49" customHeight="1">
      <x:c r="A852" s="3" t="str">
        <x:v>NFR-003</x:v>
      </x:c>
      <x:c r="B852" s="3" t="str">
        <x:v>UI</x:v>
      </x:c>
      <x:c r="C852" s="3" t="str">
        <x:v>Các luồng trọng yếu phải đáp ứng WCAG 2.1 AA hoặc chuẩn được stakeholder phê duyệt.</x:v>
      </x:c>
      <x:c r="D852" s="3" t="str">
        <x:v>TC_UI_102</x:v>
      </x:c>
      <x:c r="E852" s="3" t="str">
        <x:v>Tài nguyên tại 1280px</x:v>
      </x:c>
      <x:c r="F852" s="3" t="str">
        <x:v>Designed — chưa thực thi</x:v>
      </x:c>
      <x:c r="G85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3" ht="49" customHeight="1">
      <x:c r="A853" s="3" t="str">
        <x:v>NFR-003</x:v>
      </x:c>
      <x:c r="B853" s="3" t="str">
        <x:v>UI</x:v>
      </x:c>
      <x:c r="C853" s="3" t="str">
        <x:v>Các luồng trọng yếu phải đáp ứng WCAG 2.1 AA hoặc chuẩn được stakeholder phê duyệt.</x:v>
      </x:c>
      <x:c r="D853" s="3" t="str">
        <x:v>TC_UI_103</x:v>
      </x:c>
      <x:c r="E853" s="3" t="str">
        <x:v>Tài nguyên tại 1440px</x:v>
      </x:c>
      <x:c r="F853" s="3" t="str">
        <x:v>Designed — chưa thực thi</x:v>
      </x:c>
      <x:c r="G85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4" ht="49" customHeight="1">
      <x:c r="A854" s="3" t="str">
        <x:v>NFR-003</x:v>
      </x:c>
      <x:c r="B854" s="3" t="str">
        <x:v>UI</x:v>
      </x:c>
      <x:c r="C854" s="3" t="str">
        <x:v>Các luồng trọng yếu phải đáp ứng WCAG 2.1 AA hoặc chuẩn được stakeholder phê duyệt.</x:v>
      </x:c>
      <x:c r="D854" s="3" t="str">
        <x:v>TC_UI_104</x:v>
      </x:c>
      <x:c r="E854" s="3" t="str">
        <x:v>Tài nguyên tại 1920px</x:v>
      </x:c>
      <x:c r="F854" s="3" t="str">
        <x:v>Designed — chưa thực thi</x:v>
      </x:c>
      <x:c r="G85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5" ht="49" customHeight="1">
      <x:c r="A855" s="3" t="str">
        <x:v>PUB-001</x:v>
      </x:c>
      <x:c r="B855" s="3" t="str">
        <x:v>I18N</x:v>
      </x:c>
      <x:c r="C855" s="3" t="str">
        <x:v>Hệ thống phải cung cấp tuyến /vi và /en và duy trì locale khi điều hướng.</x:v>
      </x:c>
      <x:c r="D855" s="3" t="str">
        <x:v>TC_I18N_038</x:v>
      </x:c>
      <x:c r="E855" s="3" t="str">
        <x:v>Tài nguyên: Đổi VI sang EN</x:v>
      </x:c>
      <x:c r="F855" s="3" t="str">
        <x:v>Designed — chưa thực thi</x:v>
      </x:c>
      <x:c r="G855" s="3" t="str">
        <x:v>Nguồn: frontend/src/shared/components/layout/LanguageToggle.tsx; frontend/src/messages.  Baseline: docs/ba/02-requirements/VGG_REQ-WORKBOOK_v0.1_2026-09-04.xlsx / Requirements; Phạm vi dịch thuật đầy đủ cần xác nhận</x:v>
      </x:c>
    </x:row>
    <x:row r="856" ht="49" customHeight="1">
      <x:c r="A856" s="3" t="str">
        <x:v>PUB-001</x:v>
      </x:c>
      <x:c r="B856" s="3" t="str">
        <x:v>I18N</x:v>
      </x:c>
      <x:c r="C856" s="3" t="str">
        <x:v>Hệ thống phải cung cấp tuyến /vi và /en và duy trì locale khi điều hướng.</x:v>
      </x:c>
      <x:c r="D856" s="3" t="str">
        <x:v>TC_I18N_039</x:v>
      </x:c>
      <x:c r="E856" s="3" t="str">
        <x:v>Tài nguyên: Bản dịch toàn trang</x:v>
      </x:c>
      <x:c r="F856" s="3" t="str">
        <x:v>Partial — Need Confirmation</x:v>
      </x:c>
      <x:c r="G856" s="3" t="str">
        <x:v>Nguồn: frontend/src/shared/components/layout/LanguageToggle.tsx; frontend/src/messages. Need Confirmation: Chốt phạm vi dịch nội dung tĩnh và dữ liệu CMS. Baseline: docs/ba/02-requirements/VGG_REQ-WORKBOOK_v0.1_2026-09-04.xlsx / Requirements; Phạm vi dịch thuật đầy đủ cần xác nhận</x:v>
      </x:c>
    </x:row>
    <x:row r="857" ht="49" customHeight="1">
      <x:c r="A857" s="3" t="str">
        <x:v>PUB-001</x:v>
      </x:c>
      <x:c r="B857" s="3" t="str">
        <x:v>I18N</x:v>
      </x:c>
      <x:c r="C857" s="3" t="str">
        <x:v>Hệ thống phải cung cấp tuyến /vi và /en và duy trì locale khi điều hướng.</x:v>
      </x:c>
      <x:c r="D857" s="3" t="str">
        <x:v>TC_I18N_040</x:v>
      </x:c>
      <x:c r="E857" s="3" t="str">
        <x:v>Tài nguyên: Back sau đổi locale</x:v>
      </x:c>
      <x:c r="F857" s="3" t="str">
        <x:v>Designed — chưa thực thi</x:v>
      </x:c>
      <x:c r="G857" s="3" t="str">
        <x:v>Nguồn: frontend/src/shared/components/layout/LanguageToggle.tsx; frontend/src/messages.  Baseline: docs/ba/02-requirements/VGG_REQ-WORKBOOK_v0.1_2026-09-04.xlsx / Requirements; Phạm vi dịch thuật đầy đủ cần xác nhận</x:v>
      </x:c>
    </x:row>
    <x:row r="858" ht="49" customHeight="1">
      <x:c r="A858" s="3" t="str">
        <x:v>NFR-003</x:v>
      </x:c>
      <x:c r="B858" s="3" t="str">
        <x:v>UI</x:v>
      </x:c>
      <x:c r="C858" s="3" t="str">
        <x:v>Các luồng trọng yếu phải đáp ứng WCAG 2.1 AA hoặc chuẩn được stakeholder phê duyệt.</x:v>
      </x:c>
      <x:c r="D858" s="3" t="str">
        <x:v>TC_UI_105</x:v>
      </x:c>
      <x:c r="E858" s="3" t="str">
        <x:v>Đăng nhập tại 320px</x:v>
      </x:c>
      <x:c r="F858" s="3" t="str">
        <x:v>Designed — chưa thực thi</x:v>
      </x:c>
      <x:c r="G85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59" ht="49" customHeight="1">
      <x:c r="A859" s="3" t="str">
        <x:v>NFR-003</x:v>
      </x:c>
      <x:c r="B859" s="3" t="str">
        <x:v>UI</x:v>
      </x:c>
      <x:c r="C859" s="3" t="str">
        <x:v>Các luồng trọng yếu phải đáp ứng WCAG 2.1 AA hoặc chuẩn được stakeholder phê duyệt.</x:v>
      </x:c>
      <x:c r="D859" s="3" t="str">
        <x:v>TC_UI_106</x:v>
      </x:c>
      <x:c r="E859" s="3" t="str">
        <x:v>Đăng nhập tại 375px</x:v>
      </x:c>
      <x:c r="F859" s="3" t="str">
        <x:v>Designed — chưa thực thi</x:v>
      </x:c>
      <x:c r="G85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0" ht="49" customHeight="1">
      <x:c r="A860" s="3" t="str">
        <x:v>NFR-003</x:v>
      </x:c>
      <x:c r="B860" s="3" t="str">
        <x:v>UI</x:v>
      </x:c>
      <x:c r="C860" s="3" t="str">
        <x:v>Các luồng trọng yếu phải đáp ứng WCAG 2.1 AA hoặc chuẩn được stakeholder phê duyệt.</x:v>
      </x:c>
      <x:c r="D860" s="3" t="str">
        <x:v>TC_UI_107</x:v>
      </x:c>
      <x:c r="E860" s="3" t="str">
        <x:v>Đăng nhập tại 390px</x:v>
      </x:c>
      <x:c r="F860" s="3" t="str">
        <x:v>Designed — chưa thực thi</x:v>
      </x:c>
      <x:c r="G86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1" ht="49" customHeight="1">
      <x:c r="A861" s="3" t="str">
        <x:v>NFR-003</x:v>
      </x:c>
      <x:c r="B861" s="3" t="str">
        <x:v>UI</x:v>
      </x:c>
      <x:c r="C861" s="3" t="str">
        <x:v>Các luồng trọng yếu phải đáp ứng WCAG 2.1 AA hoặc chuẩn được stakeholder phê duyệt.</x:v>
      </x:c>
      <x:c r="D861" s="3" t="str">
        <x:v>TC_UI_108</x:v>
      </x:c>
      <x:c r="E861" s="3" t="str">
        <x:v>Đăng nhập tại 768px</x:v>
      </x:c>
      <x:c r="F861" s="3" t="str">
        <x:v>Designed — chưa thực thi</x:v>
      </x:c>
      <x:c r="G86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2" ht="49" customHeight="1">
      <x:c r="A862" s="3" t="str">
        <x:v>NFR-003</x:v>
      </x:c>
      <x:c r="B862" s="3" t="str">
        <x:v>UI</x:v>
      </x:c>
      <x:c r="C862" s="3" t="str">
        <x:v>Các luồng trọng yếu phải đáp ứng WCAG 2.1 AA hoặc chuẩn được stakeholder phê duyệt.</x:v>
      </x:c>
      <x:c r="D862" s="3" t="str">
        <x:v>TC_UI_109</x:v>
      </x:c>
      <x:c r="E862" s="3" t="str">
        <x:v>Đăng nhập tại 1024px</x:v>
      </x:c>
      <x:c r="F862" s="3" t="str">
        <x:v>Designed — chưa thực thi</x:v>
      </x:c>
      <x:c r="G86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3" ht="49" customHeight="1">
      <x:c r="A863" s="3" t="str">
        <x:v>NFR-003</x:v>
      </x:c>
      <x:c r="B863" s="3" t="str">
        <x:v>UI</x:v>
      </x:c>
      <x:c r="C863" s="3" t="str">
        <x:v>Các luồng trọng yếu phải đáp ứng WCAG 2.1 AA hoặc chuẩn được stakeholder phê duyệt.</x:v>
      </x:c>
      <x:c r="D863" s="3" t="str">
        <x:v>TC_UI_110</x:v>
      </x:c>
      <x:c r="E863" s="3" t="str">
        <x:v>Đăng nhập tại 1280px</x:v>
      </x:c>
      <x:c r="F863" s="3" t="str">
        <x:v>Designed — chưa thực thi</x:v>
      </x:c>
      <x:c r="G86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4" ht="49" customHeight="1">
      <x:c r="A864" s="3" t="str">
        <x:v>NFR-003</x:v>
      </x:c>
      <x:c r="B864" s="3" t="str">
        <x:v>UI</x:v>
      </x:c>
      <x:c r="C864" s="3" t="str">
        <x:v>Các luồng trọng yếu phải đáp ứng WCAG 2.1 AA hoặc chuẩn được stakeholder phê duyệt.</x:v>
      </x:c>
      <x:c r="D864" s="3" t="str">
        <x:v>TC_UI_111</x:v>
      </x:c>
      <x:c r="E864" s="3" t="str">
        <x:v>Đăng nhập tại 1440px</x:v>
      </x:c>
      <x:c r="F864" s="3" t="str">
        <x:v>Designed — chưa thực thi</x:v>
      </x:c>
      <x:c r="G86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5" ht="49" customHeight="1">
      <x:c r="A865" s="3" t="str">
        <x:v>NFR-003</x:v>
      </x:c>
      <x:c r="B865" s="3" t="str">
        <x:v>UI</x:v>
      </x:c>
      <x:c r="C865" s="3" t="str">
        <x:v>Các luồng trọng yếu phải đáp ứng WCAG 2.1 AA hoặc chuẩn được stakeholder phê duyệt.</x:v>
      </x:c>
      <x:c r="D865" s="3" t="str">
        <x:v>TC_UI_112</x:v>
      </x:c>
      <x:c r="E865" s="3" t="str">
        <x:v>Đăng nhập tại 1920px</x:v>
      </x:c>
      <x:c r="F865" s="3" t="str">
        <x:v>Designed — chưa thực thi</x:v>
      </x:c>
      <x:c r="G86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6" ht="49" customHeight="1">
      <x:c r="A866" s="3" t="str">
        <x:v>NFR-003</x:v>
      </x:c>
      <x:c r="B866" s="3" t="str">
        <x:v>UI</x:v>
      </x:c>
      <x:c r="C866" s="3" t="str">
        <x:v>Các luồng trọng yếu phải đáp ứng WCAG 2.1 AA hoặc chuẩn được stakeholder phê duyệt.</x:v>
      </x:c>
      <x:c r="D866" s="3" t="str">
        <x:v>TC_UI_113</x:v>
      </x:c>
      <x:c r="E866" s="3" t="str">
        <x:v>Dashboard tại 320px</x:v>
      </x:c>
      <x:c r="F866" s="3" t="str">
        <x:v>Designed — chưa thực thi</x:v>
      </x:c>
      <x:c r="G86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7" ht="49" customHeight="1">
      <x:c r="A867" s="3" t="str">
        <x:v>NFR-003</x:v>
      </x:c>
      <x:c r="B867" s="3" t="str">
        <x:v>UI</x:v>
      </x:c>
      <x:c r="C867" s="3" t="str">
        <x:v>Các luồng trọng yếu phải đáp ứng WCAG 2.1 AA hoặc chuẩn được stakeholder phê duyệt.</x:v>
      </x:c>
      <x:c r="D867" s="3" t="str">
        <x:v>TC_UI_114</x:v>
      </x:c>
      <x:c r="E867" s="3" t="str">
        <x:v>Dashboard tại 375px</x:v>
      </x:c>
      <x:c r="F867" s="3" t="str">
        <x:v>Designed — chưa thực thi</x:v>
      </x:c>
      <x:c r="G86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8" ht="49" customHeight="1">
      <x:c r="A868" s="3" t="str">
        <x:v>NFR-003</x:v>
      </x:c>
      <x:c r="B868" s="3" t="str">
        <x:v>UI</x:v>
      </x:c>
      <x:c r="C868" s="3" t="str">
        <x:v>Các luồng trọng yếu phải đáp ứng WCAG 2.1 AA hoặc chuẩn được stakeholder phê duyệt.</x:v>
      </x:c>
      <x:c r="D868" s="3" t="str">
        <x:v>TC_UI_115</x:v>
      </x:c>
      <x:c r="E868" s="3" t="str">
        <x:v>Dashboard tại 390px</x:v>
      </x:c>
      <x:c r="F868" s="3" t="str">
        <x:v>Designed — chưa thực thi</x:v>
      </x:c>
      <x:c r="G86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69" ht="49" customHeight="1">
      <x:c r="A869" s="3" t="str">
        <x:v>NFR-003</x:v>
      </x:c>
      <x:c r="B869" s="3" t="str">
        <x:v>UI</x:v>
      </x:c>
      <x:c r="C869" s="3" t="str">
        <x:v>Các luồng trọng yếu phải đáp ứng WCAG 2.1 AA hoặc chuẩn được stakeholder phê duyệt.</x:v>
      </x:c>
      <x:c r="D869" s="3" t="str">
        <x:v>TC_UI_116</x:v>
      </x:c>
      <x:c r="E869" s="3" t="str">
        <x:v>Dashboard tại 768px</x:v>
      </x:c>
      <x:c r="F869" s="3" t="str">
        <x:v>Designed — chưa thực thi</x:v>
      </x:c>
      <x:c r="G86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0" ht="49" customHeight="1">
      <x:c r="A870" s="3" t="str">
        <x:v>NFR-003</x:v>
      </x:c>
      <x:c r="B870" s="3" t="str">
        <x:v>UI</x:v>
      </x:c>
      <x:c r="C870" s="3" t="str">
        <x:v>Các luồng trọng yếu phải đáp ứng WCAG 2.1 AA hoặc chuẩn được stakeholder phê duyệt.</x:v>
      </x:c>
      <x:c r="D870" s="3" t="str">
        <x:v>TC_UI_117</x:v>
      </x:c>
      <x:c r="E870" s="3" t="str">
        <x:v>Dashboard tại 1024px</x:v>
      </x:c>
      <x:c r="F870" s="3" t="str">
        <x:v>Designed — chưa thực thi</x:v>
      </x:c>
      <x:c r="G87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1" ht="49" customHeight="1">
      <x:c r="A871" s="3" t="str">
        <x:v>NFR-003</x:v>
      </x:c>
      <x:c r="B871" s="3" t="str">
        <x:v>UI</x:v>
      </x:c>
      <x:c r="C871" s="3" t="str">
        <x:v>Các luồng trọng yếu phải đáp ứng WCAG 2.1 AA hoặc chuẩn được stakeholder phê duyệt.</x:v>
      </x:c>
      <x:c r="D871" s="3" t="str">
        <x:v>TC_UI_118</x:v>
      </x:c>
      <x:c r="E871" s="3" t="str">
        <x:v>Dashboard tại 1280px</x:v>
      </x:c>
      <x:c r="F871" s="3" t="str">
        <x:v>Designed — chưa thực thi</x:v>
      </x:c>
      <x:c r="G87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2" ht="49" customHeight="1">
      <x:c r="A872" s="3" t="str">
        <x:v>NFR-003</x:v>
      </x:c>
      <x:c r="B872" s="3" t="str">
        <x:v>UI</x:v>
      </x:c>
      <x:c r="C872" s="3" t="str">
        <x:v>Các luồng trọng yếu phải đáp ứng WCAG 2.1 AA hoặc chuẩn được stakeholder phê duyệt.</x:v>
      </x:c>
      <x:c r="D872" s="3" t="str">
        <x:v>TC_UI_119</x:v>
      </x:c>
      <x:c r="E872" s="3" t="str">
        <x:v>Dashboard tại 1440px</x:v>
      </x:c>
      <x:c r="F872" s="3" t="str">
        <x:v>Designed — chưa thực thi</x:v>
      </x:c>
      <x:c r="G87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3" ht="49" customHeight="1">
      <x:c r="A873" s="3" t="str">
        <x:v>NFR-003</x:v>
      </x:c>
      <x:c r="B873" s="3" t="str">
        <x:v>UI</x:v>
      </x:c>
      <x:c r="C873" s="3" t="str">
        <x:v>Các luồng trọng yếu phải đáp ứng WCAG 2.1 AA hoặc chuẩn được stakeholder phê duyệt.</x:v>
      </x:c>
      <x:c r="D873" s="3" t="str">
        <x:v>TC_UI_120</x:v>
      </x:c>
      <x:c r="E873" s="3" t="str">
        <x:v>Dashboard tại 1920px</x:v>
      </x:c>
      <x:c r="F873" s="3" t="str">
        <x:v>Designed — chưa thực thi</x:v>
      </x:c>
      <x:c r="G87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4" ht="49" customHeight="1">
      <x:c r="A874" s="3" t="str">
        <x:v>NFR-003</x:v>
      </x:c>
      <x:c r="B874" s="3" t="str">
        <x:v>UI</x:v>
      </x:c>
      <x:c r="C874" s="3" t="str">
        <x:v>Các luồng trọng yếu phải đáp ứng WCAG 2.1 AA hoặc chuẩn được stakeholder phê duyệt.</x:v>
      </x:c>
      <x:c r="D874" s="3" t="str">
        <x:v>TC_UI_121</x:v>
      </x:c>
      <x:c r="E874" s="3" t="str">
        <x:v>Nhân sự tại 320px</x:v>
      </x:c>
      <x:c r="F874" s="3" t="str">
        <x:v>Designed — chưa thực thi</x:v>
      </x:c>
      <x:c r="G87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5" ht="49" customHeight="1">
      <x:c r="A875" s="3" t="str">
        <x:v>NFR-003</x:v>
      </x:c>
      <x:c r="B875" s="3" t="str">
        <x:v>UI</x:v>
      </x:c>
      <x:c r="C875" s="3" t="str">
        <x:v>Các luồng trọng yếu phải đáp ứng WCAG 2.1 AA hoặc chuẩn được stakeholder phê duyệt.</x:v>
      </x:c>
      <x:c r="D875" s="3" t="str">
        <x:v>TC_UI_122</x:v>
      </x:c>
      <x:c r="E875" s="3" t="str">
        <x:v>Nhân sự tại 375px</x:v>
      </x:c>
      <x:c r="F875" s="3" t="str">
        <x:v>Designed — chưa thực thi</x:v>
      </x:c>
      <x:c r="G87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6" ht="49" customHeight="1">
      <x:c r="A876" s="3" t="str">
        <x:v>NFR-003</x:v>
      </x:c>
      <x:c r="B876" s="3" t="str">
        <x:v>UI</x:v>
      </x:c>
      <x:c r="C876" s="3" t="str">
        <x:v>Các luồng trọng yếu phải đáp ứng WCAG 2.1 AA hoặc chuẩn được stakeholder phê duyệt.</x:v>
      </x:c>
      <x:c r="D876" s="3" t="str">
        <x:v>TC_UI_123</x:v>
      </x:c>
      <x:c r="E876" s="3" t="str">
        <x:v>Nhân sự tại 390px</x:v>
      </x:c>
      <x:c r="F876" s="3" t="str">
        <x:v>Designed — chưa thực thi</x:v>
      </x:c>
      <x:c r="G87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7" ht="49" customHeight="1">
      <x:c r="A877" s="3" t="str">
        <x:v>NFR-003</x:v>
      </x:c>
      <x:c r="B877" s="3" t="str">
        <x:v>UI</x:v>
      </x:c>
      <x:c r="C877" s="3" t="str">
        <x:v>Các luồng trọng yếu phải đáp ứng WCAG 2.1 AA hoặc chuẩn được stakeholder phê duyệt.</x:v>
      </x:c>
      <x:c r="D877" s="3" t="str">
        <x:v>TC_UI_124</x:v>
      </x:c>
      <x:c r="E877" s="3" t="str">
        <x:v>Nhân sự tại 768px</x:v>
      </x:c>
      <x:c r="F877" s="3" t="str">
        <x:v>Designed — chưa thực thi</x:v>
      </x:c>
      <x:c r="G87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8" ht="49" customHeight="1">
      <x:c r="A878" s="3" t="str">
        <x:v>NFR-003</x:v>
      </x:c>
      <x:c r="B878" s="3" t="str">
        <x:v>UI</x:v>
      </x:c>
      <x:c r="C878" s="3" t="str">
        <x:v>Các luồng trọng yếu phải đáp ứng WCAG 2.1 AA hoặc chuẩn được stakeholder phê duyệt.</x:v>
      </x:c>
      <x:c r="D878" s="3" t="str">
        <x:v>TC_UI_125</x:v>
      </x:c>
      <x:c r="E878" s="3" t="str">
        <x:v>Nhân sự tại 1024px</x:v>
      </x:c>
      <x:c r="F878" s="3" t="str">
        <x:v>Designed — chưa thực thi</x:v>
      </x:c>
      <x:c r="G87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79" ht="49" customHeight="1">
      <x:c r="A879" s="3" t="str">
        <x:v>NFR-003</x:v>
      </x:c>
      <x:c r="B879" s="3" t="str">
        <x:v>UI</x:v>
      </x:c>
      <x:c r="C879" s="3" t="str">
        <x:v>Các luồng trọng yếu phải đáp ứng WCAG 2.1 AA hoặc chuẩn được stakeholder phê duyệt.</x:v>
      </x:c>
      <x:c r="D879" s="3" t="str">
        <x:v>TC_UI_126</x:v>
      </x:c>
      <x:c r="E879" s="3" t="str">
        <x:v>Nhân sự tại 1280px</x:v>
      </x:c>
      <x:c r="F879" s="3" t="str">
        <x:v>Designed — chưa thực thi</x:v>
      </x:c>
      <x:c r="G87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0" ht="49" customHeight="1">
      <x:c r="A880" s="3" t="str">
        <x:v>NFR-003</x:v>
      </x:c>
      <x:c r="B880" s="3" t="str">
        <x:v>UI</x:v>
      </x:c>
      <x:c r="C880" s="3" t="str">
        <x:v>Các luồng trọng yếu phải đáp ứng WCAG 2.1 AA hoặc chuẩn được stakeholder phê duyệt.</x:v>
      </x:c>
      <x:c r="D880" s="3" t="str">
        <x:v>TC_UI_127</x:v>
      </x:c>
      <x:c r="E880" s="3" t="str">
        <x:v>Nhân sự tại 1440px</x:v>
      </x:c>
      <x:c r="F880" s="3" t="str">
        <x:v>Designed — chưa thực thi</x:v>
      </x:c>
      <x:c r="G88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1" ht="49" customHeight="1">
      <x:c r="A881" s="3" t="str">
        <x:v>NFR-003</x:v>
      </x:c>
      <x:c r="B881" s="3" t="str">
        <x:v>UI</x:v>
      </x:c>
      <x:c r="C881" s="3" t="str">
        <x:v>Các luồng trọng yếu phải đáp ứng WCAG 2.1 AA hoặc chuẩn được stakeholder phê duyệt.</x:v>
      </x:c>
      <x:c r="D881" s="3" t="str">
        <x:v>TC_UI_128</x:v>
      </x:c>
      <x:c r="E881" s="3" t="str">
        <x:v>Nhân sự tại 1920px</x:v>
      </x:c>
      <x:c r="F881" s="3" t="str">
        <x:v>Designed — chưa thực thi</x:v>
      </x:c>
      <x:c r="G88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2" ht="49" customHeight="1">
      <x:c r="A882" s="3" t="str">
        <x:v>NFR-003</x:v>
      </x:c>
      <x:c r="B882" s="3" t="str">
        <x:v>UI</x:v>
      </x:c>
      <x:c r="C882" s="3" t="str">
        <x:v>Các luồng trọng yếu phải đáp ứng WCAG 2.1 AA hoặc chuẩn được stakeholder phê duyệt.</x:v>
      </x:c>
      <x:c r="D882" s="3" t="str">
        <x:v>TC_UI_129</x:v>
      </x:c>
      <x:c r="E882" s="3" t="str">
        <x:v>Hồ sơ tại 320px</x:v>
      </x:c>
      <x:c r="F882" s="3" t="str">
        <x:v>Designed — chưa thực thi</x:v>
      </x:c>
      <x:c r="G88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3" ht="49" customHeight="1">
      <x:c r="A883" s="3" t="str">
        <x:v>NFR-003</x:v>
      </x:c>
      <x:c r="B883" s="3" t="str">
        <x:v>UI</x:v>
      </x:c>
      <x:c r="C883" s="3" t="str">
        <x:v>Các luồng trọng yếu phải đáp ứng WCAG 2.1 AA hoặc chuẩn được stakeholder phê duyệt.</x:v>
      </x:c>
      <x:c r="D883" s="3" t="str">
        <x:v>TC_UI_130</x:v>
      </x:c>
      <x:c r="E883" s="3" t="str">
        <x:v>Hồ sơ tại 375px</x:v>
      </x:c>
      <x:c r="F883" s="3" t="str">
        <x:v>Designed — chưa thực thi</x:v>
      </x:c>
      <x:c r="G88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4" ht="49" customHeight="1">
      <x:c r="A884" s="3" t="str">
        <x:v>NFR-003</x:v>
      </x:c>
      <x:c r="B884" s="3" t="str">
        <x:v>UI</x:v>
      </x:c>
      <x:c r="C884" s="3" t="str">
        <x:v>Các luồng trọng yếu phải đáp ứng WCAG 2.1 AA hoặc chuẩn được stakeholder phê duyệt.</x:v>
      </x:c>
      <x:c r="D884" s="3" t="str">
        <x:v>TC_UI_131</x:v>
      </x:c>
      <x:c r="E884" s="3" t="str">
        <x:v>Hồ sơ tại 390px</x:v>
      </x:c>
      <x:c r="F884" s="3" t="str">
        <x:v>Designed — chưa thực thi</x:v>
      </x:c>
      <x:c r="G88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5" ht="49" customHeight="1">
      <x:c r="A885" s="3" t="str">
        <x:v>NFR-003</x:v>
      </x:c>
      <x:c r="B885" s="3" t="str">
        <x:v>UI</x:v>
      </x:c>
      <x:c r="C885" s="3" t="str">
        <x:v>Các luồng trọng yếu phải đáp ứng WCAG 2.1 AA hoặc chuẩn được stakeholder phê duyệt.</x:v>
      </x:c>
      <x:c r="D885" s="3" t="str">
        <x:v>TC_UI_132</x:v>
      </x:c>
      <x:c r="E885" s="3" t="str">
        <x:v>Hồ sơ tại 768px</x:v>
      </x:c>
      <x:c r="F885" s="3" t="str">
        <x:v>Designed — chưa thực thi</x:v>
      </x:c>
      <x:c r="G88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6" ht="49" customHeight="1">
      <x:c r="A886" s="3" t="str">
        <x:v>NFR-003</x:v>
      </x:c>
      <x:c r="B886" s="3" t="str">
        <x:v>UI</x:v>
      </x:c>
      <x:c r="C886" s="3" t="str">
        <x:v>Các luồng trọng yếu phải đáp ứng WCAG 2.1 AA hoặc chuẩn được stakeholder phê duyệt.</x:v>
      </x:c>
      <x:c r="D886" s="3" t="str">
        <x:v>TC_UI_133</x:v>
      </x:c>
      <x:c r="E886" s="3" t="str">
        <x:v>Hồ sơ tại 1024px</x:v>
      </x:c>
      <x:c r="F886" s="3" t="str">
        <x:v>Designed — chưa thực thi</x:v>
      </x:c>
      <x:c r="G88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7" ht="49" customHeight="1">
      <x:c r="A887" s="3" t="str">
        <x:v>NFR-003</x:v>
      </x:c>
      <x:c r="B887" s="3" t="str">
        <x:v>UI</x:v>
      </x:c>
      <x:c r="C887" s="3" t="str">
        <x:v>Các luồng trọng yếu phải đáp ứng WCAG 2.1 AA hoặc chuẩn được stakeholder phê duyệt.</x:v>
      </x:c>
      <x:c r="D887" s="3" t="str">
        <x:v>TC_UI_134</x:v>
      </x:c>
      <x:c r="E887" s="3" t="str">
        <x:v>Hồ sơ tại 1280px</x:v>
      </x:c>
      <x:c r="F887" s="3" t="str">
        <x:v>Designed — chưa thực thi</x:v>
      </x:c>
      <x:c r="G88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8" ht="49" customHeight="1">
      <x:c r="A888" s="3" t="str">
        <x:v>NFR-003</x:v>
      </x:c>
      <x:c r="B888" s="3" t="str">
        <x:v>UI</x:v>
      </x:c>
      <x:c r="C888" s="3" t="str">
        <x:v>Các luồng trọng yếu phải đáp ứng WCAG 2.1 AA hoặc chuẩn được stakeholder phê duyệt.</x:v>
      </x:c>
      <x:c r="D888" s="3" t="str">
        <x:v>TC_UI_135</x:v>
      </x:c>
      <x:c r="E888" s="3" t="str">
        <x:v>Hồ sơ tại 1440px</x:v>
      </x:c>
      <x:c r="F888" s="3" t="str">
        <x:v>Designed — chưa thực thi</x:v>
      </x:c>
      <x:c r="G88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89" ht="49" customHeight="1">
      <x:c r="A889" s="3" t="str">
        <x:v>NFR-003</x:v>
      </x:c>
      <x:c r="B889" s="3" t="str">
        <x:v>UI</x:v>
      </x:c>
      <x:c r="C889" s="3" t="str">
        <x:v>Các luồng trọng yếu phải đáp ứng WCAG 2.1 AA hoặc chuẩn được stakeholder phê duyệt.</x:v>
      </x:c>
      <x:c r="D889" s="3" t="str">
        <x:v>TC_UI_136</x:v>
      </x:c>
      <x:c r="E889" s="3" t="str">
        <x:v>Hồ sơ tại 1920px</x:v>
      </x:c>
      <x:c r="F889" s="3" t="str">
        <x:v>Designed — chưa thực thi</x:v>
      </x:c>
      <x:c r="G88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0" ht="49" customHeight="1">
      <x:c r="A890" s="3" t="str">
        <x:v>NFR-003</x:v>
      </x:c>
      <x:c r="B890" s="3" t="str">
        <x:v>UI</x:v>
      </x:c>
      <x:c r="C890" s="3" t="str">
        <x:v>Các luồng trọng yếu phải đáp ứng WCAG 2.1 AA hoặc chuẩn được stakeholder phê duyệt.</x:v>
      </x:c>
      <x:c r="D890" s="3" t="str">
        <x:v>TC_UI_137</x:v>
      </x:c>
      <x:c r="E890" s="3" t="str">
        <x:v>Biên tập tin tại 320px</x:v>
      </x:c>
      <x:c r="F890" s="3" t="str">
        <x:v>Designed — chưa thực thi</x:v>
      </x:c>
      <x:c r="G89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1" ht="49" customHeight="1">
      <x:c r="A891" s="3" t="str">
        <x:v>NFR-003</x:v>
      </x:c>
      <x:c r="B891" s="3" t="str">
        <x:v>UI</x:v>
      </x:c>
      <x:c r="C891" s="3" t="str">
        <x:v>Các luồng trọng yếu phải đáp ứng WCAG 2.1 AA hoặc chuẩn được stakeholder phê duyệt.</x:v>
      </x:c>
      <x:c r="D891" s="3" t="str">
        <x:v>TC_UI_138</x:v>
      </x:c>
      <x:c r="E891" s="3" t="str">
        <x:v>Biên tập tin tại 375px</x:v>
      </x:c>
      <x:c r="F891" s="3" t="str">
        <x:v>Designed — chưa thực thi</x:v>
      </x:c>
      <x:c r="G89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2" ht="49" customHeight="1">
      <x:c r="A892" s="3" t="str">
        <x:v>NFR-003</x:v>
      </x:c>
      <x:c r="B892" s="3" t="str">
        <x:v>UI</x:v>
      </x:c>
      <x:c r="C892" s="3" t="str">
        <x:v>Các luồng trọng yếu phải đáp ứng WCAG 2.1 AA hoặc chuẩn được stakeholder phê duyệt.</x:v>
      </x:c>
      <x:c r="D892" s="3" t="str">
        <x:v>TC_UI_139</x:v>
      </x:c>
      <x:c r="E892" s="3" t="str">
        <x:v>Biên tập tin tại 390px</x:v>
      </x:c>
      <x:c r="F892" s="3" t="str">
        <x:v>Designed — chưa thực thi</x:v>
      </x:c>
      <x:c r="G89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3" ht="49" customHeight="1">
      <x:c r="A893" s="3" t="str">
        <x:v>NFR-003</x:v>
      </x:c>
      <x:c r="B893" s="3" t="str">
        <x:v>UI</x:v>
      </x:c>
      <x:c r="C893" s="3" t="str">
        <x:v>Các luồng trọng yếu phải đáp ứng WCAG 2.1 AA hoặc chuẩn được stakeholder phê duyệt.</x:v>
      </x:c>
      <x:c r="D893" s="3" t="str">
        <x:v>TC_UI_140</x:v>
      </x:c>
      <x:c r="E893" s="3" t="str">
        <x:v>Biên tập tin tại 768px</x:v>
      </x:c>
      <x:c r="F893" s="3" t="str">
        <x:v>Designed — chưa thực thi</x:v>
      </x:c>
      <x:c r="G89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4" ht="49" customHeight="1">
      <x:c r="A894" s="3" t="str">
        <x:v>NFR-003</x:v>
      </x:c>
      <x:c r="B894" s="3" t="str">
        <x:v>UI</x:v>
      </x:c>
      <x:c r="C894" s="3" t="str">
        <x:v>Các luồng trọng yếu phải đáp ứng WCAG 2.1 AA hoặc chuẩn được stakeholder phê duyệt.</x:v>
      </x:c>
      <x:c r="D894" s="3" t="str">
        <x:v>TC_UI_141</x:v>
      </x:c>
      <x:c r="E894" s="3" t="str">
        <x:v>Biên tập tin tại 1024px</x:v>
      </x:c>
      <x:c r="F894" s="3" t="str">
        <x:v>Designed — chưa thực thi</x:v>
      </x:c>
      <x:c r="G89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5" ht="49" customHeight="1">
      <x:c r="A895" s="3" t="str">
        <x:v>NFR-003</x:v>
      </x:c>
      <x:c r="B895" s="3" t="str">
        <x:v>UI</x:v>
      </x:c>
      <x:c r="C895" s="3" t="str">
        <x:v>Các luồng trọng yếu phải đáp ứng WCAG 2.1 AA hoặc chuẩn được stakeholder phê duyệt.</x:v>
      </x:c>
      <x:c r="D895" s="3" t="str">
        <x:v>TC_UI_142</x:v>
      </x:c>
      <x:c r="E895" s="3" t="str">
        <x:v>Biên tập tin tại 1280px</x:v>
      </x:c>
      <x:c r="F895" s="3" t="str">
        <x:v>Designed — chưa thực thi</x:v>
      </x:c>
      <x:c r="G89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6" ht="49" customHeight="1">
      <x:c r="A896" s="3" t="str">
        <x:v>NFR-003</x:v>
      </x:c>
      <x:c r="B896" s="3" t="str">
        <x:v>UI</x:v>
      </x:c>
      <x:c r="C896" s="3" t="str">
        <x:v>Các luồng trọng yếu phải đáp ứng WCAG 2.1 AA hoặc chuẩn được stakeholder phê duyệt.</x:v>
      </x:c>
      <x:c r="D896" s="3" t="str">
        <x:v>TC_UI_143</x:v>
      </x:c>
      <x:c r="E896" s="3" t="str">
        <x:v>Biên tập tin tại 1440px</x:v>
      </x:c>
      <x:c r="F896" s="3" t="str">
        <x:v>Designed — chưa thực thi</x:v>
      </x:c>
      <x:c r="G89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7" ht="49" customHeight="1">
      <x:c r="A897" s="3" t="str">
        <x:v>NFR-003</x:v>
      </x:c>
      <x:c r="B897" s="3" t="str">
        <x:v>UI</x:v>
      </x:c>
      <x:c r="C897" s="3" t="str">
        <x:v>Các luồng trọng yếu phải đáp ứng WCAG 2.1 AA hoặc chuẩn được stakeholder phê duyệt.</x:v>
      </x:c>
      <x:c r="D897" s="3" t="str">
        <x:v>TC_UI_144</x:v>
      </x:c>
      <x:c r="E897" s="3" t="str">
        <x:v>Biên tập tin tại 1920px</x:v>
      </x:c>
      <x:c r="F897" s="3" t="str">
        <x:v>Designed — chưa thực thi</x:v>
      </x:c>
      <x:c r="G89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8" ht="49" customHeight="1">
      <x:c r="A898" s="3" t="str">
        <x:v>NFR-003</x:v>
      </x:c>
      <x:c r="B898" s="3" t="str">
        <x:v>UI</x:v>
      </x:c>
      <x:c r="C898" s="3" t="str">
        <x:v>Các luồng trọng yếu phải đáp ứng WCAG 2.1 AA hoặc chuẩn được stakeholder phê duyệt.</x:v>
      </x:c>
      <x:c r="D898" s="3" t="str">
        <x:v>TC_UI_145</x:v>
      </x:c>
      <x:c r="E898" s="3" t="str">
        <x:v>Quản lý tài nguyên tại 320px</x:v>
      </x:c>
      <x:c r="F898" s="3" t="str">
        <x:v>Designed — chưa thực thi</x:v>
      </x:c>
      <x:c r="G89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899" ht="49" customHeight="1">
      <x:c r="A899" s="3" t="str">
        <x:v>NFR-003</x:v>
      </x:c>
      <x:c r="B899" s="3" t="str">
        <x:v>UI</x:v>
      </x:c>
      <x:c r="C899" s="3" t="str">
        <x:v>Các luồng trọng yếu phải đáp ứng WCAG 2.1 AA hoặc chuẩn được stakeholder phê duyệt.</x:v>
      </x:c>
      <x:c r="D899" s="3" t="str">
        <x:v>TC_UI_146</x:v>
      </x:c>
      <x:c r="E899" s="3" t="str">
        <x:v>Quản lý tài nguyên tại 375px</x:v>
      </x:c>
      <x:c r="F899" s="3" t="str">
        <x:v>Designed — chưa thực thi</x:v>
      </x:c>
      <x:c r="G89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0" ht="49" customHeight="1">
      <x:c r="A900" s="3" t="str">
        <x:v>NFR-003</x:v>
      </x:c>
      <x:c r="B900" s="3" t="str">
        <x:v>UI</x:v>
      </x:c>
      <x:c r="C900" s="3" t="str">
        <x:v>Các luồng trọng yếu phải đáp ứng WCAG 2.1 AA hoặc chuẩn được stakeholder phê duyệt.</x:v>
      </x:c>
      <x:c r="D900" s="3" t="str">
        <x:v>TC_UI_147</x:v>
      </x:c>
      <x:c r="E900" s="3" t="str">
        <x:v>Quản lý tài nguyên tại 390px</x:v>
      </x:c>
      <x:c r="F900" s="3" t="str">
        <x:v>Designed — chưa thực thi</x:v>
      </x:c>
      <x:c r="G90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1" ht="49" customHeight="1">
      <x:c r="A901" s="3" t="str">
        <x:v>NFR-003</x:v>
      </x:c>
      <x:c r="B901" s="3" t="str">
        <x:v>UI</x:v>
      </x:c>
      <x:c r="C901" s="3" t="str">
        <x:v>Các luồng trọng yếu phải đáp ứng WCAG 2.1 AA hoặc chuẩn được stakeholder phê duyệt.</x:v>
      </x:c>
      <x:c r="D901" s="3" t="str">
        <x:v>TC_UI_148</x:v>
      </x:c>
      <x:c r="E901" s="3" t="str">
        <x:v>Quản lý tài nguyên tại 768px</x:v>
      </x:c>
      <x:c r="F901" s="3" t="str">
        <x:v>Designed — chưa thực thi</x:v>
      </x:c>
      <x:c r="G90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2" ht="49" customHeight="1">
      <x:c r="A902" s="3" t="str">
        <x:v>NFR-003</x:v>
      </x:c>
      <x:c r="B902" s="3" t="str">
        <x:v>UI</x:v>
      </x:c>
      <x:c r="C902" s="3" t="str">
        <x:v>Các luồng trọng yếu phải đáp ứng WCAG 2.1 AA hoặc chuẩn được stakeholder phê duyệt.</x:v>
      </x:c>
      <x:c r="D902" s="3" t="str">
        <x:v>TC_UI_149</x:v>
      </x:c>
      <x:c r="E902" s="3" t="str">
        <x:v>Quản lý tài nguyên tại 1024px</x:v>
      </x:c>
      <x:c r="F902" s="3" t="str">
        <x:v>Designed — chưa thực thi</x:v>
      </x:c>
      <x:c r="G90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3" ht="49" customHeight="1">
      <x:c r="A903" s="3" t="str">
        <x:v>NFR-003</x:v>
      </x:c>
      <x:c r="B903" s="3" t="str">
        <x:v>UI</x:v>
      </x:c>
      <x:c r="C903" s="3" t="str">
        <x:v>Các luồng trọng yếu phải đáp ứng WCAG 2.1 AA hoặc chuẩn được stakeholder phê duyệt.</x:v>
      </x:c>
      <x:c r="D903" s="3" t="str">
        <x:v>TC_UI_150</x:v>
      </x:c>
      <x:c r="E903" s="3" t="str">
        <x:v>Quản lý tài nguyên tại 1280px</x:v>
      </x:c>
      <x:c r="F903" s="3" t="str">
        <x:v>Designed — chưa thực thi</x:v>
      </x:c>
      <x:c r="G90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4" ht="49" customHeight="1">
      <x:c r="A904" s="3" t="str">
        <x:v>NFR-003</x:v>
      </x:c>
      <x:c r="B904" s="3" t="str">
        <x:v>UI</x:v>
      </x:c>
      <x:c r="C904" s="3" t="str">
        <x:v>Các luồng trọng yếu phải đáp ứng WCAG 2.1 AA hoặc chuẩn được stakeholder phê duyệt.</x:v>
      </x:c>
      <x:c r="D904" s="3" t="str">
        <x:v>TC_UI_151</x:v>
      </x:c>
      <x:c r="E904" s="3" t="str">
        <x:v>Quản lý tài nguyên tại 1440px</x:v>
      </x:c>
      <x:c r="F904" s="3" t="str">
        <x:v>Designed — chưa thực thi</x:v>
      </x:c>
      <x:c r="G90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5" ht="49" customHeight="1">
      <x:c r="A905" s="3" t="str">
        <x:v>NFR-003</x:v>
      </x:c>
      <x:c r="B905" s="3" t="str">
        <x:v>UI</x:v>
      </x:c>
      <x:c r="C905" s="3" t="str">
        <x:v>Các luồng trọng yếu phải đáp ứng WCAG 2.1 AA hoặc chuẩn được stakeholder phê duyệt.</x:v>
      </x:c>
      <x:c r="D905" s="3" t="str">
        <x:v>TC_UI_152</x:v>
      </x:c>
      <x:c r="E905" s="3" t="str">
        <x:v>Quản lý tài nguyên tại 1920px</x:v>
      </x:c>
      <x:c r="F905" s="3" t="str">
        <x:v>Designed — chưa thực thi</x:v>
      </x:c>
      <x:c r="G90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6" ht="49" customHeight="1">
      <x:c r="A906" s="3" t="str">
        <x:v>NFR-003</x:v>
      </x:c>
      <x:c r="B906" s="3" t="str">
        <x:v>UI</x:v>
      </x:c>
      <x:c r="C906" s="3" t="str">
        <x:v>Các luồng trọng yếu phải đáp ứng WCAG 2.1 AA hoặc chuẩn được stakeholder phê duyệt.</x:v>
      </x:c>
      <x:c r="D906" s="3" t="str">
        <x:v>TC_UI_153</x:v>
      </x:c>
      <x:c r="E906" s="3" t="str">
        <x:v>Danh sách tư vấn tại 320px</x:v>
      </x:c>
      <x:c r="F906" s="3" t="str">
        <x:v>Designed — chưa thực thi</x:v>
      </x:c>
      <x:c r="G90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7" ht="49" customHeight="1">
      <x:c r="A907" s="3" t="str">
        <x:v>NFR-003</x:v>
      </x:c>
      <x:c r="B907" s="3" t="str">
        <x:v>UI</x:v>
      </x:c>
      <x:c r="C907" s="3" t="str">
        <x:v>Các luồng trọng yếu phải đáp ứng WCAG 2.1 AA hoặc chuẩn được stakeholder phê duyệt.</x:v>
      </x:c>
      <x:c r="D907" s="3" t="str">
        <x:v>TC_UI_154</x:v>
      </x:c>
      <x:c r="E907" s="3" t="str">
        <x:v>Danh sách tư vấn tại 375px</x:v>
      </x:c>
      <x:c r="F907" s="3" t="str">
        <x:v>Designed — chưa thực thi</x:v>
      </x:c>
      <x:c r="G90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8" ht="49" customHeight="1">
      <x:c r="A908" s="3" t="str">
        <x:v>NFR-003</x:v>
      </x:c>
      <x:c r="B908" s="3" t="str">
        <x:v>UI</x:v>
      </x:c>
      <x:c r="C908" s="3" t="str">
        <x:v>Các luồng trọng yếu phải đáp ứng WCAG 2.1 AA hoặc chuẩn được stakeholder phê duyệt.</x:v>
      </x:c>
      <x:c r="D908" s="3" t="str">
        <x:v>TC_UI_155</x:v>
      </x:c>
      <x:c r="E908" s="3" t="str">
        <x:v>Danh sách tư vấn tại 390px</x:v>
      </x:c>
      <x:c r="F908" s="3" t="str">
        <x:v>Designed — chưa thực thi</x:v>
      </x:c>
      <x:c r="G90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09" ht="49" customHeight="1">
      <x:c r="A909" s="3" t="str">
        <x:v>NFR-003</x:v>
      </x:c>
      <x:c r="B909" s="3" t="str">
        <x:v>UI</x:v>
      </x:c>
      <x:c r="C909" s="3" t="str">
        <x:v>Các luồng trọng yếu phải đáp ứng WCAG 2.1 AA hoặc chuẩn được stakeholder phê duyệt.</x:v>
      </x:c>
      <x:c r="D909" s="3" t="str">
        <x:v>TC_UI_156</x:v>
      </x:c>
      <x:c r="E909" s="3" t="str">
        <x:v>Danh sách tư vấn tại 768px</x:v>
      </x:c>
      <x:c r="F909" s="3" t="str">
        <x:v>Designed — chưa thực thi</x:v>
      </x:c>
      <x:c r="G90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0" ht="49" customHeight="1">
      <x:c r="A910" s="3" t="str">
        <x:v>NFR-003</x:v>
      </x:c>
      <x:c r="B910" s="3" t="str">
        <x:v>UI</x:v>
      </x:c>
      <x:c r="C910" s="3" t="str">
        <x:v>Các luồng trọng yếu phải đáp ứng WCAG 2.1 AA hoặc chuẩn được stakeholder phê duyệt.</x:v>
      </x:c>
      <x:c r="D910" s="3" t="str">
        <x:v>TC_UI_157</x:v>
      </x:c>
      <x:c r="E910" s="3" t="str">
        <x:v>Danh sách tư vấn tại 1024px</x:v>
      </x:c>
      <x:c r="F910" s="3" t="str">
        <x:v>Designed — chưa thực thi</x:v>
      </x:c>
      <x:c r="G91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1" ht="49" customHeight="1">
      <x:c r="A911" s="3" t="str">
        <x:v>NFR-003</x:v>
      </x:c>
      <x:c r="B911" s="3" t="str">
        <x:v>UI</x:v>
      </x:c>
      <x:c r="C911" s="3" t="str">
        <x:v>Các luồng trọng yếu phải đáp ứng WCAG 2.1 AA hoặc chuẩn được stakeholder phê duyệt.</x:v>
      </x:c>
      <x:c r="D911" s="3" t="str">
        <x:v>TC_UI_158</x:v>
      </x:c>
      <x:c r="E911" s="3" t="str">
        <x:v>Danh sách tư vấn tại 1280px</x:v>
      </x:c>
      <x:c r="F911" s="3" t="str">
        <x:v>Designed — chưa thực thi</x:v>
      </x:c>
      <x:c r="G91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2" ht="49" customHeight="1">
      <x:c r="A912" s="3" t="str">
        <x:v>NFR-003</x:v>
      </x:c>
      <x:c r="B912" s="3" t="str">
        <x:v>UI</x:v>
      </x:c>
      <x:c r="C912" s="3" t="str">
        <x:v>Các luồng trọng yếu phải đáp ứng WCAG 2.1 AA hoặc chuẩn được stakeholder phê duyệt.</x:v>
      </x:c>
      <x:c r="D912" s="3" t="str">
        <x:v>TC_UI_159</x:v>
      </x:c>
      <x:c r="E912" s="3" t="str">
        <x:v>Danh sách tư vấn tại 1440px</x:v>
      </x:c>
      <x:c r="F912" s="3" t="str">
        <x:v>Designed — chưa thực thi</x:v>
      </x:c>
      <x:c r="G91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3" ht="49" customHeight="1">
      <x:c r="A913" s="3" t="str">
        <x:v>NFR-003</x:v>
      </x:c>
      <x:c r="B913" s="3" t="str">
        <x:v>UI</x:v>
      </x:c>
      <x:c r="C913" s="3" t="str">
        <x:v>Các luồng trọng yếu phải đáp ứng WCAG 2.1 AA hoặc chuẩn được stakeholder phê duyệt.</x:v>
      </x:c>
      <x:c r="D913" s="3" t="str">
        <x:v>TC_UI_160</x:v>
      </x:c>
      <x:c r="E913" s="3" t="str">
        <x:v>Danh sách tư vấn tại 1920px</x:v>
      </x:c>
      <x:c r="F913" s="3" t="str">
        <x:v>Designed — chưa thực thi</x:v>
      </x:c>
      <x:c r="G91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4" ht="49" customHeight="1">
      <x:c r="A914" s="3" t="str">
        <x:v>NFR-003</x:v>
      </x:c>
      <x:c r="B914" s="3" t="str">
        <x:v>UI</x:v>
      </x:c>
      <x:c r="C914" s="3" t="str">
        <x:v>Các luồng trọng yếu phải đáp ứng WCAG 2.1 AA hoặc chuẩn được stakeholder phê duyệt.</x:v>
      </x:c>
      <x:c r="D914" s="3" t="str">
        <x:v>TC_UI_161</x:v>
      </x:c>
      <x:c r="E914" s="3" t="str">
        <x:v>Nội dung web tại 320px</x:v>
      </x:c>
      <x:c r="F914" s="3" t="str">
        <x:v>Designed — chưa thực thi</x:v>
      </x:c>
      <x:c r="G91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5" ht="49" customHeight="1">
      <x:c r="A915" s="3" t="str">
        <x:v>NFR-003</x:v>
      </x:c>
      <x:c r="B915" s="3" t="str">
        <x:v>UI</x:v>
      </x:c>
      <x:c r="C915" s="3" t="str">
        <x:v>Các luồng trọng yếu phải đáp ứng WCAG 2.1 AA hoặc chuẩn được stakeholder phê duyệt.</x:v>
      </x:c>
      <x:c r="D915" s="3" t="str">
        <x:v>TC_UI_162</x:v>
      </x:c>
      <x:c r="E915" s="3" t="str">
        <x:v>Nội dung web tại 375px</x:v>
      </x:c>
      <x:c r="F915" s="3" t="str">
        <x:v>Designed — chưa thực thi</x:v>
      </x:c>
      <x:c r="G91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6" ht="49" customHeight="1">
      <x:c r="A916" s="3" t="str">
        <x:v>NFR-003</x:v>
      </x:c>
      <x:c r="B916" s="3" t="str">
        <x:v>UI</x:v>
      </x:c>
      <x:c r="C916" s="3" t="str">
        <x:v>Các luồng trọng yếu phải đáp ứng WCAG 2.1 AA hoặc chuẩn được stakeholder phê duyệt.</x:v>
      </x:c>
      <x:c r="D916" s="3" t="str">
        <x:v>TC_UI_163</x:v>
      </x:c>
      <x:c r="E916" s="3" t="str">
        <x:v>Nội dung web tại 390px</x:v>
      </x:c>
      <x:c r="F916" s="3" t="str">
        <x:v>Designed — chưa thực thi</x:v>
      </x:c>
      <x:c r="G91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7" ht="49" customHeight="1">
      <x:c r="A917" s="3" t="str">
        <x:v>NFR-003</x:v>
      </x:c>
      <x:c r="B917" s="3" t="str">
        <x:v>UI</x:v>
      </x:c>
      <x:c r="C917" s="3" t="str">
        <x:v>Các luồng trọng yếu phải đáp ứng WCAG 2.1 AA hoặc chuẩn được stakeholder phê duyệt.</x:v>
      </x:c>
      <x:c r="D917" s="3" t="str">
        <x:v>TC_UI_164</x:v>
      </x:c>
      <x:c r="E917" s="3" t="str">
        <x:v>Nội dung web tại 768px</x:v>
      </x:c>
      <x:c r="F917" s="3" t="str">
        <x:v>Designed — chưa thực thi</x:v>
      </x:c>
      <x:c r="G91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8" ht="49" customHeight="1">
      <x:c r="A918" s="3" t="str">
        <x:v>NFR-003</x:v>
      </x:c>
      <x:c r="B918" s="3" t="str">
        <x:v>UI</x:v>
      </x:c>
      <x:c r="C918" s="3" t="str">
        <x:v>Các luồng trọng yếu phải đáp ứng WCAG 2.1 AA hoặc chuẩn được stakeholder phê duyệt.</x:v>
      </x:c>
      <x:c r="D918" s="3" t="str">
        <x:v>TC_UI_165</x:v>
      </x:c>
      <x:c r="E918" s="3" t="str">
        <x:v>Nội dung web tại 1024px</x:v>
      </x:c>
      <x:c r="F918" s="3" t="str">
        <x:v>Designed — chưa thực thi</x:v>
      </x:c>
      <x:c r="G91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19" ht="49" customHeight="1">
      <x:c r="A919" s="3" t="str">
        <x:v>NFR-003</x:v>
      </x:c>
      <x:c r="B919" s="3" t="str">
        <x:v>UI</x:v>
      </x:c>
      <x:c r="C919" s="3" t="str">
        <x:v>Các luồng trọng yếu phải đáp ứng WCAG 2.1 AA hoặc chuẩn được stakeholder phê duyệt.</x:v>
      </x:c>
      <x:c r="D919" s="3" t="str">
        <x:v>TC_UI_166</x:v>
      </x:c>
      <x:c r="E919" s="3" t="str">
        <x:v>Nội dung web tại 1280px</x:v>
      </x:c>
      <x:c r="F919" s="3" t="str">
        <x:v>Designed — chưa thực thi</x:v>
      </x:c>
      <x:c r="G91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0" ht="49" customHeight="1">
      <x:c r="A920" s="3" t="str">
        <x:v>NFR-003</x:v>
      </x:c>
      <x:c r="B920" s="3" t="str">
        <x:v>UI</x:v>
      </x:c>
      <x:c r="C920" s="3" t="str">
        <x:v>Các luồng trọng yếu phải đáp ứng WCAG 2.1 AA hoặc chuẩn được stakeholder phê duyệt.</x:v>
      </x:c>
      <x:c r="D920" s="3" t="str">
        <x:v>TC_UI_167</x:v>
      </x:c>
      <x:c r="E920" s="3" t="str">
        <x:v>Nội dung web tại 1440px</x:v>
      </x:c>
      <x:c r="F920" s="3" t="str">
        <x:v>Designed — chưa thực thi</x:v>
      </x:c>
      <x:c r="G920"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1" ht="49" customHeight="1">
      <x:c r="A921" s="3" t="str">
        <x:v>NFR-003</x:v>
      </x:c>
      <x:c r="B921" s="3" t="str">
        <x:v>UI</x:v>
      </x:c>
      <x:c r="C921" s="3" t="str">
        <x:v>Các luồng trọng yếu phải đáp ứng WCAG 2.1 AA hoặc chuẩn được stakeholder phê duyệt.</x:v>
      </x:c>
      <x:c r="D921" s="3" t="str">
        <x:v>TC_UI_168</x:v>
      </x:c>
      <x:c r="E921" s="3" t="str">
        <x:v>Nội dung web tại 1920px</x:v>
      </x:c>
      <x:c r="F921" s="3" t="str">
        <x:v>Designed — chưa thực thi</x:v>
      </x:c>
      <x:c r="G921"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2" ht="49" customHeight="1">
      <x:c r="A922" s="3" t="str">
        <x:v>NFR-003</x:v>
      </x:c>
      <x:c r="B922" s="3" t="str">
        <x:v>UI</x:v>
      </x:c>
      <x:c r="C922" s="3" t="str">
        <x:v>Các luồng trọng yếu phải đáp ứng WCAG 2.1 AA hoặc chuẩn được stakeholder phê duyệt.</x:v>
      </x:c>
      <x:c r="D922" s="3" t="str">
        <x:v>TC_UI_169</x:v>
      </x:c>
      <x:c r="E922" s="3" t="str">
        <x:v>Ứng tuyển tại 320px</x:v>
      </x:c>
      <x:c r="F922" s="3" t="str">
        <x:v>Designed — chưa thực thi</x:v>
      </x:c>
      <x:c r="G922"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3" ht="49" customHeight="1">
      <x:c r="A923" s="3" t="str">
        <x:v>NFR-003</x:v>
      </x:c>
      <x:c r="B923" s="3" t="str">
        <x:v>UI</x:v>
      </x:c>
      <x:c r="C923" s="3" t="str">
        <x:v>Các luồng trọng yếu phải đáp ứng WCAG 2.1 AA hoặc chuẩn được stakeholder phê duyệt.</x:v>
      </x:c>
      <x:c r="D923" s="3" t="str">
        <x:v>TC_UI_170</x:v>
      </x:c>
      <x:c r="E923" s="3" t="str">
        <x:v>Ứng tuyển tại 375px</x:v>
      </x:c>
      <x:c r="F923" s="3" t="str">
        <x:v>Designed — chưa thực thi</x:v>
      </x:c>
      <x:c r="G923"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4" ht="49" customHeight="1">
      <x:c r="A924" s="3" t="str">
        <x:v>NFR-003</x:v>
      </x:c>
      <x:c r="B924" s="3" t="str">
        <x:v>UI</x:v>
      </x:c>
      <x:c r="C924" s="3" t="str">
        <x:v>Các luồng trọng yếu phải đáp ứng WCAG 2.1 AA hoặc chuẩn được stakeholder phê duyệt.</x:v>
      </x:c>
      <x:c r="D924" s="3" t="str">
        <x:v>TC_UI_171</x:v>
      </x:c>
      <x:c r="E924" s="3" t="str">
        <x:v>Ứng tuyển tại 390px</x:v>
      </x:c>
      <x:c r="F924" s="3" t="str">
        <x:v>Designed — chưa thực thi</x:v>
      </x:c>
      <x:c r="G924"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5" ht="49" customHeight="1">
      <x:c r="A925" s="3" t="str">
        <x:v>NFR-003</x:v>
      </x:c>
      <x:c r="B925" s="3" t="str">
        <x:v>UI</x:v>
      </x:c>
      <x:c r="C925" s="3" t="str">
        <x:v>Các luồng trọng yếu phải đáp ứng WCAG 2.1 AA hoặc chuẩn được stakeholder phê duyệt.</x:v>
      </x:c>
      <x:c r="D925" s="3" t="str">
        <x:v>TC_UI_172</x:v>
      </x:c>
      <x:c r="E925" s="3" t="str">
        <x:v>Ứng tuyển tại 768px</x:v>
      </x:c>
      <x:c r="F925" s="3" t="str">
        <x:v>Designed — chưa thực thi</x:v>
      </x:c>
      <x:c r="G925"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6" ht="49" customHeight="1">
      <x:c r="A926" s="3" t="str">
        <x:v>NFR-003</x:v>
      </x:c>
      <x:c r="B926" s="3" t="str">
        <x:v>UI</x:v>
      </x:c>
      <x:c r="C926" s="3" t="str">
        <x:v>Các luồng trọng yếu phải đáp ứng WCAG 2.1 AA hoặc chuẩn được stakeholder phê duyệt.</x:v>
      </x:c>
      <x:c r="D926" s="3" t="str">
        <x:v>TC_UI_173</x:v>
      </x:c>
      <x:c r="E926" s="3" t="str">
        <x:v>Ứng tuyển tại 1024px</x:v>
      </x:c>
      <x:c r="F926" s="3" t="str">
        <x:v>Designed — chưa thực thi</x:v>
      </x:c>
      <x:c r="G926"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7" ht="49" customHeight="1">
      <x:c r="A927" s="3" t="str">
        <x:v>NFR-003</x:v>
      </x:c>
      <x:c r="B927" s="3" t="str">
        <x:v>UI</x:v>
      </x:c>
      <x:c r="C927" s="3" t="str">
        <x:v>Các luồng trọng yếu phải đáp ứng WCAG 2.1 AA hoặc chuẩn được stakeholder phê duyệt.</x:v>
      </x:c>
      <x:c r="D927" s="3" t="str">
        <x:v>TC_UI_174</x:v>
      </x:c>
      <x:c r="E927" s="3" t="str">
        <x:v>Ứng tuyển tại 1280px</x:v>
      </x:c>
      <x:c r="F927" s="3" t="str">
        <x:v>Designed — chưa thực thi</x:v>
      </x:c>
      <x:c r="G927"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8" ht="49" customHeight="1">
      <x:c r="A928" s="3" t="str">
        <x:v>NFR-003</x:v>
      </x:c>
      <x:c r="B928" s="3" t="str">
        <x:v>UI</x:v>
      </x:c>
      <x:c r="C928" s="3" t="str">
        <x:v>Các luồng trọng yếu phải đáp ứng WCAG 2.1 AA hoặc chuẩn được stakeholder phê duyệt.</x:v>
      </x:c>
      <x:c r="D928" s="3" t="str">
        <x:v>TC_UI_175</x:v>
      </x:c>
      <x:c r="E928" s="3" t="str">
        <x:v>Ứng tuyển tại 1440px</x:v>
      </x:c>
      <x:c r="F928" s="3" t="str">
        <x:v>Designed — chưa thực thi</x:v>
      </x:c>
      <x:c r="G928"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29" ht="49" customHeight="1">
      <x:c r="A929" s="3" t="str">
        <x:v>NFR-003</x:v>
      </x:c>
      <x:c r="B929" s="3" t="str">
        <x:v>UI</x:v>
      </x:c>
      <x:c r="C929" s="3" t="str">
        <x:v>Các luồng trọng yếu phải đáp ứng WCAG 2.1 AA hoặc chuẩn được stakeholder phê duyệt.</x:v>
      </x:c>
      <x:c r="D929" s="3" t="str">
        <x:v>TC_UI_176</x:v>
      </x:c>
      <x:c r="E929" s="3" t="str">
        <x:v>Ứng tuyển tại 1920px</x:v>
      </x:c>
      <x:c r="F929" s="3" t="str">
        <x:v>Designed — chưa thực thi</x:v>
      </x:c>
      <x:c r="G929" s="3" t="str">
        <x:v>Nguồn: frontend/src/app; admin/src/app/styles.css. Đánh giá khả dụng theo yêu cầu người dùng; ngưỡng WCAG chính thức vẫn cần phê duyệt. Baseline: docs/ba/02-requirements/VGG_REQ-WORKBOOK_v0.1_2026-09-04.xlsx / Requirements; Chuẩn và phạm vi audit cần xác nhận</x:v>
      </x:c>
    </x:row>
    <x:row r="930" ht="49" customHeight="1">
      <x:c r="A930" s="3" t="str">
        <x:v>NFR-003</x:v>
      </x:c>
      <x:c r="B930" s="3" t="str">
        <x:v>UI</x:v>
      </x:c>
      <x:c r="C930" s="3" t="str">
        <x:v>Các luồng trọng yếu phải đáp ứng WCAG 2.1 AA hoặc chuẩn được stakeholder phê duyệt.</x:v>
      </x:c>
      <x:c r="D930" s="3" t="str">
        <x:v>TC_UI_177</x:v>
      </x:c>
      <x:c r="E930" s="3" t="str">
        <x:v>Menu/hero 667×375</x:v>
      </x:c>
      <x:c r="F930" s="3" t="str">
        <x:v>Designed — chưa thực thi</x:v>
      </x:c>
      <x:c r="G930" s="3" t="str">
        <x:v>Nguồn: frontend/src/features/resources/components/ResourcesExplorer.tsx; admin/src/app/styles.css.  Baseline: docs/ba/02-requirements/VGG_REQ-WORKBOOK_v0.1_2026-09-04.xlsx / Requirements; Chuẩn và phạm vi audit cần xác nhận</x:v>
      </x:c>
    </x:row>
    <x:row r="931" ht="49" customHeight="1">
      <x:c r="A931" s="3" t="str">
        <x:v>NFR-003</x:v>
      </x:c>
      <x:c r="B931" s="3" t="str">
        <x:v>UI</x:v>
      </x:c>
      <x:c r="C931" s="3" t="str">
        <x:v>Các luồng trọng yếu phải đáp ứng WCAG 2.1 AA hoặc chuẩn được stakeholder phê duyệt.</x:v>
      </x:c>
      <x:c r="D931" s="3" t="str">
        <x:v>TC_UI_178</x:v>
      </x:c>
      <x:c r="E931" s="3" t="str">
        <x:v>Preview tài liệu 667×375</x:v>
      </x:c>
      <x:c r="F931" s="3" t="str">
        <x:v>Designed — chưa thực thi</x:v>
      </x:c>
      <x:c r="G931" s="3" t="str">
        <x:v>Nguồn: frontend/src/features/resources/components/ResourcesExplorer.tsx; admin/src/app/styles.css.  Baseline: docs/ba/02-requirements/VGG_REQ-WORKBOOK_v0.1_2026-09-04.xlsx / Requirements; Chuẩn và phạm vi audit cần xác nhận</x:v>
      </x:c>
    </x:row>
    <x:row r="932" ht="49" customHeight="1">
      <x:c r="A932" s="3" t="str">
        <x:v>NFR-003</x:v>
      </x:c>
      <x:c r="B932" s="3" t="str">
        <x:v>UI</x:v>
      </x:c>
      <x:c r="C932" s="3" t="str">
        <x:v>Các luồng trọng yếu phải đáp ứng WCAG 2.1 AA hoặc chuẩn được stakeholder phê duyệt.</x:v>
      </x:c>
      <x:c r="D932" s="3" t="str">
        <x:v>TC_UI_179</x:v>
      </x:c>
      <x:c r="E932" s="3" t="str">
        <x:v>Drawer upload 667×375</x:v>
      </x:c>
      <x:c r="F932" s="3" t="str">
        <x:v>Designed — chưa thực thi</x:v>
      </x:c>
      <x:c r="G932" s="3" t="str">
        <x:v>Nguồn: frontend/src/features/resources/components/ResourcesExplorer.tsx; admin/src/app/styles.css.  Baseline: docs/ba/02-requirements/VGG_REQ-WORKBOOK_v0.1_2026-09-04.xlsx / Requirements; Chuẩn và phạm vi audit cần xác nhận</x:v>
      </x:c>
    </x:row>
    <x:row r="933" ht="49" customHeight="1">
      <x:c r="A933" s="3" t="str">
        <x:v>NFR-003</x:v>
      </x:c>
      <x:c r="B933" s="3" t="str">
        <x:v>UI</x:v>
      </x:c>
      <x:c r="C933" s="3" t="str">
        <x:v>Các luồng trọng yếu phải đáp ứng WCAG 2.1 AA hoặc chuẩn được stakeholder phê duyệt.</x:v>
      </x:c>
      <x:c r="D933" s="3" t="str">
        <x:v>TC_UI_180</x:v>
      </x:c>
      <x:c r="E933" s="3" t="str">
        <x:v>Hồ sơ 667×375</x:v>
      </x:c>
      <x:c r="F933" s="3" t="str">
        <x:v>Designed — chưa thực thi</x:v>
      </x:c>
      <x:c r="G933" s="3" t="str">
        <x:v>Nguồn: frontend/src/features/resources/components/ResourcesExplorer.tsx; admin/src/app/styles.css.  Baseline: docs/ba/02-requirements/VGG_REQ-WORKBOOK_v0.1_2026-09-04.xlsx / Requirements; Chuẩn và phạm vi audit cần xác nhận</x:v>
      </x:c>
    </x:row>
    <x:row r="934" ht="49" customHeight="1">
      <x:c r="A934" s="3" t="str">
        <x:v>NFR-003</x:v>
      </x:c>
      <x:c r="B934" s="3" t="str">
        <x:v>UI</x:v>
      </x:c>
      <x:c r="C934" s="3" t="str">
        <x:v>Các luồng trọng yếu phải đáp ứng WCAG 2.1 AA hoặc chuẩn được stakeholder phê duyệt.</x:v>
      </x:c>
      <x:c r="D934" s="3" t="str">
        <x:v>TC_UI_181</x:v>
      </x:c>
      <x:c r="E934" s="3" t="str">
        <x:v>Menu/hero 844×390</x:v>
      </x:c>
      <x:c r="F934" s="3" t="str">
        <x:v>Designed — chưa thực thi</x:v>
      </x:c>
      <x:c r="G934" s="3" t="str">
        <x:v>Nguồn: frontend/src/features/resources/components/ResourcesExplorer.tsx; admin/src/app/styles.css.  Baseline: docs/ba/02-requirements/VGG_REQ-WORKBOOK_v0.1_2026-09-04.xlsx / Requirements; Chuẩn và phạm vi audit cần xác nhận</x:v>
      </x:c>
    </x:row>
    <x:row r="935" ht="49" customHeight="1">
      <x:c r="A935" s="3" t="str">
        <x:v>NFR-003</x:v>
      </x:c>
      <x:c r="B935" s="3" t="str">
        <x:v>UI</x:v>
      </x:c>
      <x:c r="C935" s="3" t="str">
        <x:v>Các luồng trọng yếu phải đáp ứng WCAG 2.1 AA hoặc chuẩn được stakeholder phê duyệt.</x:v>
      </x:c>
      <x:c r="D935" s="3" t="str">
        <x:v>TC_UI_182</x:v>
      </x:c>
      <x:c r="E935" s="3" t="str">
        <x:v>Preview tài liệu 844×390</x:v>
      </x:c>
      <x:c r="F935" s="3" t="str">
        <x:v>Designed — chưa thực thi</x:v>
      </x:c>
      <x:c r="G935" s="3" t="str">
        <x:v>Nguồn: frontend/src/features/resources/components/ResourcesExplorer.tsx; admin/src/app/styles.css.  Baseline: docs/ba/02-requirements/VGG_REQ-WORKBOOK_v0.1_2026-09-04.xlsx / Requirements; Chuẩn và phạm vi audit cần xác nhận</x:v>
      </x:c>
    </x:row>
    <x:row r="936" ht="49" customHeight="1">
      <x:c r="A936" s="3" t="str">
        <x:v>NFR-003</x:v>
      </x:c>
      <x:c r="B936" s="3" t="str">
        <x:v>UI</x:v>
      </x:c>
      <x:c r="C936" s="3" t="str">
        <x:v>Các luồng trọng yếu phải đáp ứng WCAG 2.1 AA hoặc chuẩn được stakeholder phê duyệt.</x:v>
      </x:c>
      <x:c r="D936" s="3" t="str">
        <x:v>TC_UI_183</x:v>
      </x:c>
      <x:c r="E936" s="3" t="str">
        <x:v>Drawer upload 844×390</x:v>
      </x:c>
      <x:c r="F936" s="3" t="str">
        <x:v>Designed — chưa thực thi</x:v>
      </x:c>
      <x:c r="G936" s="3" t="str">
        <x:v>Nguồn: frontend/src/features/resources/components/ResourcesExplorer.tsx; admin/src/app/styles.css.  Baseline: docs/ba/02-requirements/VGG_REQ-WORKBOOK_v0.1_2026-09-04.xlsx / Requirements; Chuẩn và phạm vi audit cần xác nhận</x:v>
      </x:c>
    </x:row>
    <x:row r="937" ht="49" customHeight="1">
      <x:c r="A937" s="3" t="str">
        <x:v>NFR-003</x:v>
      </x:c>
      <x:c r="B937" s="3" t="str">
        <x:v>UI</x:v>
      </x:c>
      <x:c r="C937" s="3" t="str">
        <x:v>Các luồng trọng yếu phải đáp ứng WCAG 2.1 AA hoặc chuẩn được stakeholder phê duyệt.</x:v>
      </x:c>
      <x:c r="D937" s="3" t="str">
        <x:v>TC_UI_184</x:v>
      </x:c>
      <x:c r="E937" s="3" t="str">
        <x:v>Hồ sơ 844×390</x:v>
      </x:c>
      <x:c r="F937" s="3" t="str">
        <x:v>Designed — chưa thực thi</x:v>
      </x:c>
      <x:c r="G937" s="3" t="str">
        <x:v>Nguồn: frontend/src/features/resources/components/ResourcesExplorer.tsx; admin/src/app/styles.css.  Baseline: docs/ba/02-requirements/VGG_REQ-WORKBOOK_v0.1_2026-09-04.xlsx / Requirements; Chuẩn và phạm vi audit cần xác nhận</x:v>
      </x:c>
    </x:row>
    <x:row r="938" ht="49" customHeight="1">
      <x:c r="A938" s="3" t="str">
        <x:v>NFR-003</x:v>
      </x:c>
      <x:c r="B938" s="3" t="str">
        <x:v>UI</x:v>
      </x:c>
      <x:c r="C938" s="3" t="str">
        <x:v>Các luồng trọng yếu phải đáp ứng WCAG 2.1 AA hoặc chuẩn được stakeholder phê duyệt.</x:v>
      </x:c>
      <x:c r="D938" s="3" t="str">
        <x:v>TC_UI_185</x:v>
      </x:c>
      <x:c r="E938" s="3" t="str">
        <x:v>Menu/hero 1024×768</x:v>
      </x:c>
      <x:c r="F938" s="3" t="str">
        <x:v>Designed — chưa thực thi</x:v>
      </x:c>
      <x:c r="G938" s="3" t="str">
        <x:v>Nguồn: frontend/src/features/resources/components/ResourcesExplorer.tsx; admin/src/app/styles.css.  Baseline: docs/ba/02-requirements/VGG_REQ-WORKBOOK_v0.1_2026-09-04.xlsx / Requirements; Chuẩn và phạm vi audit cần xác nhận</x:v>
      </x:c>
    </x:row>
    <x:row r="939" ht="49" customHeight="1">
      <x:c r="A939" s="3" t="str">
        <x:v>NFR-003</x:v>
      </x:c>
      <x:c r="B939" s="3" t="str">
        <x:v>UI</x:v>
      </x:c>
      <x:c r="C939" s="3" t="str">
        <x:v>Các luồng trọng yếu phải đáp ứng WCAG 2.1 AA hoặc chuẩn được stakeholder phê duyệt.</x:v>
      </x:c>
      <x:c r="D939" s="3" t="str">
        <x:v>TC_UI_186</x:v>
      </x:c>
      <x:c r="E939" s="3" t="str">
        <x:v>Preview tài liệu 1024×768</x:v>
      </x:c>
      <x:c r="F939" s="3" t="str">
        <x:v>Designed — chưa thực thi</x:v>
      </x:c>
      <x:c r="G939" s="3" t="str">
        <x:v>Nguồn: frontend/src/features/resources/components/ResourcesExplorer.tsx; admin/src/app/styles.css.  Baseline: docs/ba/02-requirements/VGG_REQ-WORKBOOK_v0.1_2026-09-04.xlsx / Requirements; Chuẩn và phạm vi audit cần xác nhận</x:v>
      </x:c>
    </x:row>
    <x:row r="940" ht="49" customHeight="1">
      <x:c r="A940" s="3" t="str">
        <x:v>NFR-003</x:v>
      </x:c>
      <x:c r="B940" s="3" t="str">
        <x:v>UI</x:v>
      </x:c>
      <x:c r="C940" s="3" t="str">
        <x:v>Các luồng trọng yếu phải đáp ứng WCAG 2.1 AA hoặc chuẩn được stakeholder phê duyệt.</x:v>
      </x:c>
      <x:c r="D940" s="3" t="str">
        <x:v>TC_UI_187</x:v>
      </x:c>
      <x:c r="E940" s="3" t="str">
        <x:v>Drawer upload 1024×768</x:v>
      </x:c>
      <x:c r="F940" s="3" t="str">
        <x:v>Designed — chưa thực thi</x:v>
      </x:c>
      <x:c r="G940" s="3" t="str">
        <x:v>Nguồn: frontend/src/features/resources/components/ResourcesExplorer.tsx; admin/src/app/styles.css.  Baseline: docs/ba/02-requirements/VGG_REQ-WORKBOOK_v0.1_2026-09-04.xlsx / Requirements; Chuẩn và phạm vi audit cần xác nhận</x:v>
      </x:c>
    </x:row>
    <x:row r="941" ht="49" customHeight="1">
      <x:c r="A941" s="3" t="str">
        <x:v>NFR-003</x:v>
      </x:c>
      <x:c r="B941" s="3" t="str">
        <x:v>UI</x:v>
      </x:c>
      <x:c r="C941" s="3" t="str">
        <x:v>Các luồng trọng yếu phải đáp ứng WCAG 2.1 AA hoặc chuẩn được stakeholder phê duyệt.</x:v>
      </x:c>
      <x:c r="D941" s="3" t="str">
        <x:v>TC_UI_188</x:v>
      </x:c>
      <x:c r="E941" s="3" t="str">
        <x:v>Hồ sơ 1024×768</x:v>
      </x:c>
      <x:c r="F941" s="3" t="str">
        <x:v>Designed — chưa thực thi</x:v>
      </x:c>
      <x:c r="G941" s="3" t="str">
        <x:v>Nguồn: frontend/src/features/resources/components/ResourcesExplorer.tsx; admin/src/app/styles.css.  Baseline: docs/ba/02-requirements/VGG_REQ-WORKBOOK_v0.1_2026-09-04.xlsx / Requirements; Chuẩn và phạm vi audit cần xác nhận</x:v>
      </x:c>
    </x:row>
    <x:row r="942" ht="36" customHeight="1">
      <x:c r="A942" s="3" t="str">
        <x:v>NFR-003</x:v>
      </x:c>
      <x:c r="B942" s="3" t="str">
        <x:v>UI</x:v>
      </x:c>
      <x:c r="C942" s="3" t="str">
        <x:v>Các luồng trọng yếu phải đáp ứng WCAG 2.1 AA hoặc chuẩn được stakeholder phê duyệt.</x:v>
      </x:c>
      <x:c r="D942" s="3" t="str">
        <x:v>TC_UI_189</x:v>
      </x:c>
      <x:c r="E942" s="3" t="str">
        <x:v>Menu: Keyboard</x:v>
      </x:c>
      <x:c r="F942" s="3" t="str">
        <x:v>Designed — chưa thực thi</x:v>
      </x:c>
      <x:c r="G942" s="3" t="str">
        <x:v>Nguồn: frontend/src/shared/components; admin/src/components.  Baseline: docs/ba/02-requirements/VGG_REQ-WORKBOOK_v0.1_2026-09-04.xlsx / Requirements; Chuẩn và phạm vi audit cần xác nhận</x:v>
      </x:c>
    </x:row>
    <x:row r="943" ht="36" customHeight="1">
      <x:c r="A943" s="3" t="str">
        <x:v>NFR-003</x:v>
      </x:c>
      <x:c r="B943" s="3" t="str">
        <x:v>UI</x:v>
      </x:c>
      <x:c r="C943" s="3" t="str">
        <x:v>Các luồng trọng yếu phải đáp ứng WCAG 2.1 AA hoặc chuẩn được stakeholder phê duyệt.</x:v>
      </x:c>
      <x:c r="D943" s="3" t="str">
        <x:v>TC_UI_190</x:v>
      </x:c>
      <x:c r="E943" s="3" t="str">
        <x:v>Menu: Nhãn và lỗi</x:v>
      </x:c>
      <x:c r="F943" s="3" t="str">
        <x:v>Designed — chưa thực thi</x:v>
      </x:c>
      <x:c r="G943" s="3" t="str">
        <x:v>Nguồn: frontend/src/shared/components; admin/src/components.  Baseline: docs/ba/02-requirements/VGG_REQ-WORKBOOK_v0.1_2026-09-04.xlsx / Requirements; Chuẩn và phạm vi audit cần xác nhận</x:v>
      </x:c>
    </x:row>
    <x:row r="944" ht="36" customHeight="1">
      <x:c r="A944" s="3" t="str">
        <x:v>NFR-003</x:v>
      </x:c>
      <x:c r="B944" s="3" t="str">
        <x:v>UI</x:v>
      </x:c>
      <x:c r="C944" s="3" t="str">
        <x:v>Các luồng trọng yếu phải đáp ứng WCAG 2.1 AA hoặc chuẩn được stakeholder phê duyệt.</x:v>
      </x:c>
      <x:c r="D944" s="3" t="str">
        <x:v>TC_UI_191</x:v>
      </x:c>
      <x:c r="E944" s="3" t="str">
        <x:v>Menu: Zoom 200%</x:v>
      </x:c>
      <x:c r="F944" s="3" t="str">
        <x:v>Designed — chưa thực thi</x:v>
      </x:c>
      <x:c r="G944" s="3" t="str">
        <x:v>Nguồn: frontend/src/shared/components; admin/src/components.  Baseline: docs/ba/02-requirements/VGG_REQ-WORKBOOK_v0.1_2026-09-04.xlsx / Requirements; Chuẩn và phạm vi audit cần xác nhận</x:v>
      </x:c>
    </x:row>
    <x:row r="945" ht="36" customHeight="1">
      <x:c r="A945" s="3" t="str">
        <x:v>NFR-003</x:v>
      </x:c>
      <x:c r="B945" s="3" t="str">
        <x:v>UI</x:v>
      </x:c>
      <x:c r="C945" s="3" t="str">
        <x:v>Các luồng trọng yếu phải đáp ứng WCAG 2.1 AA hoặc chuẩn được stakeholder phê duyệt.</x:v>
      </x:c>
      <x:c r="D945" s="3" t="str">
        <x:v>TC_UI_192</x:v>
      </x:c>
      <x:c r="E945" s="3" t="str">
        <x:v>Menu: Trạng thái nút</x:v>
      </x:c>
      <x:c r="F945" s="3" t="str">
        <x:v>Designed — chưa thực thi</x:v>
      </x:c>
      <x:c r="G945" s="3" t="str">
        <x:v>Nguồn: frontend/src/shared/components; admin/src/components.  Baseline: docs/ba/02-requirements/VGG_REQ-WORKBOOK_v0.1_2026-09-04.xlsx / Requirements; Chuẩn và phạm vi audit cần xác nhận</x:v>
      </x:c>
    </x:row>
    <x:row r="946" ht="36" customHeight="1">
      <x:c r="A946" s="3" t="str">
        <x:v>NFR-003</x:v>
      </x:c>
      <x:c r="B946" s="3" t="str">
        <x:v>UI</x:v>
      </x:c>
      <x:c r="C946" s="3" t="str">
        <x:v>Các luồng trọng yếu phải đáp ứng WCAG 2.1 AA hoặc chuẩn được stakeholder phê duyệt.</x:v>
      </x:c>
      <x:c r="D946" s="3" t="str">
        <x:v>TC_UI_193</x:v>
      </x:c>
      <x:c r="E946" s="3" t="str">
        <x:v>Form tư vấn: Keyboard</x:v>
      </x:c>
      <x:c r="F946" s="3" t="str">
        <x:v>Designed — chưa thực thi</x:v>
      </x:c>
      <x:c r="G946" s="3" t="str">
        <x:v>Nguồn: frontend/src/shared/components; admin/src/components.  Baseline: docs/ba/02-requirements/VGG_REQ-WORKBOOK_v0.1_2026-09-04.xlsx / Requirements; Chuẩn và phạm vi audit cần xác nhận</x:v>
      </x:c>
    </x:row>
    <x:row r="947" ht="36" customHeight="1">
      <x:c r="A947" s="3" t="str">
        <x:v>NFR-003</x:v>
      </x:c>
      <x:c r="B947" s="3" t="str">
        <x:v>UI</x:v>
      </x:c>
      <x:c r="C947" s="3" t="str">
        <x:v>Các luồng trọng yếu phải đáp ứng WCAG 2.1 AA hoặc chuẩn được stakeholder phê duyệt.</x:v>
      </x:c>
      <x:c r="D947" s="3" t="str">
        <x:v>TC_UI_194</x:v>
      </x:c>
      <x:c r="E947" s="3" t="str">
        <x:v>Form tư vấn: Nhãn và lỗi</x:v>
      </x:c>
      <x:c r="F947" s="3" t="str">
        <x:v>Designed — chưa thực thi</x:v>
      </x:c>
      <x:c r="G947" s="3" t="str">
        <x:v>Nguồn: frontend/src/shared/components; admin/src/components.  Baseline: docs/ba/02-requirements/VGG_REQ-WORKBOOK_v0.1_2026-09-04.xlsx / Requirements; Chuẩn và phạm vi audit cần xác nhận</x:v>
      </x:c>
    </x:row>
    <x:row r="948" ht="36" customHeight="1">
      <x:c r="A948" s="3" t="str">
        <x:v>NFR-003</x:v>
      </x:c>
      <x:c r="B948" s="3" t="str">
        <x:v>UI</x:v>
      </x:c>
      <x:c r="C948" s="3" t="str">
        <x:v>Các luồng trọng yếu phải đáp ứng WCAG 2.1 AA hoặc chuẩn được stakeholder phê duyệt.</x:v>
      </x:c>
      <x:c r="D948" s="3" t="str">
        <x:v>TC_UI_195</x:v>
      </x:c>
      <x:c r="E948" s="3" t="str">
        <x:v>Form tư vấn: Zoom 200%</x:v>
      </x:c>
      <x:c r="F948" s="3" t="str">
        <x:v>Designed — chưa thực thi</x:v>
      </x:c>
      <x:c r="G948" s="3" t="str">
        <x:v>Nguồn: frontend/src/shared/components; admin/src/components.  Baseline: docs/ba/02-requirements/VGG_REQ-WORKBOOK_v0.1_2026-09-04.xlsx / Requirements; Chuẩn và phạm vi audit cần xác nhận</x:v>
      </x:c>
    </x:row>
    <x:row r="949" ht="36" customHeight="1">
      <x:c r="A949" s="3" t="str">
        <x:v>NFR-003</x:v>
      </x:c>
      <x:c r="B949" s="3" t="str">
        <x:v>UI</x:v>
      </x:c>
      <x:c r="C949" s="3" t="str">
        <x:v>Các luồng trọng yếu phải đáp ứng WCAG 2.1 AA hoặc chuẩn được stakeholder phê duyệt.</x:v>
      </x:c>
      <x:c r="D949" s="3" t="str">
        <x:v>TC_UI_196</x:v>
      </x:c>
      <x:c r="E949" s="3" t="str">
        <x:v>Form tư vấn: Trạng thái nút</x:v>
      </x:c>
      <x:c r="F949" s="3" t="str">
        <x:v>Designed — chưa thực thi</x:v>
      </x:c>
      <x:c r="G949" s="3" t="str">
        <x:v>Nguồn: frontend/src/shared/components; admin/src/components.  Baseline: docs/ba/02-requirements/VGG_REQ-WORKBOOK_v0.1_2026-09-04.xlsx / Requirements; Chuẩn và phạm vi audit cần xác nhận</x:v>
      </x:c>
    </x:row>
    <x:row r="950" ht="36" customHeight="1">
      <x:c r="A950" s="3" t="str">
        <x:v>NFR-003</x:v>
      </x:c>
      <x:c r="B950" s="3" t="str">
        <x:v>UI</x:v>
      </x:c>
      <x:c r="C950" s="3" t="str">
        <x:v>Các luồng trọng yếu phải đáp ứng WCAG 2.1 AA hoặc chuẩn được stakeholder phê duyệt.</x:v>
      </x:c>
      <x:c r="D950" s="3" t="str">
        <x:v>TC_UI_197</x:v>
      </x:c>
      <x:c r="E950" s="3" t="str">
        <x:v>Editor: Keyboard</x:v>
      </x:c>
      <x:c r="F950" s="3" t="str">
        <x:v>Designed — chưa thực thi</x:v>
      </x:c>
      <x:c r="G950" s="3" t="str">
        <x:v>Nguồn: frontend/src/shared/components; admin/src/components.  Baseline: docs/ba/02-requirements/VGG_REQ-WORKBOOK_v0.1_2026-09-04.xlsx / Requirements; Chuẩn và phạm vi audit cần xác nhận</x:v>
      </x:c>
    </x:row>
    <x:row r="951" ht="36" customHeight="1">
      <x:c r="A951" s="3" t="str">
        <x:v>NFR-003</x:v>
      </x:c>
      <x:c r="B951" s="3" t="str">
        <x:v>UI</x:v>
      </x:c>
      <x:c r="C951" s="3" t="str">
        <x:v>Các luồng trọng yếu phải đáp ứng WCAG 2.1 AA hoặc chuẩn được stakeholder phê duyệt.</x:v>
      </x:c>
      <x:c r="D951" s="3" t="str">
        <x:v>TC_UI_198</x:v>
      </x:c>
      <x:c r="E951" s="3" t="str">
        <x:v>Editor: Nhãn và lỗi</x:v>
      </x:c>
      <x:c r="F951" s="3" t="str">
        <x:v>Designed — chưa thực thi</x:v>
      </x:c>
      <x:c r="G951" s="3" t="str">
        <x:v>Nguồn: frontend/src/shared/components; admin/src/components.  Baseline: docs/ba/02-requirements/VGG_REQ-WORKBOOK_v0.1_2026-09-04.xlsx / Requirements; Chuẩn và phạm vi audit cần xác nhận</x:v>
      </x:c>
    </x:row>
    <x:row r="952" ht="36" customHeight="1">
      <x:c r="A952" s="3" t="str">
        <x:v>NFR-003</x:v>
      </x:c>
      <x:c r="B952" s="3" t="str">
        <x:v>UI</x:v>
      </x:c>
      <x:c r="C952" s="3" t="str">
        <x:v>Các luồng trọng yếu phải đáp ứng WCAG 2.1 AA hoặc chuẩn được stakeholder phê duyệt.</x:v>
      </x:c>
      <x:c r="D952" s="3" t="str">
        <x:v>TC_UI_199</x:v>
      </x:c>
      <x:c r="E952" s="3" t="str">
        <x:v>Editor: Zoom 200%</x:v>
      </x:c>
      <x:c r="F952" s="3" t="str">
        <x:v>Designed — chưa thực thi</x:v>
      </x:c>
      <x:c r="G952" s="3" t="str">
        <x:v>Nguồn: frontend/src/shared/components; admin/src/components.  Baseline: docs/ba/02-requirements/VGG_REQ-WORKBOOK_v0.1_2026-09-04.xlsx / Requirements; Chuẩn và phạm vi audit cần xác nhận</x:v>
      </x:c>
    </x:row>
    <x:row r="953" ht="36" customHeight="1">
      <x:c r="A953" s="3" t="str">
        <x:v>NFR-003</x:v>
      </x:c>
      <x:c r="B953" s="3" t="str">
        <x:v>UI</x:v>
      </x:c>
      <x:c r="C953" s="3" t="str">
        <x:v>Các luồng trọng yếu phải đáp ứng WCAG 2.1 AA hoặc chuẩn được stakeholder phê duyệt.</x:v>
      </x:c>
      <x:c r="D953" s="3" t="str">
        <x:v>TC_UI_200</x:v>
      </x:c>
      <x:c r="E953" s="3" t="str">
        <x:v>Editor: Trạng thái nút</x:v>
      </x:c>
      <x:c r="F953" s="3" t="str">
        <x:v>Designed — chưa thực thi</x:v>
      </x:c>
      <x:c r="G953" s="3" t="str">
        <x:v>Nguồn: frontend/src/shared/components; admin/src/components.  Baseline: docs/ba/02-requirements/VGG_REQ-WORKBOOK_v0.1_2026-09-04.xlsx / Requirements; Chuẩn và phạm vi audit cần xác nhận</x:v>
      </x:c>
    </x:row>
    <x:row r="954" ht="36" customHeight="1">
      <x:c r="A954" s="3" t="str">
        <x:v>NFR-003</x:v>
      </x:c>
      <x:c r="B954" s="3" t="str">
        <x:v>UI</x:v>
      </x:c>
      <x:c r="C954" s="3" t="str">
        <x:v>Các luồng trọng yếu phải đáp ứng WCAG 2.1 AA hoặc chuẩn được stakeholder phê duyệt.</x:v>
      </x:c>
      <x:c r="D954" s="3" t="str">
        <x:v>TC_UI_201</x:v>
      </x:c>
      <x:c r="E954" s="3" t="str">
        <x:v>Drawer tài nguyên: Keyboard</x:v>
      </x:c>
      <x:c r="F954" s="3" t="str">
        <x:v>Designed — chưa thực thi</x:v>
      </x:c>
      <x:c r="G954" s="3" t="str">
        <x:v>Nguồn: frontend/src/shared/components; admin/src/components.  Baseline: docs/ba/02-requirements/VGG_REQ-WORKBOOK_v0.1_2026-09-04.xlsx / Requirements; Chuẩn và phạm vi audit cần xác nhận</x:v>
      </x:c>
    </x:row>
    <x:row r="955" ht="36" customHeight="1">
      <x:c r="A955" s="3" t="str">
        <x:v>NFR-003</x:v>
      </x:c>
      <x:c r="B955" s="3" t="str">
        <x:v>UI</x:v>
      </x:c>
      <x:c r="C955" s="3" t="str">
        <x:v>Các luồng trọng yếu phải đáp ứng WCAG 2.1 AA hoặc chuẩn được stakeholder phê duyệt.</x:v>
      </x:c>
      <x:c r="D955" s="3" t="str">
        <x:v>TC_UI_202</x:v>
      </x:c>
      <x:c r="E955" s="3" t="str">
        <x:v>Drawer tài nguyên: Nhãn và lỗi</x:v>
      </x:c>
      <x:c r="F955" s="3" t="str">
        <x:v>Designed — chưa thực thi</x:v>
      </x:c>
      <x:c r="G955" s="3" t="str">
        <x:v>Nguồn: frontend/src/shared/components; admin/src/components.  Baseline: docs/ba/02-requirements/VGG_REQ-WORKBOOK_v0.1_2026-09-04.xlsx / Requirements; Chuẩn và phạm vi audit cần xác nhận</x:v>
      </x:c>
    </x:row>
    <x:row r="956" ht="36" customHeight="1">
      <x:c r="A956" s="3" t="str">
        <x:v>NFR-003</x:v>
      </x:c>
      <x:c r="B956" s="3" t="str">
        <x:v>UI</x:v>
      </x:c>
      <x:c r="C956" s="3" t="str">
        <x:v>Các luồng trọng yếu phải đáp ứng WCAG 2.1 AA hoặc chuẩn được stakeholder phê duyệt.</x:v>
      </x:c>
      <x:c r="D956" s="3" t="str">
        <x:v>TC_UI_203</x:v>
      </x:c>
      <x:c r="E956" s="3" t="str">
        <x:v>Drawer tài nguyên: Zoom 200%</x:v>
      </x:c>
      <x:c r="F956" s="3" t="str">
        <x:v>Designed — chưa thực thi</x:v>
      </x:c>
      <x:c r="G956" s="3" t="str">
        <x:v>Nguồn: frontend/src/shared/components; admin/src/components.  Baseline: docs/ba/02-requirements/VGG_REQ-WORKBOOK_v0.1_2026-09-04.xlsx / Requirements; Chuẩn và phạm vi audit cần xác nhận</x:v>
      </x:c>
    </x:row>
    <x:row r="957" ht="36" customHeight="1">
      <x:c r="A957" s="3" t="str">
        <x:v>NFR-003</x:v>
      </x:c>
      <x:c r="B957" s="3" t="str">
        <x:v>UI</x:v>
      </x:c>
      <x:c r="C957" s="3" t="str">
        <x:v>Các luồng trọng yếu phải đáp ứng WCAG 2.1 AA hoặc chuẩn được stakeholder phê duyệt.</x:v>
      </x:c>
      <x:c r="D957" s="3" t="str">
        <x:v>TC_UI_204</x:v>
      </x:c>
      <x:c r="E957" s="3" t="str">
        <x:v>Drawer tài nguyên: Trạng thái nút</x:v>
      </x:c>
      <x:c r="F957" s="3" t="str">
        <x:v>Designed — chưa thực thi</x:v>
      </x:c>
      <x:c r="G957" s="3" t="str">
        <x:v>Nguồn: frontend/src/shared/components; admin/src/components.  Baseline: docs/ba/02-requirements/VGG_REQ-WORKBOOK_v0.1_2026-09-04.xlsx / Requirements; Chuẩn và phạm vi audit cần xác nhận</x:v>
      </x:c>
    </x:row>
    <x:row r="958" ht="36" customHeight="1">
      <x:c r="A958" s="3" t="str">
        <x:v>NFR-003</x:v>
      </x:c>
      <x:c r="B958" s="3" t="str">
        <x:v>UI</x:v>
      </x:c>
      <x:c r="C958" s="3" t="str">
        <x:v>Các luồng trọng yếu phải đáp ứng WCAG 2.1 AA hoặc chuẩn được stakeholder phê duyệt.</x:v>
      </x:c>
      <x:c r="D958" s="3" t="str">
        <x:v>TC_UI_205</x:v>
      </x:c>
      <x:c r="E958" s="3" t="str">
        <x:v>Đăng nhập: Keyboard</x:v>
      </x:c>
      <x:c r="F958" s="3" t="str">
        <x:v>Designed — chưa thực thi</x:v>
      </x:c>
      <x:c r="G958" s="3" t="str">
        <x:v>Nguồn: frontend/src/shared/components; admin/src/components.  Baseline: docs/ba/02-requirements/VGG_REQ-WORKBOOK_v0.1_2026-09-04.xlsx / Requirements; Chuẩn và phạm vi audit cần xác nhận</x:v>
      </x:c>
    </x:row>
    <x:row r="959" ht="36" customHeight="1">
      <x:c r="A959" s="3" t="str">
        <x:v>NFR-003</x:v>
      </x:c>
      <x:c r="B959" s="3" t="str">
        <x:v>UI</x:v>
      </x:c>
      <x:c r="C959" s="3" t="str">
        <x:v>Các luồng trọng yếu phải đáp ứng WCAG 2.1 AA hoặc chuẩn được stakeholder phê duyệt.</x:v>
      </x:c>
      <x:c r="D959" s="3" t="str">
        <x:v>TC_UI_206</x:v>
      </x:c>
      <x:c r="E959" s="3" t="str">
        <x:v>Đăng nhập: Nhãn và lỗi</x:v>
      </x:c>
      <x:c r="F959" s="3" t="str">
        <x:v>Designed — chưa thực thi</x:v>
      </x:c>
      <x:c r="G959" s="3" t="str">
        <x:v>Nguồn: frontend/src/shared/components; admin/src/components.  Baseline: docs/ba/02-requirements/VGG_REQ-WORKBOOK_v0.1_2026-09-04.xlsx / Requirements; Chuẩn và phạm vi audit cần xác nhận</x:v>
      </x:c>
    </x:row>
    <x:row r="960" ht="36" customHeight="1">
      <x:c r="A960" s="3" t="str">
        <x:v>NFR-003</x:v>
      </x:c>
      <x:c r="B960" s="3" t="str">
        <x:v>UI</x:v>
      </x:c>
      <x:c r="C960" s="3" t="str">
        <x:v>Các luồng trọng yếu phải đáp ứng WCAG 2.1 AA hoặc chuẩn được stakeholder phê duyệt.</x:v>
      </x:c>
      <x:c r="D960" s="3" t="str">
        <x:v>TC_UI_207</x:v>
      </x:c>
      <x:c r="E960" s="3" t="str">
        <x:v>Đăng nhập: Zoom 200%</x:v>
      </x:c>
      <x:c r="F960" s="3" t="str">
        <x:v>Designed — chưa thực thi</x:v>
      </x:c>
      <x:c r="G960" s="3" t="str">
        <x:v>Nguồn: frontend/src/shared/components; admin/src/components.  Baseline: docs/ba/02-requirements/VGG_REQ-WORKBOOK_v0.1_2026-09-04.xlsx / Requirements; Chuẩn và phạm vi audit cần xác nhận</x:v>
      </x:c>
    </x:row>
    <x:row r="961" ht="36" customHeight="1">
      <x:c r="A961" s="3" t="str">
        <x:v>NFR-003</x:v>
      </x:c>
      <x:c r="B961" s="3" t="str">
        <x:v>UI</x:v>
      </x:c>
      <x:c r="C961" s="3" t="str">
        <x:v>Các luồng trọng yếu phải đáp ứng WCAG 2.1 AA hoặc chuẩn được stakeholder phê duyệt.</x:v>
      </x:c>
      <x:c r="D961" s="3" t="str">
        <x:v>TC_UI_208</x:v>
      </x:c>
      <x:c r="E961" s="3" t="str">
        <x:v>Đăng nhập: Trạng thái nút</x:v>
      </x:c>
      <x:c r="F961" s="3" t="str">
        <x:v>Designed — chưa thực thi</x:v>
      </x:c>
      <x:c r="G961" s="3" t="str">
        <x:v>Nguồn: frontend/src/shared/components; admin/src/components.  Baseline: docs/ba/02-requirements/VGG_REQ-WORKBOOK_v0.1_2026-09-04.xlsx / Requirements; Chuẩn và phạm vi audit cần xác nhận</x:v>
      </x:c>
    </x:row>
    <x:row r="962" ht="36" customHeight="1">
      <x:c r="A962" s="3" t="str">
        <x:v>NFR-003</x:v>
      </x:c>
      <x:c r="B962" s="3" t="str">
        <x:v>UI</x:v>
      </x:c>
      <x:c r="C962" s="3" t="str">
        <x:v>Các luồng trọng yếu phải đáp ứng WCAG 2.1 AA hoặc chuẩn được stakeholder phê duyệt.</x:v>
      </x:c>
      <x:c r="D962" s="3" t="str">
        <x:v>TC_UI_209</x:v>
      </x:c>
      <x:c r="E962" s="3" t="str">
        <x:v>Hồ sơ: Keyboard</x:v>
      </x:c>
      <x:c r="F962" s="3" t="str">
        <x:v>Designed — chưa thực thi</x:v>
      </x:c>
      <x:c r="G962" s="3" t="str">
        <x:v>Nguồn: frontend/src/shared/components; admin/src/components.  Baseline: docs/ba/02-requirements/VGG_REQ-WORKBOOK_v0.1_2026-09-04.xlsx / Requirements; Chuẩn và phạm vi audit cần xác nhận</x:v>
      </x:c>
    </x:row>
    <x:row r="963" ht="36" customHeight="1">
      <x:c r="A963" s="3" t="str">
        <x:v>NFR-003</x:v>
      </x:c>
      <x:c r="B963" s="3" t="str">
        <x:v>UI</x:v>
      </x:c>
      <x:c r="C963" s="3" t="str">
        <x:v>Các luồng trọng yếu phải đáp ứng WCAG 2.1 AA hoặc chuẩn được stakeholder phê duyệt.</x:v>
      </x:c>
      <x:c r="D963" s="3" t="str">
        <x:v>TC_UI_210</x:v>
      </x:c>
      <x:c r="E963" s="3" t="str">
        <x:v>Hồ sơ: Nhãn và lỗi</x:v>
      </x:c>
      <x:c r="F963" s="3" t="str">
        <x:v>Designed — chưa thực thi</x:v>
      </x:c>
      <x:c r="G963" s="3" t="str">
        <x:v>Nguồn: frontend/src/shared/components; admin/src/components.  Baseline: docs/ba/02-requirements/VGG_REQ-WORKBOOK_v0.1_2026-09-04.xlsx / Requirements; Chuẩn và phạm vi audit cần xác nhận</x:v>
      </x:c>
    </x:row>
    <x:row r="964" ht="36" customHeight="1">
      <x:c r="A964" s="3" t="str">
        <x:v>NFR-003</x:v>
      </x:c>
      <x:c r="B964" s="3" t="str">
        <x:v>UI</x:v>
      </x:c>
      <x:c r="C964" s="3" t="str">
        <x:v>Các luồng trọng yếu phải đáp ứng WCAG 2.1 AA hoặc chuẩn được stakeholder phê duyệt.</x:v>
      </x:c>
      <x:c r="D964" s="3" t="str">
        <x:v>TC_UI_211</x:v>
      </x:c>
      <x:c r="E964" s="3" t="str">
        <x:v>Hồ sơ: Zoom 200%</x:v>
      </x:c>
      <x:c r="F964" s="3" t="str">
        <x:v>Designed — chưa thực thi</x:v>
      </x:c>
      <x:c r="G964" s="3" t="str">
        <x:v>Nguồn: frontend/src/shared/components; admin/src/components.  Baseline: docs/ba/02-requirements/VGG_REQ-WORKBOOK_v0.1_2026-09-04.xlsx / Requirements; Chuẩn và phạm vi audit cần xác nhận</x:v>
      </x:c>
    </x:row>
    <x:row r="965" ht="36" customHeight="1">
      <x:c r="A965" s="3" t="str">
        <x:v>NFR-003</x:v>
      </x:c>
      <x:c r="B965" s="3" t="str">
        <x:v>UI</x:v>
      </x:c>
      <x:c r="C965" s="3" t="str">
        <x:v>Các luồng trọng yếu phải đáp ứng WCAG 2.1 AA hoặc chuẩn được stakeholder phê duyệt.</x:v>
      </x:c>
      <x:c r="D965" s="3" t="str">
        <x:v>TC_UI_212</x:v>
      </x:c>
      <x:c r="E965" s="3" t="str">
        <x:v>Hồ sơ: Trạng thái nút</x:v>
      </x:c>
      <x:c r="F965" s="3" t="str">
        <x:v>Designed — chưa thực thi</x:v>
      </x:c>
      <x:c r="G965" s="3" t="str">
        <x:v>Nguồn: frontend/src/shared/components; admin/src/components.  Baseline: docs/ba/02-requirements/VGG_REQ-WORKBOOK_v0.1_2026-09-04.xlsx / Requirements; Chuẩn và phạm vi audit cần xác nhận</x:v>
      </x:c>
    </x:row>
    <x:row r="966" ht="36" customHeight="1">
      <x:c r="A966" s="3" t="str">
        <x:v>NFR-001</x:v>
      </x:c>
      <x:c r="B966" s="3" t="str">
        <x:v>SECURITY</x:v>
      </x:c>
      <x:c r="C966" s="3" t="str">
        <x:v>Hệ thống phải áp dụng RBAC phía server, cookie HttpOnly, băm mật khẩu, CORS giới hạn, rate limit và làm sạch HTML.</x:v>
      </x:c>
      <x:c r="D966" s="3" t="str">
        <x:v>TC_SECURITY_001</x:v>
      </x:c>
      <x:c r="E966" s="3" t="str">
        <x:v>Stored XSS HTML</x:v>
      </x:c>
      <x:c r="F966" s="3" t="str">
        <x:v>Designed — chưa thực thi</x:v>
      </x:c>
      <x:c r="G966" s="3" t="str">
        <x:v>Nguồn: backend/src/modules/cms/cms.routes.ts.  Baseline: docs/ba/02-requirements/VGG_REQ-WORKBOOK_v0.1_2026-09-04.xlsx / Requirements; Tiêu chuẩn ATTT chính thức cần xác nhận</x:v>
      </x:c>
    </x:row>
    <x:row r="967" ht="36" customHeight="1">
      <x:c r="A967" s="3" t="str">
        <x:v>NFR-001</x:v>
      </x:c>
      <x:c r="B967" s="3" t="str">
        <x:v>SECURITY</x:v>
      </x:c>
      <x:c r="C967" s="3" t="str">
        <x:v>Hệ thống phải áp dụng RBAC phía server, cookie HttpOnly, băm mật khẩu, CORS giới hạn, rate limit và làm sạch HTML.</x:v>
      </x:c>
      <x:c r="D967" s="3" t="str">
        <x:v>TC_SECURITY_002</x:v>
      </x:c>
      <x:c r="E967" s="3" t="str">
        <x:v>URL javascript</x:v>
      </x:c>
      <x:c r="F967" s="3" t="str">
        <x:v>Designed — chưa thực thi</x:v>
      </x:c>
      <x:c r="G967" s="3" t="str">
        <x:v>Nguồn: backend/src/modules/cms/cms.routes.ts.  Baseline: docs/ba/02-requirements/VGG_REQ-WORKBOOK_v0.1_2026-09-04.xlsx / Requirements; Tiêu chuẩn ATTT chính thức cần xác nhận</x:v>
      </x:c>
    </x:row>
    <x:row r="968" ht="36" customHeight="1">
      <x:c r="A968" s="3" t="str">
        <x:v>NFR-001</x:v>
      </x:c>
      <x:c r="B968" s="3" t="str">
        <x:v>SECURITY</x:v>
      </x:c>
      <x:c r="C968" s="3" t="str">
        <x:v>Hệ thống phải áp dụng RBAC phía server, cookie HttpOnly, băm mật khẩu, CORS giới hạn, rate limit và làm sạch HTML.</x:v>
      </x:c>
      <x:c r="D968" s="3" t="str">
        <x:v>TC_SECURITY_003</x:v>
      </x:c>
      <x:c r="E968" s="3" t="str">
        <x:v>CSS URL nguy hiểm</x:v>
      </x:c>
      <x:c r="F968" s="3" t="str">
        <x:v>Designed — chưa thực thi</x:v>
      </x:c>
      <x:c r="G968" s="3" t="str">
        <x:v>Nguồn: backend/src/modules/cms/cms.routes.ts.  Baseline: docs/ba/02-requirements/VGG_REQ-WORKBOOK_v0.1_2026-09-04.xlsx / Requirements; Tiêu chuẩn ATTT chính thức cần xác nhận</x:v>
      </x:c>
    </x:row>
    <x:row r="969" ht="36" customHeight="1">
      <x:c r="A969" s="3" t="str">
        <x:v>NFR-001</x:v>
      </x:c>
      <x:c r="B969" s="3" t="str">
        <x:v>SECURITY</x:v>
      </x:c>
      <x:c r="C969" s="3" t="str">
        <x:v>Hệ thống phải áp dụng RBAC phía server, cookie HttpOnly, băm mật khẩu, CORS giới hạn, rate limit và làm sạch HTML.</x:v>
      </x:c>
      <x:c r="D969" s="3" t="str">
        <x:v>TC_SECURITY_004</x:v>
      </x:c>
      <x:c r="E969" s="3" t="str">
        <x:v>SQL injection query</x:v>
      </x:c>
      <x:c r="F969" s="3" t="str">
        <x:v>Designed — chưa thực thi</x:v>
      </x:c>
      <x:c r="G969" s="3" t="str">
        <x:v>Nguồn: backend/src/modules/cms/cms.routes.ts.  Baseline: docs/ba/02-requirements/VGG_REQ-WORKBOOK_v0.1_2026-09-04.xlsx / Requirements; Tiêu chuẩn ATTT chính thức cần xác nhận</x:v>
      </x:c>
    </x:row>
    <x:row r="970" ht="36" customHeight="1">
      <x:c r="A970" s="3" t="str">
        <x:v>NFR-001</x:v>
      </x:c>
      <x:c r="B970" s="3" t="str">
        <x:v>SECURITY</x:v>
      </x:c>
      <x:c r="C970" s="3" t="str">
        <x:v>Hệ thống phải áp dụng RBAC phía server, cookie HttpOnly, băm mật khẩu, CORS giới hạn, rate limit và làm sạch HTML.</x:v>
      </x:c>
      <x:c r="D970" s="3" t="str">
        <x:v>TC_SECURITY_005</x:v>
      </x:c>
      <x:c r="E970" s="3" t="str">
        <x:v>Traversal media</x:v>
      </x:c>
      <x:c r="F970" s="3" t="str">
        <x:v>Designed — chưa thực thi</x:v>
      </x:c>
      <x:c r="G970" s="3" t="str">
        <x:v>Nguồn: backend/src/modules/cms/cms.routes.ts.  Baseline: docs/ba/02-requirements/VGG_REQ-WORKBOOK_v0.1_2026-09-04.xlsx / Requirements; Tiêu chuẩn ATTT chính thức cần xác nhận</x:v>
      </x:c>
    </x:row>
    <x:row r="971" ht="36" customHeight="1">
      <x:c r="A971" s="3" t="str">
        <x:v>NFR-001</x:v>
      </x:c>
      <x:c r="B971" s="3" t="str">
        <x:v>SECURITY</x:v>
      </x:c>
      <x:c r="C971" s="3" t="str">
        <x:v>Hệ thống phải áp dụng RBAC phía server, cookie HttpOnly, băm mật khẩu, CORS giới hạn, rate limit và làm sạch HTML.</x:v>
      </x:c>
      <x:c r="D971" s="3" t="str">
        <x:v>TC_SECURITY_006</x:v>
      </x:c>
      <x:c r="E971" s="3" t="str">
        <x:v>SSRF file proxy</x:v>
      </x:c>
      <x:c r="F971" s="3" t="str">
        <x:v>Designed — chưa thực thi</x:v>
      </x:c>
      <x:c r="G971" s="3" t="str">
        <x:v>Nguồn: frontend/src/app/api/resources/file/route.ts.  Baseline: docs/ba/02-requirements/VGG_REQ-WORKBOOK_v0.1_2026-09-04.xlsx / Requirements; Tiêu chuẩn ATTT chính thức cần xác nhận</x:v>
      </x:c>
    </x:row>
    <x:row r="972" ht="36" customHeight="1">
      <x:c r="A972" s="3" t="str">
        <x:v>NFR-001</x:v>
      </x:c>
      <x:c r="B972" s="3" t="str">
        <x:v>SECURITY</x:v>
      </x:c>
      <x:c r="C972" s="3" t="str">
        <x:v>Hệ thống phải áp dụng RBAC phía server, cookie HttpOnly, băm mật khẩu, CORS giới hạn, rate limit và làm sạch HTML.</x:v>
      </x:c>
      <x:c r="D972" s="3" t="str">
        <x:v>TC_SECURITY_007</x:v>
      </x:c>
      <x:c r="E972" s="3" t="str">
        <x:v>Header injection tên tải</x:v>
      </x:c>
      <x:c r="F972" s="3" t="str">
        <x:v>Designed — chưa thực thi</x:v>
      </x:c>
      <x:c r="G972" s="3" t="str">
        <x:v>Nguồn: frontend/src/app/api/resources/file/route.ts.  Baseline: docs/ba/02-requirements/VGG_REQ-WORKBOOK_v0.1_2026-09-04.xlsx / Requirements; Tiêu chuẩn ATTT chính thức cần xác nhận</x:v>
      </x:c>
    </x:row>
    <x:row r="973" ht="36" customHeight="1">
      <x:c r="A973" s="3" t="str">
        <x:v>NFR-001</x:v>
      </x:c>
      <x:c r="B973" s="3" t="str">
        <x:v>SECURITY</x:v>
      </x:c>
      <x:c r="C973" s="3" t="str">
        <x:v>Hệ thống phải áp dụng RBAC phía server, cookie HttpOnly, băm mật khẩu, CORS giới hạn, rate limit và làm sạch HTML.</x:v>
      </x:c>
      <x:c r="D973" s="3" t="str">
        <x:v>TC_SECURITY_008</x:v>
      </x:c>
      <x:c r="E973" s="3" t="str">
        <x:v>Cookie production</x:v>
      </x:c>
      <x:c r="F973" s="3" t="str">
        <x:v>Designed — chưa thực thi</x:v>
      </x:c>
      <x:c r="G973" s="3" t="str">
        <x:v>Nguồn: admin/src/lib/auth/session.ts.  Baseline: docs/ba/02-requirements/VGG_REQ-WORKBOOK_v0.1_2026-09-04.xlsx / Requirements; Tiêu chuẩn ATTT chính thức cần xác nhận</x:v>
      </x:c>
    </x:row>
    <x:row r="974" ht="36" customHeight="1">
      <x:c r="A974" s="3" t="str">
        <x:v>NFR-001</x:v>
      </x:c>
      <x:c r="B974" s="3" t="str">
        <x:v>SECURITY</x:v>
      </x:c>
      <x:c r="C974" s="3" t="str">
        <x:v>Hệ thống phải áp dụng RBAC phía server, cookie HttpOnly, băm mật khẩu, CORS giới hạn, rate limit và làm sạch HTML.</x:v>
      </x:c>
      <x:c r="D974" s="3" t="str">
        <x:v>TC_SECURITY_009</x:v>
      </x:c>
      <x:c r="E974" s="3" t="str">
        <x:v>Hash trong DB</x:v>
      </x:c>
      <x:c r="F974" s="3" t="str">
        <x:v>Designed — chưa thực thi</x:v>
      </x:c>
      <x:c r="G974" s="3" t="str">
        <x:v>Nguồn: backend/prisma/schema.prisma.  Baseline: docs/ba/02-requirements/VGG_REQ-WORKBOOK_v0.1_2026-09-04.xlsx / Requirements; Tiêu chuẩn ATTT chính thức cần xác nhận</x:v>
      </x:c>
    </x:row>
    <x:row r="975" ht="36" customHeight="1">
      <x:c r="A975" s="3" t="str">
        <x:v>NFR-001</x:v>
      </x:c>
      <x:c r="B975" s="3" t="str">
        <x:v>SECURITY</x:v>
      </x:c>
      <x:c r="C975" s="3" t="str">
        <x:v>Hệ thống phải áp dụng RBAC phía server, cookie HttpOnly, băm mật khẩu, CORS giới hạn, rate limit và làm sạch HTML.</x:v>
      </x:c>
      <x:c r="D975" s="3" t="str">
        <x:v>TC_SECURITY_010</x:v>
      </x:c>
      <x:c r="E975" s="3" t="str">
        <x:v>CORS lạ</x:v>
      </x:c>
      <x:c r="F975" s="3" t="str">
        <x:v>Designed — chưa thực thi</x:v>
      </x:c>
      <x:c r="G975" s="3" t="str">
        <x:v>Nguồn: backend/src/app.ts.  Baseline: docs/ba/02-requirements/VGG_REQ-WORKBOOK_v0.1_2026-09-04.xlsx / Requirements; Tiêu chuẩn ATTT chính thức cần xác nhận</x:v>
      </x:c>
    </x:row>
    <x:row r="976" ht="36" customHeight="1">
      <x:c r="A976" s="3" t="str">
        <x:v>NFR-001</x:v>
      </x:c>
      <x:c r="B976" s="3" t="str">
        <x:v>SECURITY</x:v>
      </x:c>
      <x:c r="C976" s="3" t="str">
        <x:v>Hệ thống phải áp dụng RBAC phía server, cookie HttpOnly, băm mật khẩu, CORS giới hạn, rate limit và làm sạch HTML.</x:v>
      </x:c>
      <x:c r="D976" s="3" t="str">
        <x:v>TC_SECURITY_011</x:v>
      </x:c>
      <x:c r="E976" s="3" t="str">
        <x:v>CSRF admin</x:v>
      </x:c>
      <x:c r="F976" s="3" t="str">
        <x:v>Designed — chưa thực thi</x:v>
      </x:c>
      <x:c r="G976" s="3" t="str">
        <x:v>Nguồn: admin/src/lib/auth/request.ts.  Baseline: docs/ba/02-requirements/VGG_REQ-WORKBOOK_v0.1_2026-09-04.xlsx / Requirements; Tiêu chuẩn ATTT chính thức cần xác nhận</x:v>
      </x:c>
    </x:row>
    <x:row r="977" ht="36" customHeight="1">
      <x:c r="A977" s="3" t="str">
        <x:v>NFR-001</x:v>
      </x:c>
      <x:c r="B977" s="3" t="str">
        <x:v>SECURITY</x:v>
      </x:c>
      <x:c r="C977" s="3" t="str">
        <x:v>Hệ thống phải áp dụng RBAC phía server, cookie HttpOnly, băm mật khẩu, CORS giới hạn, rate limit và làm sạch HTML.</x:v>
      </x:c>
      <x:c r="D977" s="3" t="str">
        <x:v>TC_SECURITY_012</x:v>
      </x:c>
      <x:c r="E977" s="3" t="str">
        <x:v>CSRF không Origin</x:v>
      </x:c>
      <x:c r="F977" s="3" t="str">
        <x:v>Designed — chưa thực thi</x:v>
      </x:c>
      <x:c r="G977" s="3" t="str">
        <x:v>Nguồn: admin/src/lib/auth/request.ts.  Baseline: docs/ba/02-requirements/VGG_REQ-WORKBOOK_v0.1_2026-09-04.xlsx / Requirements; Tiêu chuẩn ATTT chính thức cần xác nhận</x:v>
      </x:c>
    </x:row>
    <x:row r="978" ht="36" customHeight="1">
      <x:c r="A978" s="3" t="str">
        <x:v>NFR-001</x:v>
      </x:c>
      <x:c r="B978" s="3" t="str">
        <x:v>SECURITY</x:v>
      </x:c>
      <x:c r="C978" s="3" t="str">
        <x:v>Hệ thống phải áp dụng RBAC phía server, cookie HttpOnly, băm mật khẩu, CORS giới hạn, rate limit và làm sạch HTML.</x:v>
      </x:c>
      <x:c r="D978" s="3" t="str">
        <x:v>TC_SECURITY_013</x:v>
      </x:c>
      <x:c r="E978" s="3" t="str">
        <x:v>Mass assignment</x:v>
      </x:c>
      <x:c r="F978" s="3" t="str">
        <x:v>Designed — chưa thực thi</x:v>
      </x:c>
      <x:c r="G978" s="3" t="str">
        <x:v>Nguồn: admin/src/lib/auth/schemas.ts.  Baseline: docs/ba/02-requirements/VGG_REQ-WORKBOOK_v0.1_2026-09-04.xlsx / Requirements; Tiêu chuẩn ATTT chính thức cần xác nhận</x:v>
      </x:c>
    </x:row>
    <x:row r="979" ht="36" customHeight="1">
      <x:c r="A979" s="3" t="str">
        <x:v>NFR-001</x:v>
      </x:c>
      <x:c r="B979" s="3" t="str">
        <x:v>SECURITY</x:v>
      </x:c>
      <x:c r="C979" s="3" t="str">
        <x:v>Hệ thống phải áp dụng RBAC phía server, cookie HttpOnly, băm mật khẩu, CORS giới hạn, rate limit và làm sạch HTML.</x:v>
      </x:c>
      <x:c r="D979" s="3" t="str">
        <x:v>TC_SECURITY_014</x:v>
      </x:c>
      <x:c r="E979" s="3" t="str">
        <x:v>Password hash response</x:v>
      </x:c>
      <x:c r="F979" s="3" t="str">
        <x:v>Designed — chưa thực thi</x:v>
      </x:c>
      <x:c r="G979" s="3" t="str">
        <x:v>Nguồn: admin/src/app/api/admin/users/route.ts.  Baseline: docs/ba/02-requirements/VGG_REQ-WORKBOOK_v0.1_2026-09-04.xlsx / Requirements; Tiêu chuẩn ATTT chính thức cần xác nhận</x:v>
      </x:c>
    </x:row>
    <x:row r="980" ht="36" customHeight="1">
      <x:c r="A980" s="3" t="str">
        <x:v>NFR-001</x:v>
      </x:c>
      <x:c r="B980" s="3" t="str">
        <x:v>SECURITY</x:v>
      </x:c>
      <x:c r="C980" s="3" t="str">
        <x:v>Hệ thống phải áp dụng RBAC phía server, cookie HttpOnly, băm mật khẩu, CORS giới hạn, rate limit và làm sạch HTML.</x:v>
      </x:c>
      <x:c r="D980" s="3" t="str">
        <x:v>TC_SECURITY_015</x:v>
      </x:c>
      <x:c r="E980" s="3" t="str">
        <x:v>Storage error leak</x:v>
      </x:c>
      <x:c r="F980" s="3" t="str">
        <x:v>Designed — chưa thực thi</x:v>
      </x:c>
      <x:c r="G980" s="3" t="str">
        <x:v>Nguồn: admin/src/app/api/cms/upload-resource/route.ts.  Baseline: docs/ba/02-requirements/VGG_REQ-WORKBOOK_v0.1_2026-09-04.xlsx / Requirements; Tiêu chuẩn ATTT chính thức cần xác nhận</x:v>
      </x:c>
    </x:row>
    <x:row r="981" ht="36" customHeight="1">
      <x:c r="A981" s="3" t="str">
        <x:v>NFR-001</x:v>
      </x:c>
      <x:c r="B981" s="3" t="str">
        <x:v>SECURITY</x:v>
      </x:c>
      <x:c r="C981" s="3" t="str">
        <x:v>Hệ thống phải áp dụng RBAC phía server, cookie HttpOnly, băm mật khẩu, CORS giới hạn, rate limit và làm sạch HTML.</x:v>
      </x:c>
      <x:c r="D981" s="3" t="str">
        <x:v>TC_SECURITY_016</x:v>
      </x:c>
      <x:c r="E981" s="3" t="str">
        <x:v>Role thay đổi tức thì</x:v>
      </x:c>
      <x:c r="F981" s="3" t="str">
        <x:v>Designed — chưa thực thi</x:v>
      </x:c>
      <x:c r="G981" s="3" t="str">
        <x:v>Nguồn: backend/src/modules/cms/cms.routes.ts.  Baseline: docs/ba/02-requirements/VGG_REQ-WORKBOOK_v0.1_2026-09-04.xlsx / Requirements; Tiêu chuẩn ATTT chính thức cần xác nhận</x:v>
      </x:c>
    </x:row>
    <x:row r="982" ht="36" customHeight="1">
      <x:c r="A982" s="3" t="str">
        <x:v>NFR-001</x:v>
      </x:c>
      <x:c r="B982" s="3" t="str">
        <x:v>SECURITY</x:v>
      </x:c>
      <x:c r="C982" s="3" t="str">
        <x:v>Hệ thống phải áp dụng RBAC phía server, cookie HttpOnly, băm mật khẩu, CORS giới hạn, rate limit và làm sạch HTML.</x:v>
      </x:c>
      <x:c r="D982" s="3" t="str">
        <x:v>TC_SECURITY_017</x:v>
      </x:c>
      <x:c r="E982" s="3" t="str">
        <x:v>Đổi role qua PATCH tổng quát</x:v>
      </x:c>
      <x:c r="F982" s="3" t="str">
        <x:v>Designed — chưa thực thi</x:v>
      </x:c>
      <x:c r="G982" s="3" t="str">
        <x:v>Nguồn: admin/src/app/api/admin/users/[id]/route.ts.  Baseline: docs/ba/02-requirements/VGG_REQ-WORKBOOK_v0.1_2026-09-04.xlsx / Requirements; Tiêu chuẩn ATTT chính thức cần xác nhận</x:v>
      </x:c>
    </x:row>
    <x:row r="983" ht="36" customHeight="1">
      <x:c r="A983" s="3" t="str">
        <x:v>NFR-001</x:v>
      </x:c>
      <x:c r="B983" s="3" t="str">
        <x:v>SECURITY</x:v>
      </x:c>
      <x:c r="C983" s="3" t="str">
        <x:v>Hệ thống phải áp dụng RBAC phía server, cookie HttpOnly, băm mật khẩu, CORS giới hạn, rate limit và làm sạch HTML.</x:v>
      </x:c>
      <x:c r="D983" s="3" t="str">
        <x:v>TC_SECURITY_018</x:v>
      </x:c>
      <x:c r="E983" s="3" t="str">
        <x:v>Reset token đồng thời</x:v>
      </x:c>
      <x:c r="F983" s="3" t="str">
        <x:v>Designed — chưa thực thi</x:v>
      </x:c>
      <x:c r="G983" s="3" t="str">
        <x:v>Nguồn: admin/src/app/api/admin/auth/reset-password/route.ts.  Baseline: docs/ba/02-requirements/VGG_REQ-WORKBOOK_v0.1_2026-09-04.xlsx / Requirements; Tiêu chuẩn ATTT chính thức cần xác nhận</x:v>
      </x:c>
    </x:row>
    <x:row r="984" ht="49" customHeight="1">
      <x:c r="A984" s="3" t="str">
        <x:v>NFR-001</x:v>
      </x:c>
      <x:c r="B984" s="3" t="str">
        <x:v>AUTH</x:v>
      </x:c>
      <x:c r="C984" s="3" t="str">
        <x:v>Hệ thống phải áp dụng RBAC phía server, cookie HttpOnly, băm mật khẩu, CORS giới hạn, rate limit và làm sạch HTML.</x:v>
      </x:c>
      <x:c r="D984" s="3" t="str">
        <x:v>TC_AUTH_050</x:v>
      </x:c>
      <x:c r="E984" s="3" t="str">
        <x:v>ADMIN /api/admin/auth/login: request thứ 19</x:v>
      </x:c>
      <x:c r="F984" s="3" t="str">
        <x:v>Designed — chưa thực thi</x:v>
      </x:c>
      <x:c r="G984" s="3" t="str">
        <x:v>Nguồn: admin/src/lib/auth/login-rate-limit.ts; backend/src/modules/consultations/consultations.routes.ts.  Baseline: docs/ba/02-requirements/VGG_REQ-WORKBOOK_v0.1_2026-09-04.xlsx / Requirements; Tiêu chuẩn ATTT chính thức cần xác nhận</x:v>
      </x:c>
    </x:row>
    <x:row r="985" ht="49" customHeight="1">
      <x:c r="A985" s="3" t="str">
        <x:v>NFR-001</x:v>
      </x:c>
      <x:c r="B985" s="3" t="str">
        <x:v>AUTH</x:v>
      </x:c>
      <x:c r="C985" s="3" t="str">
        <x:v>Hệ thống phải áp dụng RBAC phía server, cookie HttpOnly, băm mật khẩu, CORS giới hạn, rate limit và làm sạch HTML.</x:v>
      </x:c>
      <x:c r="D985" s="3" t="str">
        <x:v>TC_AUTH_051</x:v>
      </x:c>
      <x:c r="E985" s="3" t="str">
        <x:v>ADMIN /api/admin/auth/login: request thứ 20</x:v>
      </x:c>
      <x:c r="F985" s="3" t="str">
        <x:v>Designed — chưa thực thi</x:v>
      </x:c>
      <x:c r="G985" s="3" t="str">
        <x:v>Nguồn: admin/src/lib/auth/login-rate-limit.ts; backend/src/modules/consultations/consultations.routes.ts.  Baseline: docs/ba/02-requirements/VGG_REQ-WORKBOOK_v0.1_2026-09-04.xlsx / Requirements; Tiêu chuẩn ATTT chính thức cần xác nhận</x:v>
      </x:c>
    </x:row>
    <x:row r="986" ht="49" customHeight="1">
      <x:c r="A986" s="3" t="str">
        <x:v>NFR-001</x:v>
      </x:c>
      <x:c r="B986" s="3" t="str">
        <x:v>AUTH</x:v>
      </x:c>
      <x:c r="C986" s="3" t="str">
        <x:v>Hệ thống phải áp dụng RBAC phía server, cookie HttpOnly, băm mật khẩu, CORS giới hạn, rate limit và làm sạch HTML.</x:v>
      </x:c>
      <x:c r="D986" s="3" t="str">
        <x:v>TC_AUTH_052</x:v>
      </x:c>
      <x:c r="E986" s="3" t="str">
        <x:v>ADMIN /api/admin/auth/login: request thứ 21</x:v>
      </x:c>
      <x:c r="F986" s="3" t="str">
        <x:v>Designed — chưa thực thi</x:v>
      </x:c>
      <x:c r="G986" s="3" t="str">
        <x:v>Nguồn: admin/src/lib/auth/login-rate-limit.ts; backend/src/modules/consultations/consultations.routes.ts.  Baseline: docs/ba/02-requirements/VGG_REQ-WORKBOOK_v0.1_2026-09-04.xlsx / Requirements; Tiêu chuẩn ATTT chính thức cần xác nhận</x:v>
      </x:c>
    </x:row>
    <x:row r="987" ht="49" customHeight="1">
      <x:c r="A987" s="3" t="str">
        <x:v>NFR-001</x:v>
      </x:c>
      <x:c r="B987" s="3" t="str">
        <x:v>AUTH</x:v>
      </x:c>
      <x:c r="C987" s="3" t="str">
        <x:v>Hệ thống phải áp dụng RBAC phía server, cookie HttpOnly, băm mật khẩu, CORS giới hạn, rate limit và làm sạch HTML.</x:v>
      </x:c>
      <x:c r="D987" s="3" t="str">
        <x:v>TC_AUTH_053</x:v>
      </x:c>
      <x:c r="E987" s="3" t="str">
        <x:v>ADMIN /api/admin/auth/forgot-password: request thứ 4</x:v>
      </x:c>
      <x:c r="F987" s="3" t="str">
        <x:v>Designed — chưa thực thi</x:v>
      </x:c>
      <x:c r="G987" s="3" t="str">
        <x:v>Nguồn: admin/src/lib/auth/login-rate-limit.ts; backend/src/modules/consultations/consultations.routes.ts.  Baseline: docs/ba/02-requirements/VGG_REQ-WORKBOOK_v0.1_2026-09-04.xlsx / Requirements; Tiêu chuẩn ATTT chính thức cần xác nhận</x:v>
      </x:c>
    </x:row>
    <x:row r="988" ht="49" customHeight="1">
      <x:c r="A988" s="3" t="str">
        <x:v>NFR-001</x:v>
      </x:c>
      <x:c r="B988" s="3" t="str">
        <x:v>AUTH</x:v>
      </x:c>
      <x:c r="C988" s="3" t="str">
        <x:v>Hệ thống phải áp dụng RBAC phía server, cookie HttpOnly, băm mật khẩu, CORS giới hạn, rate limit và làm sạch HTML.</x:v>
      </x:c>
      <x:c r="D988" s="3" t="str">
        <x:v>TC_AUTH_054</x:v>
      </x:c>
      <x:c r="E988" s="3" t="str">
        <x:v>ADMIN /api/admin/auth/forgot-password: request thứ 5</x:v>
      </x:c>
      <x:c r="F988" s="3" t="str">
        <x:v>Designed — chưa thực thi</x:v>
      </x:c>
      <x:c r="G988" s="3" t="str">
        <x:v>Nguồn: admin/src/lib/auth/login-rate-limit.ts; backend/src/modules/consultations/consultations.routes.ts.  Baseline: docs/ba/02-requirements/VGG_REQ-WORKBOOK_v0.1_2026-09-04.xlsx / Requirements; Tiêu chuẩn ATTT chính thức cần xác nhận</x:v>
      </x:c>
    </x:row>
    <x:row r="989" ht="49" customHeight="1">
      <x:c r="A989" s="3" t="str">
        <x:v>NFR-001</x:v>
      </x:c>
      <x:c r="B989" s="3" t="str">
        <x:v>AUTH</x:v>
      </x:c>
      <x:c r="C989" s="3" t="str">
        <x:v>Hệ thống phải áp dụng RBAC phía server, cookie HttpOnly, băm mật khẩu, CORS giới hạn, rate limit và làm sạch HTML.</x:v>
      </x:c>
      <x:c r="D989" s="3" t="str">
        <x:v>TC_AUTH_055</x:v>
      </x:c>
      <x:c r="E989" s="3" t="str">
        <x:v>ADMIN /api/admin/auth/forgot-password: request thứ 6</x:v>
      </x:c>
      <x:c r="F989" s="3" t="str">
        <x:v>Designed — chưa thực thi</x:v>
      </x:c>
      <x:c r="G989" s="3" t="str">
        <x:v>Nguồn: admin/src/lib/auth/login-rate-limit.ts; backend/src/modules/consultations/consultations.routes.ts.  Baseline: docs/ba/02-requirements/VGG_REQ-WORKBOOK_v0.1_2026-09-04.xlsx / Requirements; Tiêu chuẩn ATTT chính thức cần xác nhận</x:v>
      </x:c>
    </x:row>
    <x:row r="990" ht="49" customHeight="1">
      <x:c r="A990" s="3" t="str">
        <x:v>NFR-001</x:v>
      </x:c>
      <x:c r="B990" s="3" t="str">
        <x:v>CONSULT</x:v>
      </x:c>
      <x:c r="C990" s="3" t="str">
        <x:v>Hệ thống phải áp dụng RBAC phía server, cookie HttpOnly, băm mật khẩu, CORS giới hạn, rate limit và làm sạch HTML.</x:v>
      </x:c>
      <x:c r="D990" s="3" t="str">
        <x:v>TC_CONSULT_089</x:v>
      </x:c>
      <x:c r="E990" s="3" t="str">
        <x:v>BACKEND /api/public/consultations: request thứ 4</x:v>
      </x:c>
      <x:c r="F990" s="3" t="str">
        <x:v>Designed — chưa thực thi</x:v>
      </x:c>
      <x:c r="G990" s="3" t="str">
        <x:v>Nguồn: admin/src/lib/auth/login-rate-limit.ts; backend/src/modules/consultations/consultations.routes.ts.  Baseline: docs/ba/02-requirements/VGG_REQ-WORKBOOK_v0.1_2026-09-04.xlsx / Requirements; Tiêu chuẩn ATTT chính thức cần xác nhận</x:v>
      </x:c>
    </x:row>
    <x:row r="991" ht="49" customHeight="1">
      <x:c r="A991" s="3" t="str">
        <x:v>NFR-001</x:v>
      </x:c>
      <x:c r="B991" s="3" t="str">
        <x:v>CONSULT</x:v>
      </x:c>
      <x:c r="C991" s="3" t="str">
        <x:v>Hệ thống phải áp dụng RBAC phía server, cookie HttpOnly, băm mật khẩu, CORS giới hạn, rate limit và làm sạch HTML.</x:v>
      </x:c>
      <x:c r="D991" s="3" t="str">
        <x:v>TC_CONSULT_090</x:v>
      </x:c>
      <x:c r="E991" s="3" t="str">
        <x:v>BACKEND /api/public/consultations: request thứ 5</x:v>
      </x:c>
      <x:c r="F991" s="3" t="str">
        <x:v>Designed — chưa thực thi</x:v>
      </x:c>
      <x:c r="G991" s="3" t="str">
        <x:v>Nguồn: admin/src/lib/auth/login-rate-limit.ts; backend/src/modules/consultations/consultations.routes.ts.  Baseline: docs/ba/02-requirements/VGG_REQ-WORKBOOK_v0.1_2026-09-04.xlsx / Requirements; Tiêu chuẩn ATTT chính thức cần xác nhận</x:v>
      </x:c>
    </x:row>
    <x:row r="992" ht="49" customHeight="1">
      <x:c r="A992" s="3" t="str">
        <x:v>NFR-001</x:v>
      </x:c>
      <x:c r="B992" s="3" t="str">
        <x:v>CONSULT</x:v>
      </x:c>
      <x:c r="C992" s="3" t="str">
        <x:v>Hệ thống phải áp dụng RBAC phía server, cookie HttpOnly, băm mật khẩu, CORS giới hạn, rate limit và làm sạch HTML.</x:v>
      </x:c>
      <x:c r="D992" s="3" t="str">
        <x:v>TC_CONSULT_091</x:v>
      </x:c>
      <x:c r="E992" s="3" t="str">
        <x:v>BACKEND /api/public/consultations: request thứ 6</x:v>
      </x:c>
      <x:c r="F992" s="3" t="str">
        <x:v>Designed — chưa thực thi</x:v>
      </x:c>
      <x:c r="G992" s="3" t="str">
        <x:v>Nguồn: admin/src/lib/auth/login-rate-limit.ts; backend/src/modules/consultations/consultations.routes.ts.  Baseline: docs/ba/02-requirements/VGG_REQ-WORKBOOK_v0.1_2026-09-04.xlsx / Requirements; Tiêu chuẩn ATTT chính thức cần xác nhận</x:v>
      </x:c>
    </x:row>
    <x:row r="993" ht="36" customHeight="1">
      <x:c r="A993" s="3" t="str">
        <x:v>AUTH-001</x:v>
      </x:c>
      <x:c r="B993" s="3" t="str">
        <x:v>AUTH</x:v>
      </x:c>
      <x:c r="C993" s="3" t="str">
        <x:v>Hệ thống phải xác thực tài khoản, trạng thái và tạo phiên bằng cookie HttpOnly.</x:v>
      </x:c>
      <x:c r="D993" s="3" t="str">
        <x:v>TC_AUTH_056</x:v>
      </x:c>
      <x:c r="E993" s="3" t="str">
        <x:v>Session thường tại hạn -1 giây</x:v>
      </x:c>
      <x:c r="F993" s="3" t="str">
        <x:v>Designed — chưa thực thi</x:v>
      </x:c>
      <x:c r="G993" s="3" t="str">
        <x:v>Nguồn: admin/src/lib/auth/session.ts; admin/src/app/api/admin/auth/reset-password/route.ts.  Baseline: docs/ba/02-requirements/VGG_REQ-WORKBOOK_v0.1_2026-09-04.xlsx / Requirements; </x:v>
      </x:c>
    </x:row>
    <x:row r="994" ht="36" customHeight="1">
      <x:c r="A994" s="3" t="str">
        <x:v>AUTH-001</x:v>
      </x:c>
      <x:c r="B994" s="3" t="str">
        <x:v>AUTH</x:v>
      </x:c>
      <x:c r="C994" s="3" t="str">
        <x:v>Hệ thống phải xác thực tài khoản, trạng thái và tạo phiên bằng cookie HttpOnly.</x:v>
      </x:c>
      <x:c r="D994" s="3" t="str">
        <x:v>TC_AUTH_057</x:v>
      </x:c>
      <x:c r="E994" s="3" t="str">
        <x:v>Session thường tại hạn +0 giây</x:v>
      </x:c>
      <x:c r="F994" s="3" t="str">
        <x:v>Designed — chưa thực thi</x:v>
      </x:c>
      <x:c r="G994" s="3" t="str">
        <x:v>Nguồn: admin/src/lib/auth/session.ts; admin/src/app/api/admin/auth/reset-password/route.ts.  Baseline: docs/ba/02-requirements/VGG_REQ-WORKBOOK_v0.1_2026-09-04.xlsx / Requirements; </x:v>
      </x:c>
    </x:row>
    <x:row r="995" ht="36" customHeight="1">
      <x:c r="A995" s="3" t="str">
        <x:v>AUTH-001</x:v>
      </x:c>
      <x:c r="B995" s="3" t="str">
        <x:v>AUTH</x:v>
      </x:c>
      <x:c r="C995" s="3" t="str">
        <x:v>Hệ thống phải xác thực tài khoản, trạng thái và tạo phiên bằng cookie HttpOnly.</x:v>
      </x:c>
      <x:c r="D995" s="3" t="str">
        <x:v>TC_AUTH_058</x:v>
      </x:c>
      <x:c r="E995" s="3" t="str">
        <x:v>Session thường tại hạn +1 giây</x:v>
      </x:c>
      <x:c r="F995" s="3" t="str">
        <x:v>Designed — chưa thực thi</x:v>
      </x:c>
      <x:c r="G995" s="3" t="str">
        <x:v>Nguồn: admin/src/lib/auth/session.ts; admin/src/app/api/admin/auth/reset-password/route.ts.  Baseline: docs/ba/02-requirements/VGG_REQ-WORKBOOK_v0.1_2026-09-04.xlsx / Requirements; </x:v>
      </x:c>
    </x:row>
    <x:row r="996" ht="36" customHeight="1">
      <x:c r="A996" s="3" t="str">
        <x:v>AUTH-001</x:v>
      </x:c>
      <x:c r="B996" s="3" t="str">
        <x:v>AUTH</x:v>
      </x:c>
      <x:c r="C996" s="3" t="str">
        <x:v>Hệ thống phải xác thực tài khoản, trạng thái và tạo phiên bằng cookie HttpOnly.</x:v>
      </x:c>
      <x:c r="D996" s="3" t="str">
        <x:v>TC_AUTH_059</x:v>
      </x:c>
      <x:c r="E996" s="3" t="str">
        <x:v>Session remember tại hạn -1 giây</x:v>
      </x:c>
      <x:c r="F996" s="3" t="str">
        <x:v>Designed — chưa thực thi</x:v>
      </x:c>
      <x:c r="G996" s="3" t="str">
        <x:v>Nguồn: admin/src/lib/auth/session.ts; admin/src/app/api/admin/auth/reset-password/route.ts.  Baseline: docs/ba/02-requirements/VGG_REQ-WORKBOOK_v0.1_2026-09-04.xlsx / Requirements; </x:v>
      </x:c>
    </x:row>
    <x:row r="997" ht="36" customHeight="1">
      <x:c r="A997" s="3" t="str">
        <x:v>AUTH-001</x:v>
      </x:c>
      <x:c r="B997" s="3" t="str">
        <x:v>AUTH</x:v>
      </x:c>
      <x:c r="C997" s="3" t="str">
        <x:v>Hệ thống phải xác thực tài khoản, trạng thái và tạo phiên bằng cookie HttpOnly.</x:v>
      </x:c>
      <x:c r="D997" s="3" t="str">
        <x:v>TC_AUTH_060</x:v>
      </x:c>
      <x:c r="E997" s="3" t="str">
        <x:v>Session remember tại hạn +0 giây</x:v>
      </x:c>
      <x:c r="F997" s="3" t="str">
        <x:v>Designed — chưa thực thi</x:v>
      </x:c>
      <x:c r="G997" s="3" t="str">
        <x:v>Nguồn: admin/src/lib/auth/session.ts; admin/src/app/api/admin/auth/reset-password/route.ts.  Baseline: docs/ba/02-requirements/VGG_REQ-WORKBOOK_v0.1_2026-09-04.xlsx / Requirements; </x:v>
      </x:c>
    </x:row>
    <x:row r="998" ht="36" customHeight="1">
      <x:c r="A998" s="3" t="str">
        <x:v>AUTH-001</x:v>
      </x:c>
      <x:c r="B998" s="3" t="str">
        <x:v>AUTH</x:v>
      </x:c>
      <x:c r="C998" s="3" t="str">
        <x:v>Hệ thống phải xác thực tài khoản, trạng thái và tạo phiên bằng cookie HttpOnly.</x:v>
      </x:c>
      <x:c r="D998" s="3" t="str">
        <x:v>TC_AUTH_061</x:v>
      </x:c>
      <x:c r="E998" s="3" t="str">
        <x:v>Session remember tại hạn +1 giây</x:v>
      </x:c>
      <x:c r="F998" s="3" t="str">
        <x:v>Designed — chưa thực thi</x:v>
      </x:c>
      <x:c r="G998" s="3" t="str">
        <x:v>Nguồn: admin/src/lib/auth/session.ts; admin/src/app/api/admin/auth/reset-password/route.ts.  Baseline: docs/ba/02-requirements/VGG_REQ-WORKBOOK_v0.1_2026-09-04.xlsx / Requirements; </x:v>
      </x:c>
    </x:row>
    <x:row r="999" ht="36" customHeight="1">
      <x:c r="A999" s="3" t="str">
        <x:v>OBS-RESET</x:v>
      </x:c>
      <x:c r="B999" s="3" t="str">
        <x:v>AUTH</x:v>
      </x:c>
      <x:c r="C999" s="3" t="str">
        <x:v>Xác thực và vòng đời phiên</x:v>
      </x:c>
      <x:c r="D999" s="3" t="str">
        <x:v>TC_AUTH_062</x:v>
      </x:c>
      <x:c r="E999" s="3" t="str">
        <x:v>Reset token tại hạn -1 giây</x:v>
      </x:c>
      <x:c r="F999" s="3" t="str">
        <x:v>Designed — chưa thực thi</x:v>
      </x:c>
      <x:c r="G999" s="3" t="str">
        <x:v>Nguồn: admin/src/lib/auth/session.ts; admin/src/app/api/admin/auth/reset-password/route.ts.  Baseline: admin/src/app/api/admin/auth; Yêu cầu suy ra từ code, chưa phải baseline đã phê duyệt.</x:v>
      </x:c>
    </x:row>
    <x:row r="1000" ht="36" customHeight="1">
      <x:c r="A1000" s="3" t="str">
        <x:v>OBS-RESET</x:v>
      </x:c>
      <x:c r="B1000" s="3" t="str">
        <x:v>AUTH</x:v>
      </x:c>
      <x:c r="C1000" s="3" t="str">
        <x:v>Xác thực và vòng đời phiên</x:v>
      </x:c>
      <x:c r="D1000" s="3" t="str">
        <x:v>TC_AUTH_063</x:v>
      </x:c>
      <x:c r="E1000" s="3" t="str">
        <x:v>Reset token tại hạn +0 giây</x:v>
      </x:c>
      <x:c r="F1000" s="3" t="str">
        <x:v>Designed — chưa thực thi</x:v>
      </x:c>
      <x:c r="G1000" s="3" t="str">
        <x:v>Nguồn: admin/src/lib/auth/session.ts; admin/src/app/api/admin/auth/reset-password/route.ts.  Baseline: admin/src/app/api/admin/auth; Yêu cầu suy ra từ code, chưa phải baseline đã phê duyệt.</x:v>
      </x:c>
    </x:row>
    <x:row r="1001" ht="36" customHeight="1">
      <x:c r="A1001" s="3" t="str">
        <x:v>OBS-RESET</x:v>
      </x:c>
      <x:c r="B1001" s="3" t="str">
        <x:v>AUTH</x:v>
      </x:c>
      <x:c r="C1001" s="3" t="str">
        <x:v>Xác thực và vòng đời phiên</x:v>
      </x:c>
      <x:c r="D1001" s="3" t="str">
        <x:v>TC_AUTH_064</x:v>
      </x:c>
      <x:c r="E1001" s="3" t="str">
        <x:v>Reset token tại hạn +1 giây</x:v>
      </x:c>
      <x:c r="F1001" s="3" t="str">
        <x:v>Designed — chưa thực thi</x:v>
      </x:c>
      <x:c r="G1001" s="3" t="str">
        <x:v>Nguồn: admin/src/lib/auth/session.ts; admin/src/app/api/admin/auth/reset-password/route.ts.  Baseline: admin/src/app/api/admin/auth; Yêu cầu suy ra từ code, chưa phải baseline đã phê duyệt.</x:v>
      </x:c>
    </x:row>
    <x:row r="1002" ht="36" customHeight="1">
      <x:c r="A1002" s="3" t="str">
        <x:v>AUTH-001</x:v>
      </x:c>
      <x:c r="B1002" s="3" t="str">
        <x:v>AUTH</x:v>
      </x:c>
      <x:c r="C1002" s="3" t="str">
        <x:v>Hệ thống phải xác thực tài khoản, trạng thái và tạo phiên bằng cookie HttpOnly.</x:v>
      </x:c>
      <x:c r="D1002" s="3" t="str">
        <x:v>TC_AUTH_065</x:v>
      </x:c>
      <x:c r="E1002" s="3" t="str">
        <x:v>Khóa đăng nhập tại hạn -1 giây</x:v>
      </x:c>
      <x:c r="F1002" s="3" t="str">
        <x:v>Designed — chưa thực thi</x:v>
      </x:c>
      <x:c r="G1002" s="3" t="str">
        <x:v>Nguồn: admin/src/lib/auth/session.ts; admin/src/app/api/admin/auth/reset-password/route.ts.  Baseline: docs/ba/02-requirements/VGG_REQ-WORKBOOK_v0.1_2026-09-04.xlsx / Requirements; </x:v>
      </x:c>
    </x:row>
    <x:row r="1003" ht="36" customHeight="1">
      <x:c r="A1003" s="3" t="str">
        <x:v>AUTH-001</x:v>
      </x:c>
      <x:c r="B1003" s="3" t="str">
        <x:v>AUTH</x:v>
      </x:c>
      <x:c r="C1003" s="3" t="str">
        <x:v>Hệ thống phải xác thực tài khoản, trạng thái và tạo phiên bằng cookie HttpOnly.</x:v>
      </x:c>
      <x:c r="D1003" s="3" t="str">
        <x:v>TC_AUTH_066</x:v>
      </x:c>
      <x:c r="E1003" s="3" t="str">
        <x:v>Khóa đăng nhập tại hạn +0 giây</x:v>
      </x:c>
      <x:c r="F1003" s="3" t="str">
        <x:v>Designed — chưa thực thi</x:v>
      </x:c>
      <x:c r="G1003" s="3" t="str">
        <x:v>Nguồn: admin/src/lib/auth/session.ts; admin/src/app/api/admin/auth/reset-password/route.ts.  Baseline: docs/ba/02-requirements/VGG_REQ-WORKBOOK_v0.1_2026-09-04.xlsx / Requirements; </x:v>
      </x:c>
    </x:row>
    <x:row r="1004" ht="36" customHeight="1">
      <x:c r="A1004" s="3" t="str">
        <x:v>AUTH-001</x:v>
      </x:c>
      <x:c r="B1004" s="3" t="str">
        <x:v>AUTH</x:v>
      </x:c>
      <x:c r="C1004" s="3" t="str">
        <x:v>Hệ thống phải xác thực tài khoản, trạng thái và tạo phiên bằng cookie HttpOnly.</x:v>
      </x:c>
      <x:c r="D1004" s="3" t="str">
        <x:v>TC_AUTH_067</x:v>
      </x:c>
      <x:c r="E1004" s="3" t="str">
        <x:v>Khóa đăng nhập tại hạn +1 giây</x:v>
      </x:c>
      <x:c r="F1004" s="3" t="str">
        <x:v>Designed — chưa thực thi</x:v>
      </x:c>
      <x:c r="G1004" s="3" t="str">
        <x:v>Nguồn: admin/src/lib/auth/session.ts; admin/src/app/api/admin/auth/reset-password/route.ts.  Baseline: docs/ba/02-requirements/VGG_REQ-WORKBOOK_v0.1_2026-09-04.xlsx / Requirements; </x:v>
      </x:c>
    </x:row>
    <x:row r="1005" ht="62" customHeight="1">
      <x:c r="A1005" s="3" t="str">
        <x:v>NFR-004</x:v>
      </x:c>
      <x:c r="B1005" s="3" t="str">
        <x:v>PERF</x:v>
      </x:c>
      <x:c r="C1005" s="3" t="str">
        <x:v>Phải thống nhất SLO cho thời gian đáp ứng, tải đồng thời, uptime và cảnh báo trước nghiệm thu.</x:v>
      </x:c>
      <x:c r="D1005" s="3" t="str">
        <x:v>TC_PERF_001</x:v>
      </x:c>
      <x:c r="E1005" s="3" t="str">
        <x:v>Trang chủ mạng di động</x:v>
      </x:c>
      <x:c r="F1005" s="3" t="str">
        <x:v>Partial — Need Confirmation</x:v>
      </x:c>
      <x:c r="G1005"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06" ht="62" customHeight="1">
      <x:c r="A1006" s="3" t="str">
        <x:v>NFR-004</x:v>
      </x:c>
      <x:c r="B1006" s="3" t="str">
        <x:v>PERF</x:v>
      </x:c>
      <x:c r="C1006" s="3" t="str">
        <x:v>Phải thống nhất SLO cho thời gian đáp ứng, tải đồng thời, uptime và cảnh báo trước nghiệm thu.</x:v>
      </x:c>
      <x:c r="D1006" s="3" t="str">
        <x:v>TC_PERF_002</x:v>
      </x:c>
      <x:c r="E1006" s="3" t="str">
        <x:v>API tin dữ liệu lớn</x:v>
      </x:c>
      <x:c r="F1006" s="3" t="str">
        <x:v>Partial — Need Confirmation</x:v>
      </x:c>
      <x:c r="G1006"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07" ht="62" customHeight="1">
      <x:c r="A1007" s="3" t="str">
        <x:v>NFR-004</x:v>
      </x:c>
      <x:c r="B1007" s="3" t="str">
        <x:v>PERF</x:v>
      </x:c>
      <x:c r="C1007" s="3" t="str">
        <x:v>Phải thống nhất SLO cho thời gian đáp ứng, tải đồng thời, uptime và cảnh báo trước nghiệm thu.</x:v>
      </x:c>
      <x:c r="D1007" s="3" t="str">
        <x:v>TC_PERF_003</x:v>
      </x:c>
      <x:c r="E1007" s="3" t="str">
        <x:v>Resource list không phân trang public</x:v>
      </x:c>
      <x:c r="F1007" s="3" t="str">
        <x:v>Partial — Need Confirmation</x:v>
      </x:c>
      <x:c r="G1007"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08" ht="62" customHeight="1">
      <x:c r="A1008" s="3" t="str">
        <x:v>NFR-004</x:v>
      </x:c>
      <x:c r="B1008" s="3" t="str">
        <x:v>PERF</x:v>
      </x:c>
      <x:c r="C1008" s="3" t="str">
        <x:v>Phải thống nhất SLO cho thời gian đáp ứng, tải đồng thời, uptime và cảnh báo trước nghiệm thu.</x:v>
      </x:c>
      <x:c r="D1008" s="3" t="str">
        <x:v>TC_PERF_004</x:v>
      </x:c>
      <x:c r="E1008" s="3" t="str">
        <x:v>Dashboard polling đồng thời</x:v>
      </x:c>
      <x:c r="F1008" s="3" t="str">
        <x:v>Partial — Need Confirmation</x:v>
      </x:c>
      <x:c r="G1008"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09" ht="62" customHeight="1">
      <x:c r="A1009" s="3" t="str">
        <x:v>NFR-004</x:v>
      </x:c>
      <x:c r="B1009" s="3" t="str">
        <x:v>PERF</x:v>
      </x:c>
      <x:c r="C1009" s="3" t="str">
        <x:v>Phải thống nhất SLO cho thời gian đáp ứng, tải đồng thời, uptime và cảnh báo trước nghiệm thu.</x:v>
      </x:c>
      <x:c r="D1009" s="3" t="str">
        <x:v>TC_PERF_005</x:v>
      </x:c>
      <x:c r="E1009" s="3" t="str">
        <x:v>Notification polling</x:v>
      </x:c>
      <x:c r="F1009" s="3" t="str">
        <x:v>Partial — Need Confirmation</x:v>
      </x:c>
      <x:c r="G1009"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10" ht="62" customHeight="1">
      <x:c r="A1010" s="3" t="str">
        <x:v>NFR-004</x:v>
      </x:c>
      <x:c r="B1010" s="3" t="str">
        <x:v>PERF</x:v>
      </x:c>
      <x:c r="C1010" s="3" t="str">
        <x:v>Phải thống nhất SLO cho thời gian đáp ứng, tải đồng thời, uptime và cảnh báo trước nghiệm thu.</x:v>
      </x:c>
      <x:c r="D1010" s="3" t="str">
        <x:v>TC_PERF_006</x:v>
      </x:c>
      <x:c r="E1010" s="3" t="str">
        <x:v>Login Argon2 tải</x:v>
      </x:c>
      <x:c r="F1010" s="3" t="str">
        <x:v>Partial — Need Confirmation</x:v>
      </x:c>
      <x:c r="G1010"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11" ht="62" customHeight="1">
      <x:c r="A1011" s="3" t="str">
        <x:v>NFR-004</x:v>
      </x:c>
      <x:c r="B1011" s="3" t="str">
        <x:v>PERF</x:v>
      </x:c>
      <x:c r="C1011" s="3" t="str">
        <x:v>Phải thống nhất SLO cho thời gian đáp ứng, tải đồng thời, uptime và cảnh báo trước nghiệm thu.</x:v>
      </x:c>
      <x:c r="D1011" s="3" t="str">
        <x:v>TC_PERF_007</x:v>
      </x:c>
      <x:c r="E1011" s="3" t="str">
        <x:v>Upload đồng thời</x:v>
      </x:c>
      <x:c r="F1011" s="3" t="str">
        <x:v>Partial — Need Confirmation</x:v>
      </x:c>
      <x:c r="G1011"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12" ht="62" customHeight="1">
      <x:c r="A1012" s="3" t="str">
        <x:v>NFR-004</x:v>
      </x:c>
      <x:c r="B1012" s="3" t="str">
        <x:v>PERF</x:v>
      </x:c>
      <x:c r="C1012" s="3" t="str">
        <x:v>Phải thống nhất SLO cho thời gian đáp ứng, tải đồng thời, uptime và cảnh báo trước nghiệm thu.</x:v>
      </x:c>
      <x:c r="D1012" s="3" t="str">
        <x:v>TC_PERF_008</x:v>
      </x:c>
      <x:c r="E1012" s="3" t="str">
        <x:v>Soak memory</x:v>
      </x:c>
      <x:c r="F1012" s="3" t="str">
        <x:v>Partial — Need Confirmation</x:v>
      </x:c>
      <x:c r="G1012"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13" ht="62" customHeight="1">
      <x:c r="A1013" s="3" t="str">
        <x:v>NFR-004</x:v>
      </x:c>
      <x:c r="B1013" s="3" t="str">
        <x:v>PERF</x:v>
      </x:c>
      <x:c r="C1013" s="3" t="str">
        <x:v>Phải thống nhất SLO cho thời gian đáp ứng, tải đồng thời, uptime và cảnh báo trước nghiệm thu.</x:v>
      </x:c>
      <x:c r="D1013" s="3" t="str">
        <x:v>TC_PERF_009</x:v>
      </x:c>
      <x:c r="E1013" s="3" t="str">
        <x:v>Search chương trình</x:v>
      </x:c>
      <x:c r="F1013" s="3" t="str">
        <x:v>Partial — Need Confirmation</x:v>
      </x:c>
      <x:c r="G1013"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Cần dữ liệu tải và SLO</x:v>
      </x:c>
    </x:row>
    <x:row r="1014" ht="62" customHeight="1">
      <x:c r="A1014" s="3" t="str">
        <x:v>NFR-002</x:v>
      </x:c>
      <x:c r="B1014" s="3" t="str">
        <x:v>PERF</x:v>
      </x:c>
      <x:c r="C1014" s="3" t="str">
        <x:v>Phải có quy trình sao lưu PostgreSQL và MinIO, mã hóa/phân quyền bản sao và diễn tập phục hồi định kỳ.</x:v>
      </x:c>
      <x:c r="D1014" s="3" t="str">
        <x:v>TC_PERF_010</x:v>
      </x:c>
      <x:c r="E1014" s="3" t="str">
        <x:v>RPO/RTO khôi phục</x:v>
      </x:c>
      <x:c r="F1014" s="3" t="str">
        <x:v>Partial — Need Confirmation</x:v>
      </x:c>
      <x:c r="G1014" s="3" t="str">
        <x:v>Nguồn: docs/ba/02-requirements; docs/handover; backend/src/app.ts. Need Confirmation: Cần ngưỡng nghiệm thu, cấu hình máy, số người đồng thời, thời lượng và ngân sách tải. Các mức tải trên là đề xuất QA, chưa phải SLA. Baseline: docs/ba/02-requirements/VGG_REQ-WORKBOOK_v0.1_2026-09-04.xlsx / Requirements; RPO/RTO, retention, chủ sở hữu cần xác nhận</x:v>
      </x:c>
    </x:row>
    <x:row r="1015" ht="49" customHeight="1">
      <x:c r="A1015" s="3" t="str">
        <x:v>NFR-004</x:v>
      </x:c>
      <x:c r="B1015" s="3" t="str">
        <x:v>PERF</x:v>
      </x:c>
      <x:c r="C1015" s="3" t="str">
        <x:v>Phải thống nhất SLO cho thời gian đáp ứng, tải đồng thời, uptime và cảnh báo trước nghiệm thu.</x:v>
      </x:c>
      <x:c r="D1015" s="3" t="str">
        <x:v>TC_PERF_011</x:v>
      </x:c>
      <x:c r="E1015" s="3" t="str">
        <x:v>Cache tin60 giây</x:v>
      </x:c>
      <x:c r="F1015" s="3" t="str">
        <x:v>Designed — chưa thực thi</x:v>
      </x:c>
      <x:c r="G1015" s="3" t="str">
        <x:v>Nguồn: frontend/src/features/news/data.ts; frontend/src/app/api/consultations/route.ts; backend/src/app.ts.  Baseline: docs/ba/02-requirements/VGG_REQ-WORKBOOK_v0.1_2026-09-04.xlsx / Requirements; Cần dữ liệu tải và SLO</x:v>
      </x:c>
    </x:row>
    <x:row r="1016" ht="49" customHeight="1">
      <x:c r="A1016" s="3" t="str">
        <x:v>NFR-004</x:v>
      </x:c>
      <x:c r="B1016" s="3" t="str">
        <x:v>PERF</x:v>
      </x:c>
      <x:c r="C1016" s="3" t="str">
        <x:v>Phải thống nhất SLO cho thời gian đáp ứng, tải đồng thời, uptime và cảnh báo trước nghiệm thu.</x:v>
      </x:c>
      <x:c r="D1016" s="3" t="str">
        <x:v>TC_PERF_012</x:v>
      </x:c>
      <x:c r="E1016" s="3" t="str">
        <x:v>Resource no-store</x:v>
      </x:c>
      <x:c r="F1016" s="3" t="str">
        <x:v>Designed — chưa thực thi</x:v>
      </x:c>
      <x:c r="G1016" s="3" t="str">
        <x:v>Nguồn: frontend/src/features/news/data.ts; frontend/src/app/api/consultations/route.ts; backend/src/app.ts.  Baseline: docs/ba/02-requirements/VGG_REQ-WORKBOOK_v0.1_2026-09-04.xlsx / Requirements; Cần dữ liệu tải và SLO</x:v>
      </x:c>
    </x:row>
    <x:row r="1017" ht="49" customHeight="1">
      <x:c r="A1017" s="3" t="str">
        <x:v>NFR-004</x:v>
      </x:c>
      <x:c r="B1017" s="3" t="str">
        <x:v>PERF</x:v>
      </x:c>
      <x:c r="C1017" s="3" t="str">
        <x:v>Phải thống nhất SLO cho thời gian đáp ứng, tải đồng thời, uptime và cảnh báo trước nghiệm thu.</x:v>
      </x:c>
      <x:c r="D1017" s="3" t="str">
        <x:v>TC_PERF_013</x:v>
      </x:c>
      <x:c r="E1017" s="3" t="str">
        <x:v>Timeout tư vấn8 giây</x:v>
      </x:c>
      <x:c r="F1017" s="3" t="str">
        <x:v>Designed — chưa thực thi</x:v>
      </x:c>
      <x:c r="G1017" s="3" t="str">
        <x:v>Nguồn: frontend/src/features/news/data.ts; frontend/src/app/api/consultations/route.ts; backend/src/app.ts.  Baseline: docs/ba/02-requirements/VGG_REQ-WORKBOOK_v0.1_2026-09-04.xlsx / Requirements; Cần dữ liệu tải và SLO</x:v>
      </x:c>
    </x:row>
    <x:row r="1018" ht="49" customHeight="1">
      <x:c r="A1018" s="3" t="str">
        <x:v>NFR-004</x:v>
      </x:c>
      <x:c r="B1018" s="3" t="str">
        <x:v>PERF</x:v>
      </x:c>
      <x:c r="C1018" s="3" t="str">
        <x:v>Phải thống nhất SLO cho thời gian đáp ứng, tải đồng thời, uptime và cảnh báo trước nghiệm thu.</x:v>
      </x:c>
      <x:c r="D1018" s="3" t="str">
        <x:v>TC_PERF_014</x:v>
      </x:c>
      <x:c r="E1018" s="3" t="str">
        <x:v>Lazy image</x:v>
      </x:c>
      <x:c r="F1018" s="3" t="str">
        <x:v>Designed — chưa thực thi</x:v>
      </x:c>
      <x:c r="G1018" s="3" t="str">
        <x:v>Nguồn: frontend/src/features/news/data.ts; frontend/src/app/api/consultations/route.ts; backend/src/app.ts.  Baseline: docs/ba/02-requirements/VGG_REQ-WORKBOOK_v0.1_2026-09-04.xlsx / Requirements; Cần dữ liệu tải và SLO</x:v>
      </x:c>
    </x:row>
    <x:row r="1019" ht="49" customHeight="1">
      <x:c r="A1019" s="3" t="str">
        <x:v>NFR-004</x:v>
      </x:c>
      <x:c r="B1019" s="3" t="str">
        <x:v>PERF</x:v>
      </x:c>
      <x:c r="C1019" s="3" t="str">
        <x:v>Phải thống nhất SLO cho thời gian đáp ứng, tải đồng thời, uptime và cảnh báo trước nghiệm thu.</x:v>
      </x:c>
      <x:c r="D1019" s="3" t="str">
        <x:v>TC_PERF_015</x:v>
      </x:c>
      <x:c r="E1019" s="3" t="str">
        <x:v>BodyLimit1MB</x:v>
      </x:c>
      <x:c r="F1019" s="3" t="str">
        <x:v>Designed — chưa thực thi</x:v>
      </x:c>
      <x:c r="G1019" s="3" t="str">
        <x:v>Nguồn: frontend/src/features/news/data.ts; frontend/src/app/api/consultations/route.ts; backend/src/app.ts.  Baseline: docs/ba/02-requirements/VGG_REQ-WORKBOOK_v0.1_2026-09-04.xlsx / Requirements; Cần dữ liệu tải và SLO</x:v>
      </x:c>
    </x:row>
    <x:row r="1020" ht="49" customHeight="1">
      <x:c r="A1020" s="3" t="str">
        <x:v>OBS-COMPAT</x:v>
      </x:c>
      <x:c r="B1020" s="3" t="str">
        <x:v>COMPAT</x:v>
      </x:c>
      <x:c r="C1020" s="3" t="str">
        <x:v>Nền tảng</x:v>
      </x:c>
      <x:c r="D1020" s="3" t="str">
        <x:v>TC_COMPAT_001</x:v>
      </x:c>
      <x:c r="E1020" s="3" t="str">
        <x:v>Windows Chrome — Public VI/EN</x:v>
      </x:c>
      <x:c r="F1020" s="3" t="str">
        <x:v>Designed — chưa thực thi</x:v>
      </x:c>
      <x:c r="G1020" s="3" t="str">
        <x:v>Nguồn: frontend/package.json; admin/package.json. Danh sách thiết bị nghiệm thu chính thức cần xác nhận OQ-010. Baseline: frontend/package.json; admin/package.json; Yêu cầu suy ra từ code, chưa phải baseline đã phê duyệt.</x:v>
      </x:c>
    </x:row>
    <x:row r="1021" ht="49" customHeight="1">
      <x:c r="A1021" s="3" t="str">
        <x:v>OBS-COMPAT</x:v>
      </x:c>
      <x:c r="B1021" s="3" t="str">
        <x:v>COMPAT</x:v>
      </x:c>
      <x:c r="C1021" s="3" t="str">
        <x:v>Nền tảng</x:v>
      </x:c>
      <x:c r="D1021" s="3" t="str">
        <x:v>TC_COMPAT_002</x:v>
      </x:c>
      <x:c r="E1021" s="3" t="str">
        <x:v>Windows Chrome — Tư vấn</x:v>
      </x:c>
      <x:c r="F1021" s="3" t="str">
        <x:v>Designed — chưa thực thi</x:v>
      </x:c>
      <x:c r="G1021" s="3" t="str">
        <x:v>Nguồn: frontend/package.json; admin/package.json. Danh sách thiết bị nghiệm thu chính thức cần xác nhận OQ-010. Baseline: frontend/package.json; admin/package.json; Yêu cầu suy ra từ code, chưa phải baseline đã phê duyệt.</x:v>
      </x:c>
    </x:row>
    <x:row r="1022" ht="49" customHeight="1">
      <x:c r="A1022" s="3" t="str">
        <x:v>OBS-COMPAT</x:v>
      </x:c>
      <x:c r="B1022" s="3" t="str">
        <x:v>COMPAT</x:v>
      </x:c>
      <x:c r="C1022" s="3" t="str">
        <x:v>Nền tảng</x:v>
      </x:c>
      <x:c r="D1022" s="3" t="str">
        <x:v>TC_COMPAT_003</x:v>
      </x:c>
      <x:c r="E1022" s="3" t="str">
        <x:v>Windows Chrome — PDF tải và preview</x:v>
      </x:c>
      <x:c r="F1022" s="3" t="str">
        <x:v>Designed — chưa thực thi</x:v>
      </x:c>
      <x:c r="G1022" s="3" t="str">
        <x:v>Nguồn: frontend/package.json; admin/package.json. Danh sách thiết bị nghiệm thu chính thức cần xác nhận OQ-010. Baseline: frontend/package.json; admin/package.json; Yêu cầu suy ra từ code, chưa phải baseline đã phê duyệt.</x:v>
      </x:c>
    </x:row>
    <x:row r="1023" ht="49" customHeight="1">
      <x:c r="A1023" s="3" t="str">
        <x:v>OBS-COMPAT</x:v>
      </x:c>
      <x:c r="B1023" s="3" t="str">
        <x:v>COMPAT</x:v>
      </x:c>
      <x:c r="C1023" s="3" t="str">
        <x:v>Nền tảng</x:v>
      </x:c>
      <x:c r="D1023" s="3" t="str">
        <x:v>TC_COMPAT_004</x:v>
      </x:c>
      <x:c r="E1023" s="3" t="str">
        <x:v>Windows Chrome — Admin CMS</x:v>
      </x:c>
      <x:c r="F1023" s="3" t="str">
        <x:v>Designed — chưa thực thi</x:v>
      </x:c>
      <x:c r="G1023" s="3" t="str">
        <x:v>Nguồn: frontend/package.json; admin/package.json. Danh sách thiết bị nghiệm thu chính thức cần xác nhận OQ-010. Baseline: frontend/package.json; admin/package.json; Yêu cầu suy ra từ code, chưa phải baseline đã phê duyệt.</x:v>
      </x:c>
    </x:row>
    <x:row r="1024" ht="49" customHeight="1">
      <x:c r="A1024" s="3" t="str">
        <x:v>OBS-COMPAT</x:v>
      </x:c>
      <x:c r="B1024" s="3" t="str">
        <x:v>COMPAT</x:v>
      </x:c>
      <x:c r="C1024" s="3" t="str">
        <x:v>Nền tảng</x:v>
      </x:c>
      <x:c r="D1024" s="3" t="str">
        <x:v>TC_COMPAT_005</x:v>
      </x:c>
      <x:c r="E1024" s="3" t="str">
        <x:v>Windows Edge — Public VI/EN</x:v>
      </x:c>
      <x:c r="F1024" s="3" t="str">
        <x:v>Designed — chưa thực thi</x:v>
      </x:c>
      <x:c r="G1024" s="3" t="str">
        <x:v>Nguồn: frontend/package.json; admin/package.json. Danh sách thiết bị nghiệm thu chính thức cần xác nhận OQ-010. Baseline: frontend/package.json; admin/package.json; Yêu cầu suy ra từ code, chưa phải baseline đã phê duyệt.</x:v>
      </x:c>
    </x:row>
    <x:row r="1025" ht="49" customHeight="1">
      <x:c r="A1025" s="3" t="str">
        <x:v>OBS-COMPAT</x:v>
      </x:c>
      <x:c r="B1025" s="3" t="str">
        <x:v>COMPAT</x:v>
      </x:c>
      <x:c r="C1025" s="3" t="str">
        <x:v>Nền tảng</x:v>
      </x:c>
      <x:c r="D1025" s="3" t="str">
        <x:v>TC_COMPAT_006</x:v>
      </x:c>
      <x:c r="E1025" s="3" t="str">
        <x:v>Windows Edge — Tư vấn</x:v>
      </x:c>
      <x:c r="F1025" s="3" t="str">
        <x:v>Designed — chưa thực thi</x:v>
      </x:c>
      <x:c r="G1025" s="3" t="str">
        <x:v>Nguồn: frontend/package.json; admin/package.json. Danh sách thiết bị nghiệm thu chính thức cần xác nhận OQ-010. Baseline: frontend/package.json; admin/package.json; Yêu cầu suy ra từ code, chưa phải baseline đã phê duyệt.</x:v>
      </x:c>
    </x:row>
    <x:row r="1026" ht="49" customHeight="1">
      <x:c r="A1026" s="3" t="str">
        <x:v>OBS-COMPAT</x:v>
      </x:c>
      <x:c r="B1026" s="3" t="str">
        <x:v>COMPAT</x:v>
      </x:c>
      <x:c r="C1026" s="3" t="str">
        <x:v>Nền tảng</x:v>
      </x:c>
      <x:c r="D1026" s="3" t="str">
        <x:v>TC_COMPAT_007</x:v>
      </x:c>
      <x:c r="E1026" s="3" t="str">
        <x:v>Windows Edge — PDF tải và preview</x:v>
      </x:c>
      <x:c r="F1026" s="3" t="str">
        <x:v>Designed — chưa thực thi</x:v>
      </x:c>
      <x:c r="G1026" s="3" t="str">
        <x:v>Nguồn: frontend/package.json; admin/package.json. Danh sách thiết bị nghiệm thu chính thức cần xác nhận OQ-010. Baseline: frontend/package.json; admin/package.json; Yêu cầu suy ra từ code, chưa phải baseline đã phê duyệt.</x:v>
      </x:c>
    </x:row>
    <x:row r="1027" ht="49" customHeight="1">
      <x:c r="A1027" s="3" t="str">
        <x:v>OBS-COMPAT</x:v>
      </x:c>
      <x:c r="B1027" s="3" t="str">
        <x:v>COMPAT</x:v>
      </x:c>
      <x:c r="C1027" s="3" t="str">
        <x:v>Nền tảng</x:v>
      </x:c>
      <x:c r="D1027" s="3" t="str">
        <x:v>TC_COMPAT_008</x:v>
      </x:c>
      <x:c r="E1027" s="3" t="str">
        <x:v>Windows Edge — Admin CMS</x:v>
      </x:c>
      <x:c r="F1027" s="3" t="str">
        <x:v>Designed — chưa thực thi</x:v>
      </x:c>
      <x:c r="G1027" s="3" t="str">
        <x:v>Nguồn: frontend/package.json; admin/package.json. Danh sách thiết bị nghiệm thu chính thức cần xác nhận OQ-010. Baseline: frontend/package.json; admin/package.json; Yêu cầu suy ra từ code, chưa phải baseline đã phê duyệt.</x:v>
      </x:c>
    </x:row>
    <x:row r="1028" ht="49" customHeight="1">
      <x:c r="A1028" s="3" t="str">
        <x:v>OBS-COMPAT</x:v>
      </x:c>
      <x:c r="B1028" s="3" t="str">
        <x:v>COMPAT</x:v>
      </x:c>
      <x:c r="C1028" s="3" t="str">
        <x:v>Nền tảng</x:v>
      </x:c>
      <x:c r="D1028" s="3" t="str">
        <x:v>TC_COMPAT_009</x:v>
      </x:c>
      <x:c r="E1028" s="3" t="str">
        <x:v>Windows Firefox — Public VI/EN</x:v>
      </x:c>
      <x:c r="F1028" s="3" t="str">
        <x:v>Designed — chưa thực thi</x:v>
      </x:c>
      <x:c r="G1028" s="3" t="str">
        <x:v>Nguồn: frontend/package.json; admin/package.json. Danh sách thiết bị nghiệm thu chính thức cần xác nhận OQ-010. Baseline: frontend/package.json; admin/package.json; Yêu cầu suy ra từ code, chưa phải baseline đã phê duyệt.</x:v>
      </x:c>
    </x:row>
    <x:row r="1029" ht="49" customHeight="1">
      <x:c r="A1029" s="3" t="str">
        <x:v>OBS-COMPAT</x:v>
      </x:c>
      <x:c r="B1029" s="3" t="str">
        <x:v>COMPAT</x:v>
      </x:c>
      <x:c r="C1029" s="3" t="str">
        <x:v>Nền tảng</x:v>
      </x:c>
      <x:c r="D1029" s="3" t="str">
        <x:v>TC_COMPAT_010</x:v>
      </x:c>
      <x:c r="E1029" s="3" t="str">
        <x:v>Windows Firefox — Tư vấn</x:v>
      </x:c>
      <x:c r="F1029" s="3" t="str">
        <x:v>Designed — chưa thực thi</x:v>
      </x:c>
      <x:c r="G1029" s="3" t="str">
        <x:v>Nguồn: frontend/package.json; admin/package.json. Danh sách thiết bị nghiệm thu chính thức cần xác nhận OQ-010. Baseline: frontend/package.json; admin/package.json; Yêu cầu suy ra từ code, chưa phải baseline đã phê duyệt.</x:v>
      </x:c>
    </x:row>
    <x:row r="1030" ht="49" customHeight="1">
      <x:c r="A1030" s="3" t="str">
        <x:v>OBS-COMPAT</x:v>
      </x:c>
      <x:c r="B1030" s="3" t="str">
        <x:v>COMPAT</x:v>
      </x:c>
      <x:c r="C1030" s="3" t="str">
        <x:v>Nền tảng</x:v>
      </x:c>
      <x:c r="D1030" s="3" t="str">
        <x:v>TC_COMPAT_011</x:v>
      </x:c>
      <x:c r="E1030" s="3" t="str">
        <x:v>Windows Firefox — PDF tải và preview</x:v>
      </x:c>
      <x:c r="F1030" s="3" t="str">
        <x:v>Designed — chưa thực thi</x:v>
      </x:c>
      <x:c r="G1030" s="3" t="str">
        <x:v>Nguồn: frontend/package.json; admin/package.json. Danh sách thiết bị nghiệm thu chính thức cần xác nhận OQ-010. Baseline: frontend/package.json; admin/package.json; Yêu cầu suy ra từ code, chưa phải baseline đã phê duyệt.</x:v>
      </x:c>
    </x:row>
    <x:row r="1031" ht="49" customHeight="1">
      <x:c r="A1031" s="3" t="str">
        <x:v>OBS-COMPAT</x:v>
      </x:c>
      <x:c r="B1031" s="3" t="str">
        <x:v>COMPAT</x:v>
      </x:c>
      <x:c r="C1031" s="3" t="str">
        <x:v>Nền tảng</x:v>
      </x:c>
      <x:c r="D1031" s="3" t="str">
        <x:v>TC_COMPAT_012</x:v>
      </x:c>
      <x:c r="E1031" s="3" t="str">
        <x:v>Windows Firefox — Admin CMS</x:v>
      </x:c>
      <x:c r="F1031" s="3" t="str">
        <x:v>Designed — chưa thực thi</x:v>
      </x:c>
      <x:c r="G1031" s="3" t="str">
        <x:v>Nguồn: frontend/package.json; admin/package.json. Danh sách thiết bị nghiệm thu chính thức cần xác nhận OQ-010. Baseline: frontend/package.json; admin/package.json; Yêu cầu suy ra từ code, chưa phải baseline đã phê duyệt.</x:v>
      </x:c>
    </x:row>
    <x:row r="1032" ht="49" customHeight="1">
      <x:c r="A1032" s="3" t="str">
        <x:v>OBS-COMPAT</x:v>
      </x:c>
      <x:c r="B1032" s="3" t="str">
        <x:v>COMPAT</x:v>
      </x:c>
      <x:c r="C1032" s="3" t="str">
        <x:v>Nền tảng</x:v>
      </x:c>
      <x:c r="D1032" s="3" t="str">
        <x:v>TC_COMPAT_013</x:v>
      </x:c>
      <x:c r="E1032" s="3" t="str">
        <x:v>macOS Safari — Public VI/EN</x:v>
      </x:c>
      <x:c r="F1032" s="3" t="str">
        <x:v>Designed — chưa thực thi</x:v>
      </x:c>
      <x:c r="G1032" s="3" t="str">
        <x:v>Nguồn: frontend/package.json; admin/package.json. Danh sách thiết bị nghiệm thu chính thức cần xác nhận OQ-010. Baseline: frontend/package.json; admin/package.json; Yêu cầu suy ra từ code, chưa phải baseline đã phê duyệt.</x:v>
      </x:c>
    </x:row>
    <x:row r="1033" ht="49" customHeight="1">
      <x:c r="A1033" s="3" t="str">
        <x:v>OBS-COMPAT</x:v>
      </x:c>
      <x:c r="B1033" s="3" t="str">
        <x:v>COMPAT</x:v>
      </x:c>
      <x:c r="C1033" s="3" t="str">
        <x:v>Nền tảng</x:v>
      </x:c>
      <x:c r="D1033" s="3" t="str">
        <x:v>TC_COMPAT_014</x:v>
      </x:c>
      <x:c r="E1033" s="3" t="str">
        <x:v>macOS Safari — Tư vấn</x:v>
      </x:c>
      <x:c r="F1033" s="3" t="str">
        <x:v>Designed — chưa thực thi</x:v>
      </x:c>
      <x:c r="G1033" s="3" t="str">
        <x:v>Nguồn: frontend/package.json; admin/package.json. Danh sách thiết bị nghiệm thu chính thức cần xác nhận OQ-010. Baseline: frontend/package.json; admin/package.json; Yêu cầu suy ra từ code, chưa phải baseline đã phê duyệt.</x:v>
      </x:c>
    </x:row>
    <x:row r="1034" ht="49" customHeight="1">
      <x:c r="A1034" s="3" t="str">
        <x:v>OBS-COMPAT</x:v>
      </x:c>
      <x:c r="B1034" s="3" t="str">
        <x:v>COMPAT</x:v>
      </x:c>
      <x:c r="C1034" s="3" t="str">
        <x:v>Nền tảng</x:v>
      </x:c>
      <x:c r="D1034" s="3" t="str">
        <x:v>TC_COMPAT_015</x:v>
      </x:c>
      <x:c r="E1034" s="3" t="str">
        <x:v>macOS Safari — PDF tải và preview</x:v>
      </x:c>
      <x:c r="F1034" s="3" t="str">
        <x:v>Designed — chưa thực thi</x:v>
      </x:c>
      <x:c r="G1034" s="3" t="str">
        <x:v>Nguồn: frontend/package.json; admin/package.json. Danh sách thiết bị nghiệm thu chính thức cần xác nhận OQ-010. Baseline: frontend/package.json; admin/package.json; Yêu cầu suy ra từ code, chưa phải baseline đã phê duyệt.</x:v>
      </x:c>
    </x:row>
    <x:row r="1035" ht="49" customHeight="1">
      <x:c r="A1035" s="3" t="str">
        <x:v>OBS-COMPAT</x:v>
      </x:c>
      <x:c r="B1035" s="3" t="str">
        <x:v>COMPAT</x:v>
      </x:c>
      <x:c r="C1035" s="3" t="str">
        <x:v>Nền tảng</x:v>
      </x:c>
      <x:c r="D1035" s="3" t="str">
        <x:v>TC_COMPAT_016</x:v>
      </x:c>
      <x:c r="E1035" s="3" t="str">
        <x:v>macOS Safari — Admin CMS</x:v>
      </x:c>
      <x:c r="F1035" s="3" t="str">
        <x:v>Designed — chưa thực thi</x:v>
      </x:c>
      <x:c r="G1035" s="3" t="str">
        <x:v>Nguồn: frontend/package.json; admin/package.json. Danh sách thiết bị nghiệm thu chính thức cần xác nhận OQ-010. Baseline: frontend/package.json; admin/package.json; Yêu cầu suy ra từ code, chưa phải baseline đã phê duyệt.</x:v>
      </x:c>
    </x:row>
    <x:row r="1036" ht="49" customHeight="1">
      <x:c r="A1036" s="3" t="str">
        <x:v>OBS-COMPAT</x:v>
      </x:c>
      <x:c r="B1036" s="3" t="str">
        <x:v>COMPAT</x:v>
      </x:c>
      <x:c r="C1036" s="3" t="str">
        <x:v>Nền tảng</x:v>
      </x:c>
      <x:c r="D1036" s="3" t="str">
        <x:v>TC_COMPAT_017</x:v>
      </x:c>
      <x:c r="E1036" s="3" t="str">
        <x:v>Android Chrome — Public VI/EN</x:v>
      </x:c>
      <x:c r="F1036" s="3" t="str">
        <x:v>Designed — chưa thực thi</x:v>
      </x:c>
      <x:c r="G1036" s="3" t="str">
        <x:v>Nguồn: frontend/package.json; admin/package.json. Danh sách thiết bị nghiệm thu chính thức cần xác nhận OQ-010. Baseline: frontend/package.json; admin/package.json; Yêu cầu suy ra từ code, chưa phải baseline đã phê duyệt.</x:v>
      </x:c>
    </x:row>
    <x:row r="1037" ht="49" customHeight="1">
      <x:c r="A1037" s="3" t="str">
        <x:v>OBS-COMPAT</x:v>
      </x:c>
      <x:c r="B1037" s="3" t="str">
        <x:v>COMPAT</x:v>
      </x:c>
      <x:c r="C1037" s="3" t="str">
        <x:v>Nền tảng</x:v>
      </x:c>
      <x:c r="D1037" s="3" t="str">
        <x:v>TC_COMPAT_018</x:v>
      </x:c>
      <x:c r="E1037" s="3" t="str">
        <x:v>Android Chrome — Tư vấn</x:v>
      </x:c>
      <x:c r="F1037" s="3" t="str">
        <x:v>Designed — chưa thực thi</x:v>
      </x:c>
      <x:c r="G1037" s="3" t="str">
        <x:v>Nguồn: frontend/package.json; admin/package.json. Danh sách thiết bị nghiệm thu chính thức cần xác nhận OQ-010. Baseline: frontend/package.json; admin/package.json; Yêu cầu suy ra từ code, chưa phải baseline đã phê duyệt.</x:v>
      </x:c>
    </x:row>
    <x:row r="1038" ht="49" customHeight="1">
      <x:c r="A1038" s="3" t="str">
        <x:v>OBS-COMPAT</x:v>
      </x:c>
      <x:c r="B1038" s="3" t="str">
        <x:v>COMPAT</x:v>
      </x:c>
      <x:c r="C1038" s="3" t="str">
        <x:v>Nền tảng</x:v>
      </x:c>
      <x:c r="D1038" s="3" t="str">
        <x:v>TC_COMPAT_019</x:v>
      </x:c>
      <x:c r="E1038" s="3" t="str">
        <x:v>Android Chrome — PDF tải và preview</x:v>
      </x:c>
      <x:c r="F1038" s="3" t="str">
        <x:v>Designed — chưa thực thi</x:v>
      </x:c>
      <x:c r="G1038" s="3" t="str">
        <x:v>Nguồn: frontend/package.json; admin/package.json. Danh sách thiết bị nghiệm thu chính thức cần xác nhận OQ-010. Baseline: frontend/package.json; admin/package.json; Yêu cầu suy ra từ code, chưa phải baseline đã phê duyệt.</x:v>
      </x:c>
    </x:row>
    <x:row r="1039" ht="49" customHeight="1">
      <x:c r="A1039" s="3" t="str">
        <x:v>OBS-COMPAT</x:v>
      </x:c>
      <x:c r="B1039" s="3" t="str">
        <x:v>COMPAT</x:v>
      </x:c>
      <x:c r="C1039" s="3" t="str">
        <x:v>Nền tảng</x:v>
      </x:c>
      <x:c r="D1039" s="3" t="str">
        <x:v>TC_COMPAT_020</x:v>
      </x:c>
      <x:c r="E1039" s="3" t="str">
        <x:v>Android Chrome — Admin CMS</x:v>
      </x:c>
      <x:c r="F1039" s="3" t="str">
        <x:v>Designed — chưa thực thi</x:v>
      </x:c>
      <x:c r="G1039" s="3" t="str">
        <x:v>Nguồn: frontend/package.json; admin/package.json. Danh sách thiết bị nghiệm thu chính thức cần xác nhận OQ-010. Baseline: frontend/package.json; admin/package.json; Yêu cầu suy ra từ code, chưa phải baseline đã phê duyệt.</x:v>
      </x:c>
    </x:row>
    <x:row r="1040" ht="49" customHeight="1">
      <x:c r="A1040" s="3" t="str">
        <x:v>OBS-COMPAT</x:v>
      </x:c>
      <x:c r="B1040" s="3" t="str">
        <x:v>COMPAT</x:v>
      </x:c>
      <x:c r="C1040" s="3" t="str">
        <x:v>Nền tảng</x:v>
      </x:c>
      <x:c r="D1040" s="3" t="str">
        <x:v>TC_COMPAT_021</x:v>
      </x:c>
      <x:c r="E1040" s="3" t="str">
        <x:v>iOS Safari — Public VI/EN</x:v>
      </x:c>
      <x:c r="F1040" s="3" t="str">
        <x:v>Designed — chưa thực thi</x:v>
      </x:c>
      <x:c r="G1040" s="3" t="str">
        <x:v>Nguồn: frontend/package.json; admin/package.json. Danh sách thiết bị nghiệm thu chính thức cần xác nhận OQ-010. Baseline: frontend/package.json; admin/package.json; Yêu cầu suy ra từ code, chưa phải baseline đã phê duyệt.</x:v>
      </x:c>
    </x:row>
    <x:row r="1041" ht="49" customHeight="1">
      <x:c r="A1041" s="3" t="str">
        <x:v>OBS-COMPAT</x:v>
      </x:c>
      <x:c r="B1041" s="3" t="str">
        <x:v>COMPAT</x:v>
      </x:c>
      <x:c r="C1041" s="3" t="str">
        <x:v>Nền tảng</x:v>
      </x:c>
      <x:c r="D1041" s="3" t="str">
        <x:v>TC_COMPAT_022</x:v>
      </x:c>
      <x:c r="E1041" s="3" t="str">
        <x:v>iOS Safari — Tư vấn</x:v>
      </x:c>
      <x:c r="F1041" s="3" t="str">
        <x:v>Designed — chưa thực thi</x:v>
      </x:c>
      <x:c r="G1041" s="3" t="str">
        <x:v>Nguồn: frontend/package.json; admin/package.json. Danh sách thiết bị nghiệm thu chính thức cần xác nhận OQ-010. Baseline: frontend/package.json; admin/package.json; Yêu cầu suy ra từ code, chưa phải baseline đã phê duyệt.</x:v>
      </x:c>
    </x:row>
    <x:row r="1042" ht="49" customHeight="1">
      <x:c r="A1042" s="3" t="str">
        <x:v>OBS-COMPAT</x:v>
      </x:c>
      <x:c r="B1042" s="3" t="str">
        <x:v>COMPAT</x:v>
      </x:c>
      <x:c r="C1042" s="3" t="str">
        <x:v>Nền tảng</x:v>
      </x:c>
      <x:c r="D1042" s="3" t="str">
        <x:v>TC_COMPAT_023</x:v>
      </x:c>
      <x:c r="E1042" s="3" t="str">
        <x:v>iOS Safari — PDF tải và preview</x:v>
      </x:c>
      <x:c r="F1042" s="3" t="str">
        <x:v>Designed — chưa thực thi</x:v>
      </x:c>
      <x:c r="G1042" s="3" t="str">
        <x:v>Nguồn: frontend/package.json; admin/package.json. Danh sách thiết bị nghiệm thu chính thức cần xác nhận OQ-010. Baseline: frontend/package.json; admin/package.json; Yêu cầu suy ra từ code, chưa phải baseline đã phê duyệt.</x:v>
      </x:c>
    </x:row>
    <x:row r="1043" ht="49" customHeight="1">
      <x:c r="A1043" s="3" t="str">
        <x:v>OBS-COMPAT</x:v>
      </x:c>
      <x:c r="B1043" s="3" t="str">
        <x:v>COMPAT</x:v>
      </x:c>
      <x:c r="C1043" s="3" t="str">
        <x:v>Nền tảng</x:v>
      </x:c>
      <x:c r="D1043" s="3" t="str">
        <x:v>TC_COMPAT_024</x:v>
      </x:c>
      <x:c r="E1043" s="3" t="str">
        <x:v>iOS Safari — Admin CMS</x:v>
      </x:c>
      <x:c r="F1043" s="3" t="str">
        <x:v>Designed — chưa thực thi</x:v>
      </x:c>
      <x:c r="G1043" s="3" t="str">
        <x:v>Nguồn: frontend/package.json; admin/package.json. Danh sách thiết bị nghiệm thu chính thức cần xác nhận OQ-010. Baseline: frontend/package.json; admin/package.json; Yêu cầu suy ra từ code, chưa phải baseline đã phê duyệt.</x:v>
      </x:c>
    </x:row>
    <x:row r="1044" ht="62" customHeight="1">
      <x:c r="A1044" s="3" t="str">
        <x:v>OBS-SCOPE</x:v>
      </x:c>
      <x:c r="B1044" s="3" t="str">
        <x:v>SCOPE</x:v>
      </x:c>
      <x:c r="C1044" s="3" t="str">
        <x:v>Quyết định nghiệm thu</x:v>
      </x:c>
      <x:c r="D1044" s="3" t="str">
        <x:v>TC_SCOPE_001</x:v>
      </x:c>
      <x:c r="E1044" s="3" t="str">
        <x:v>OQ-001 — Phạm vi</x:v>
      </x:c>
      <x:c r="F1044" s="3" t="str">
        <x:v>Partial — Need Confirmation</x:v>
      </x:c>
      <x:c r="G1044" s="3" t="str">
        <x:v>Nguồn: docs/ba/02-requirements/VGG_REQ-WORKBOOK_v0.1_2026-09-04.xlsx / Open Questions &amp; Decisions. Need Confirmation: Ai là Business Owner và ai có quyền phê duyệt BRD/SRS/UAT? Baseline: docs/ba/02-requirements/VGG_REQ-WORKBOOK_v0.1_2026-09-04.xlsx / Open Questions &amp; Decisions; Yêu cầu suy ra từ code, chưa phải baseline đã phê duyệt.</x:v>
      </x:c>
    </x:row>
    <x:row r="1045" ht="62" customHeight="1">
      <x:c r="A1045" s="3" t="str">
        <x:v>OBS-SCOPE</x:v>
      </x:c>
      <x:c r="B1045" s="3" t="str">
        <x:v>SCOPE</x:v>
      </x:c>
      <x:c r="C1045" s="3" t="str">
        <x:v>Quyết định nghiệm thu</x:v>
      </x:c>
      <x:c r="D1045" s="3" t="str">
        <x:v>TC_SCOPE_002</x:v>
      </x:c>
      <x:c r="E1045" s="3" t="str">
        <x:v>OQ-002 — Nội dung</x:v>
      </x:c>
      <x:c r="F1045" s="3" t="str">
        <x:v>Partial — Need Confirmation</x:v>
      </x:c>
      <x:c r="G1045" s="3" t="str">
        <x:v>Nguồn: docs/ba/02-requirements/VGG_REQ-WORKBOOK_v0.1_2026-09-04.xlsx / Open Questions &amp; Decisions. Need Confirmation: Có quy trình duyệt 4 mắt trước khi xuất bản tin/tài nguyên không? Baseline: docs/ba/02-requirements/VGG_REQ-WORKBOOK_v0.1_2026-09-04.xlsx / Open Questions &amp; Decisions; Yêu cầu suy ra từ code, chưa phải baseline đã phê duyệt.</x:v>
      </x:c>
    </x:row>
    <x:row r="1046" ht="62" customHeight="1">
      <x:c r="A1046" s="3" t="str">
        <x:v>OBS-SCOPE</x:v>
      </x:c>
      <x:c r="B1046" s="3" t="str">
        <x:v>SCOPE</x:v>
      </x:c>
      <x:c r="C1046" s="3" t="str">
        <x:v>Quyết định nghiệm thu</x:v>
      </x:c>
      <x:c r="D1046" s="3" t="str">
        <x:v>TC_SCOPE_003</x:v>
      </x:c>
      <x:c r="E1046" s="3" t="str">
        <x:v>OQ-003 — Tư vấn</x:v>
      </x:c>
      <x:c r="F1046" s="3" t="str">
        <x:v>Partial — Need Confirmation</x:v>
      </x:c>
      <x:c r="G1046" s="3" t="str">
        <x:v>Nguồn: docs/ba/02-requirements/VGG_REQ-WORKBOOK_v0.1_2026-09-04.xlsx / Open Questions &amp; Decisions. Need Confirmation: Ma trận chuyển trạng thái, SLA liên hệ và quy tắc phân công là gì? Baseline: docs/ba/02-requirements/VGG_REQ-WORKBOOK_v0.1_2026-09-04.xlsx / Open Questions &amp; Decisions; Yêu cầu suy ra từ code, chưa phải baseline đã phê duyệt.</x:v>
      </x:c>
    </x:row>
    <x:row r="1047" ht="62" customHeight="1">
      <x:c r="A1047" s="3" t="str">
        <x:v>OBS-SCOPE</x:v>
      </x:c>
      <x:c r="B1047" s="3" t="str">
        <x:v>SCOPE</x:v>
      </x:c>
      <x:c r="C1047" s="3" t="str">
        <x:v>Quyết định nghiệm thu</x:v>
      </x:c>
      <x:c r="D1047" s="3" t="str">
        <x:v>TC_SCOPE_004</x:v>
      </x:c>
      <x:c r="E1047" s="3" t="str">
        <x:v>OQ-004 — Dữ liệu cá nhân</x:v>
      </x:c>
      <x:c r="F1047" s="3" t="str">
        <x:v>Partial — Need Confirmation</x:v>
      </x:c>
      <x:c r="G1047" s="3" t="str">
        <x:v>Nguồn: docs/ba/02-requirements/VGG_REQ-WORKBOOK_v0.1_2026-09-04.xlsx / Open Questions &amp; Decisions. Need Confirmation: Cơ sở pháp lý, nội dung consent, retention và quyền xóa/xuất dữ liệu là gì? Baseline: docs/ba/02-requirements/VGG_REQ-WORKBOOK_v0.1_2026-09-04.xlsx / Open Questions &amp; Decisions; Yêu cầu suy ra từ code, chưa phải baseline đã phê duyệt.</x:v>
      </x:c>
    </x:row>
    <x:row r="1048" ht="62" customHeight="1">
      <x:c r="A1048" s="3" t="str">
        <x:v>OBS-SCOPE</x:v>
      </x:c>
      <x:c r="B1048" s="3" t="str">
        <x:v>SCOPE</x:v>
      </x:c>
      <x:c r="C1048" s="3" t="str">
        <x:v>Quyết định nghiệm thu</x:v>
      </x:c>
      <x:c r="D1048" s="3" t="str">
        <x:v>TC_SCOPE_005</x:v>
      </x:c>
      <x:c r="E1048" s="3" t="str">
        <x:v>OQ-005 — Tệp</x:v>
      </x:c>
      <x:c r="F1048" s="3" t="str">
        <x:v>Partial — Need Confirmation</x:v>
      </x:c>
      <x:c r="G1048" s="3" t="str">
        <x:v>Nguồn: docs/ba/02-requirements/VGG_REQ-WORKBOOK_v0.1_2026-09-04.xlsx / Open Questions &amp; Decisions. Need Confirmation: Chọn ngưỡng upload tài nguyên 25 MB hay 50 MB; có quét malware không? Baseline: docs/ba/02-requirements/VGG_REQ-WORKBOOK_v0.1_2026-09-04.xlsx / Open Questions &amp; Decisions; Yêu cầu suy ra từ code, chưa phải baseline đã phê duyệt.</x:v>
      </x:c>
    </x:row>
    <x:row r="1049" ht="62" customHeight="1">
      <x:c r="A1049" s="3" t="str">
        <x:v>OBS-SCOPE</x:v>
      </x:c>
      <x:c r="B1049" s="3" t="str">
        <x:v>SCOPE</x:v>
      </x:c>
      <x:c r="C1049" s="3" t="str">
        <x:v>Quyết định nghiệm thu</x:v>
      </x:c>
      <x:c r="D1049" s="3" t="str">
        <x:v>TC_SCOPE_006</x:v>
      </x:c>
      <x:c r="E1049" s="3" t="str">
        <x:v>OQ-006 — Xóa</x:v>
      </x:c>
      <x:c r="F1049" s="3" t="str">
        <x:v>Partial — Need Confirmation</x:v>
      </x:c>
      <x:c r="G1049" s="3" t="str">
        <x:v>Nguồn: docs/ba/02-requirements/VGG_REQ-WORKBOOK_v0.1_2026-09-04.xlsx / Open Questions &amp; Decisions. Need Confirmation: Xóa tài nguyên là soft delete hay hard delete; có xóa object MinIO không? Baseline: docs/ba/02-requirements/VGG_REQ-WORKBOOK_v0.1_2026-09-04.xlsx / Open Questions &amp; Decisions; Yêu cầu suy ra từ code, chưa phải baseline đã phê duyệt.</x:v>
      </x:c>
    </x:row>
    <x:row r="1050" ht="62" customHeight="1">
      <x:c r="A1050" s="3" t="str">
        <x:v>OBS-SCOPE</x:v>
      </x:c>
      <x:c r="B1050" s="3" t="str">
        <x:v>SCOPE</x:v>
      </x:c>
      <x:c r="C1050" s="3" t="str">
        <x:v>Quyết định nghiệm thu</x:v>
      </x:c>
      <x:c r="D1050" s="3" t="str">
        <x:v>TC_SCOPE_007</x:v>
      </x:c>
      <x:c r="E1050" s="3" t="str">
        <x:v>OQ-007 — Hồ sơ</x:v>
      </x:c>
      <x:c r="F1050" s="3" t="str">
        <x:v>Partial — Need Confirmation</x:v>
      </x:c>
      <x:c r="G1050" s="3" t="str">
        <x:v>Nguồn: docs/ba/02-requirements/VGG_REQ-WORKBOOK_v0.1_2026-09-04.xlsx / Open Questions &amp; Decisions. Need Confirmation: Nguồn tạo Application và quy trình xử lý/nghiệm thu module này? Baseline: docs/ba/02-requirements/VGG_REQ-WORKBOOK_v0.1_2026-09-04.xlsx / Open Questions &amp; Decisions; Yêu cầu suy ra từ code, chưa phải baseline đã phê duyệt.</x:v>
      </x:c>
    </x:row>
    <x:row r="1051" ht="62" customHeight="1">
      <x:c r="A1051" s="3" t="str">
        <x:v>OBS-SCOPE</x:v>
      </x:c>
      <x:c r="B1051" s="3" t="str">
        <x:v>SCOPE</x:v>
      </x:c>
      <x:c r="C1051" s="3" t="str">
        <x:v>Quyết định nghiệm thu</x:v>
      </x:c>
      <x:c r="D1051" s="3" t="str">
        <x:v>TC_SCOPE_008</x:v>
      </x:c>
      <x:c r="E1051" s="3" t="str">
        <x:v>OQ-008 — Vận hành</x:v>
      </x:c>
      <x:c r="F1051" s="3" t="str">
        <x:v>Partial — Need Confirmation</x:v>
      </x:c>
      <x:c r="G1051" s="3" t="str">
        <x:v>Nguồn: docs/ba/02-requirements/VGG_REQ-WORKBOOK_v0.1_2026-09-04.xlsx / Open Questions &amp; Decisions. Need Confirmation: RPO, RTO, uptime, tải đồng thời, retention log và người trực vận hành? Baseline: docs/ba/02-requirements/VGG_REQ-WORKBOOK_v0.1_2026-09-04.xlsx / Open Questions &amp; Decisions; Yêu cầu suy ra từ code, chưa phải baseline đã phê duyệt.</x:v>
      </x:c>
    </x:row>
    <x:row r="1052" ht="62" customHeight="1">
      <x:c r="A1052" s="3" t="str">
        <x:v>OBS-SCOPE</x:v>
      </x:c>
      <x:c r="B1052" s="3" t="str">
        <x:v>SCOPE</x:v>
      </x:c>
      <x:c r="C1052" s="3" t="str">
        <x:v>Quyết định nghiệm thu</x:v>
      </x:c>
      <x:c r="D1052" s="3" t="str">
        <x:v>TC_SCOPE_009</x:v>
      </x:c>
      <x:c r="E1052" s="3" t="str">
        <x:v>OQ-009 — Tích hợp</x:v>
      </x:c>
      <x:c r="F1052" s="3" t="str">
        <x:v>Partial — Need Confirmation</x:v>
      </x:c>
      <x:c r="G1052" s="3" t="str">
        <x:v>Nguồn: docs/ba/02-requirements/VGG_REQ-WORKBOOK_v0.1_2026-09-04.xlsx / Open Questions &amp; Decisions. Need Confirmation: SMTP, CRM webhook, Redis, CDN/domain production nào bắt buộc? Baseline: docs/ba/02-requirements/VGG_REQ-WORKBOOK_v0.1_2026-09-04.xlsx / Open Questions &amp; Decisions; Yêu cầu suy ra từ code, chưa phải baseline đã phê duyệt.</x:v>
      </x:c>
    </x:row>
    <x:row r="1053" ht="62" customHeight="1">
      <x:c r="A1053" s="3" t="str">
        <x:v>OBS-SCOPE</x:v>
      </x:c>
      <x:c r="B1053" s="3" t="str">
        <x:v>SCOPE</x:v>
      </x:c>
      <x:c r="C1053" s="3" t="str">
        <x:v>Quyết định nghiệm thu</x:v>
      </x:c>
      <x:c r="D1053" s="3" t="str">
        <x:v>TC_SCOPE_010</x:v>
      </x:c>
      <x:c r="E1053" s="3" t="str">
        <x:v>OQ-010 — Nghiệm thu</x:v>
      </x:c>
      <x:c r="F1053" s="3" t="str">
        <x:v>Partial — Need Confirmation</x:v>
      </x:c>
      <x:c r="G1053" s="3" t="str">
        <x:v>Nguồn: docs/ba/02-requirements/VGG_REQ-WORKBOOK_v0.1_2026-09-04.xlsx / Open Questions &amp; Decisions. Need Confirmation: Môi trường UAT, bộ dữ liệu mẫu, thiết bị/trình duyệt và người ký nghiệm thu? Baseline: docs/ba/02-requirements/VGG_REQ-WORKBOOK_v0.1_2026-09-04.xlsx / Open Questions &amp; Decisions; Yêu cầu suy ra từ code, chưa phải baseline đã phê duyệt.</x:v>
      </x:c>
    </x:row>
    <x:row r="1054" ht="36" customHeight="1">
      <x:c r="A1054" s="3" t="str">
        <x:v>PUB-004</x:v>
      </x:c>
      <x:c r="B1054" s="3" t="str">
        <x:v>RESOURCE</x:v>
      </x:c>
      <x:c r="C1054" s="3" t="str">
        <x:v>Hệ thống phải liệt kê tài nguyên công khai và phân phối tệp qua proxy nội bộ.</x:v>
      </x:c>
      <x:c r="D1054" s="3" t="str">
        <x:v>TC_RESOURCE_080</x:v>
      </x:c>
      <x:c r="E1054" s="3" t="str">
        <x:v>/vi/resources có 0 bản ghi</x:v>
      </x:c>
      <x:c r="F1054" s="3" t="str">
        <x:v>Designed — chưa thực thi</x:v>
      </x:c>
      <x:c r="G1054" s="3" t="str">
        <x:v>Nguồn: frontend/src/features/resources/components/ResourcesExplorer.tsx.  Baseline: docs/ba/02-requirements/VGG_REQ-WORKBOOK_v0.1_2026-09-04.xlsx / Requirements; </x:v>
      </x:c>
    </x:row>
    <x:row r="1055" ht="36" customHeight="1">
      <x:c r="A1055" s="3" t="str">
        <x:v>PUB-004</x:v>
      </x:c>
      <x:c r="B1055" s="3" t="str">
        <x:v>RESOURCE</x:v>
      </x:c>
      <x:c r="C1055" s="3" t="str">
        <x:v>Hệ thống phải liệt kê tài nguyên công khai và phân phối tệp qua proxy nội bộ.</x:v>
      </x:c>
      <x:c r="D1055" s="3" t="str">
        <x:v>TC_RESOURCE_081</x:v>
      </x:c>
      <x:c r="E1055" s="3" t="str">
        <x:v>/vi/resources có 1 bản ghi</x:v>
      </x:c>
      <x:c r="F1055" s="3" t="str">
        <x:v>Designed — chưa thực thi</x:v>
      </x:c>
      <x:c r="G1055" s="3" t="str">
        <x:v>Nguồn: frontend/src/features/resources/components/ResourcesExplorer.tsx.  Baseline: docs/ba/02-requirements/VGG_REQ-WORKBOOK_v0.1_2026-09-04.xlsx / Requirements; </x:v>
      </x:c>
    </x:row>
    <x:row r="1056" ht="36" customHeight="1">
      <x:c r="A1056" s="3" t="str">
        <x:v>PUB-004</x:v>
      </x:c>
      <x:c r="B1056" s="3" t="str">
        <x:v>RESOURCE</x:v>
      </x:c>
      <x:c r="C1056" s="3" t="str">
        <x:v>Hệ thống phải liệt kê tài nguyên công khai và phân phối tệp qua proxy nội bộ.</x:v>
      </x:c>
      <x:c r="D1056" s="3" t="str">
        <x:v>TC_RESOURCE_082</x:v>
      </x:c>
      <x:c r="E1056" s="3" t="str">
        <x:v>/vi/resources có 4 bản ghi</x:v>
      </x:c>
      <x:c r="F1056" s="3" t="str">
        <x:v>Designed — chưa thực thi</x:v>
      </x:c>
      <x:c r="G1056" s="3" t="str">
        <x:v>Nguồn: frontend/src/features/resources/components/ResourcesExplorer.tsx.  Baseline: docs/ba/02-requirements/VGG_REQ-WORKBOOK_v0.1_2026-09-04.xlsx / Requirements; </x:v>
      </x:c>
    </x:row>
    <x:row r="1057" ht="36" customHeight="1">
      <x:c r="A1057" s="3" t="str">
        <x:v>PUB-004</x:v>
      </x:c>
      <x:c r="B1057" s="3" t="str">
        <x:v>RESOURCE</x:v>
      </x:c>
      <x:c r="C1057" s="3" t="str">
        <x:v>Hệ thống phải liệt kê tài nguyên công khai và phân phối tệp qua proxy nội bộ.</x:v>
      </x:c>
      <x:c r="D1057" s="3" t="str">
        <x:v>TC_RESOURCE_083</x:v>
      </x:c>
      <x:c r="E1057" s="3" t="str">
        <x:v>/vi/resources có 5 bản ghi</x:v>
      </x:c>
      <x:c r="F1057" s="3" t="str">
        <x:v>Designed — chưa thực thi</x:v>
      </x:c>
      <x:c r="G1057" s="3" t="str">
        <x:v>Nguồn: frontend/src/features/resources/components/ResourcesExplorer.tsx.  Baseline: docs/ba/02-requirements/VGG_REQ-WORKBOOK_v0.1_2026-09-04.xlsx / Requirements; </x:v>
      </x:c>
    </x:row>
    <x:row r="1058" ht="36" customHeight="1">
      <x:c r="A1058" s="3" t="str">
        <x:v>PUB-004</x:v>
      </x:c>
      <x:c r="B1058" s="3" t="str">
        <x:v>RESOURCE</x:v>
      </x:c>
      <x:c r="C1058" s="3" t="str">
        <x:v>Hệ thống phải liệt kê tài nguyên công khai và phân phối tệp qua proxy nội bộ.</x:v>
      </x:c>
      <x:c r="D1058" s="3" t="str">
        <x:v>TC_RESOURCE_084</x:v>
      </x:c>
      <x:c r="E1058" s="3" t="str">
        <x:v>/vi/resources có 6 bản ghi</x:v>
      </x:c>
      <x:c r="F1058" s="3" t="str">
        <x:v>Designed — chưa thực thi</x:v>
      </x:c>
      <x:c r="G1058" s="3" t="str">
        <x:v>Nguồn: frontend/src/features/resources/components/ResourcesExplorer.tsx.  Baseline: docs/ba/02-requirements/VGG_REQ-WORKBOOK_v0.1_2026-09-04.xlsx / Requirements; </x:v>
      </x:c>
    </x:row>
    <x:row r="1059" ht="36" customHeight="1">
      <x:c r="A1059" s="3" t="str">
        <x:v>PUB-004</x:v>
      </x:c>
      <x:c r="B1059" s="3" t="str">
        <x:v>RESOURCE</x:v>
      </x:c>
      <x:c r="C1059" s="3" t="str">
        <x:v>Hệ thống phải liệt kê tài nguyên công khai và phân phối tệp qua proxy nội bộ.</x:v>
      </x:c>
      <x:c r="D1059" s="3" t="str">
        <x:v>TC_RESOURCE_085</x:v>
      </x:c>
      <x:c r="E1059" s="3" t="str">
        <x:v>/vi/resources có 11 bản ghi</x:v>
      </x:c>
      <x:c r="F1059" s="3" t="str">
        <x:v>Designed — chưa thực thi</x:v>
      </x:c>
      <x:c r="G1059" s="3" t="str">
        <x:v>Nguồn: frontend/src/features/resources/components/ResourcesExplorer.tsx.  Baseline: docs/ba/02-requirements/VGG_REQ-WORKBOOK_v0.1_2026-09-04.xlsx / Requirements; </x:v>
      </x:c>
    </x:row>
    <x:row r="1060" ht="36" customHeight="1">
      <x:c r="A1060" s="3" t="str">
        <x:v>RES-001</x:v>
      </x:c>
      <x:c r="B1060" s="3" t="str">
        <x:v>RESOURCE</x:v>
      </x:c>
      <x:c r="C1060" s="3" t="str">
        <x:v>Người có resources.create phải tải tệp được phép và tạo bản ghi gắn danh mục.</x:v>
      </x:c>
      <x:c r="D1060" s="3" t="str">
        <x:v>TC_RESOURCE_086</x:v>
      </x:c>
      <x:c r="E1060" s="3" t="str">
        <x:v>/admin/resources có 0 bản ghi</x:v>
      </x:c>
      <x:c r="F1060" s="3" t="str">
        <x:v>Designed — chưa thực thi</x:v>
      </x:c>
      <x:c r="G1060" s="3" t="str">
        <x:v>Nguồn: admin/src/components/cms/ResourceManager.tsx.  Baseline: docs/ba/02-requirements/VGG_REQ-WORKBOOK_v0.1_2026-09-04.xlsx / Requirements; Backend 50 MB, Admin mặc định 25 MB: cần thống nhất</x:v>
      </x:c>
    </x:row>
    <x:row r="1061" ht="36" customHeight="1">
      <x:c r="A1061" s="3" t="str">
        <x:v>RES-001</x:v>
      </x:c>
      <x:c r="B1061" s="3" t="str">
        <x:v>RESOURCE</x:v>
      </x:c>
      <x:c r="C1061" s="3" t="str">
        <x:v>Người có resources.create phải tải tệp được phép và tạo bản ghi gắn danh mục.</x:v>
      </x:c>
      <x:c r="D1061" s="3" t="str">
        <x:v>TC_RESOURCE_087</x:v>
      </x:c>
      <x:c r="E1061" s="3" t="str">
        <x:v>/admin/resources có 1 bản ghi</x:v>
      </x:c>
      <x:c r="F1061" s="3" t="str">
        <x:v>Designed — chưa thực thi</x:v>
      </x:c>
      <x:c r="G1061" s="3" t="str">
        <x:v>Nguồn: admin/src/components/cms/ResourceManager.tsx.  Baseline: docs/ba/02-requirements/VGG_REQ-WORKBOOK_v0.1_2026-09-04.xlsx / Requirements; Backend 50 MB, Admin mặc định 25 MB: cần thống nhất</x:v>
      </x:c>
    </x:row>
    <x:row r="1062" ht="36" customHeight="1">
      <x:c r="A1062" s="3" t="str">
        <x:v>RES-001</x:v>
      </x:c>
      <x:c r="B1062" s="3" t="str">
        <x:v>RESOURCE</x:v>
      </x:c>
      <x:c r="C1062" s="3" t="str">
        <x:v>Người có resources.create phải tải tệp được phép và tạo bản ghi gắn danh mục.</x:v>
      </x:c>
      <x:c r="D1062" s="3" t="str">
        <x:v>TC_RESOURCE_088</x:v>
      </x:c>
      <x:c r="E1062" s="3" t="str">
        <x:v>/admin/resources có 9 bản ghi</x:v>
      </x:c>
      <x:c r="F1062" s="3" t="str">
        <x:v>Designed — chưa thực thi</x:v>
      </x:c>
      <x:c r="G1062" s="3" t="str">
        <x:v>Nguồn: admin/src/components/cms/ResourceManager.tsx.  Baseline: docs/ba/02-requirements/VGG_REQ-WORKBOOK_v0.1_2026-09-04.xlsx / Requirements; Backend 50 MB, Admin mặc định 25 MB: cần thống nhất</x:v>
      </x:c>
    </x:row>
    <x:row r="1063" ht="36" customHeight="1">
      <x:c r="A1063" s="3" t="str">
        <x:v>RES-001</x:v>
      </x:c>
      <x:c r="B1063" s="3" t="str">
        <x:v>RESOURCE</x:v>
      </x:c>
      <x:c r="C1063" s="3" t="str">
        <x:v>Người có resources.create phải tải tệp được phép và tạo bản ghi gắn danh mục.</x:v>
      </x:c>
      <x:c r="D1063" s="3" t="str">
        <x:v>TC_RESOURCE_089</x:v>
      </x:c>
      <x:c r="E1063" s="3" t="str">
        <x:v>/admin/resources có 10 bản ghi</x:v>
      </x:c>
      <x:c r="F1063" s="3" t="str">
        <x:v>Designed — chưa thực thi</x:v>
      </x:c>
      <x:c r="G1063" s="3" t="str">
        <x:v>Nguồn: admin/src/components/cms/ResourceManager.tsx.  Baseline: docs/ba/02-requirements/VGG_REQ-WORKBOOK_v0.1_2026-09-04.xlsx / Requirements; Backend 50 MB, Admin mặc định 25 MB: cần thống nhất</x:v>
      </x:c>
    </x:row>
    <x:row r="1064" ht="36" customHeight="1">
      <x:c r="A1064" s="3" t="str">
        <x:v>RES-001</x:v>
      </x:c>
      <x:c r="B1064" s="3" t="str">
        <x:v>RESOURCE</x:v>
      </x:c>
      <x:c r="C1064" s="3" t="str">
        <x:v>Người có resources.create phải tải tệp được phép và tạo bản ghi gắn danh mục.</x:v>
      </x:c>
      <x:c r="D1064" s="3" t="str">
        <x:v>TC_RESOURCE_090</x:v>
      </x:c>
      <x:c r="E1064" s="3" t="str">
        <x:v>/admin/resources có 11 bản ghi</x:v>
      </x:c>
      <x:c r="F1064" s="3" t="str">
        <x:v>Designed — chưa thực thi</x:v>
      </x:c>
      <x:c r="G1064" s="3" t="str">
        <x:v>Nguồn: admin/src/components/cms/ResourceManager.tsx.  Baseline: docs/ba/02-requirements/VGG_REQ-WORKBOOK_v0.1_2026-09-04.xlsx / Requirements; Backend 50 MB, Admin mặc định 25 MB: cần thống nhất</x:v>
      </x:c>
    </x:row>
    <x:row r="1065" ht="36" customHeight="1">
      <x:c r="A1065" s="3" t="str">
        <x:v>RES-001</x:v>
      </x:c>
      <x:c r="B1065" s="3" t="str">
        <x:v>RESOURCE</x:v>
      </x:c>
      <x:c r="C1065" s="3" t="str">
        <x:v>Người có resources.create phải tải tệp được phép và tạo bản ghi gắn danh mục.</x:v>
      </x:c>
      <x:c r="D1065" s="3" t="str">
        <x:v>TC_RESOURCE_091</x:v>
      </x:c>
      <x:c r="E1065" s="3" t="str">
        <x:v>/admin/resources có 21 bản ghi</x:v>
      </x:c>
      <x:c r="F1065" s="3" t="str">
        <x:v>Designed — chưa thực thi</x:v>
      </x:c>
      <x:c r="G1065" s="3" t="str">
        <x:v>Nguồn: admin/src/components/cms/ResourceManager.tsx.  Baseline: docs/ba/02-requirements/VGG_REQ-WORKBOOK_v0.1_2026-09-04.xlsx / Requirements; Backend 50 MB, Admin mặc định 25 MB: cần thống nhất</x:v>
      </x:c>
    </x:row>
    <x:row r="1066" ht="36" customHeight="1">
      <x:c r="A1066" s="3" t="str">
        <x:v>NEWS-001</x:v>
      </x:c>
      <x:c r="B1066" s="3" t="str">
        <x:v>NEWS</x:v>
      </x:c>
      <x:c r="C1066" s="3" t="str">
        <x:v>Người có news.create phải tạo được bài với tiêu đề, slug, locale, danh mục và nội dung hợp lệ.</x:v>
      </x:c>
      <x:c r="D1066" s="3" t="str">
        <x:v>TC_NEWS_072</x:v>
      </x:c>
      <x:c r="E1066" s="3" t="str">
        <x:v>Double click Lưu /admin/news</x:v>
      </x:c>
      <x:c r="F1066" s="3" t="str">
        <x:v>Designed — chưa thực thi</x:v>
      </x:c>
      <x:c r="G1066" s="3" t="str">
        <x:v>Nguồn: admin/src/components/cms/NewsManager.tsx.  Baseline: docs/ba/02-requirements/VGG_REQ-WORKBOOK_v0.1_2026-09-04.xlsx / Requirements; Quy trình duyệt nội dung cần xác nhận</x:v>
      </x:c>
    </x:row>
    <x:row r="1067" ht="36" customHeight="1">
      <x:c r="A1067" s="3" t="str">
        <x:v>NEWS-001</x:v>
      </x:c>
      <x:c r="B1067" s="3" t="str">
        <x:v>NEWS</x:v>
      </x:c>
      <x:c r="C1067" s="3" t="str">
        <x:v>Người có news.create phải tạo được bài với tiêu đề, slug, locale, danh mục và nội dung hợp lệ.</x:v>
      </x:c>
      <x:c r="D1067" s="3" t="str">
        <x:v>TC_NEWS_073</x:v>
      </x:c>
      <x:c r="E1067" s="3" t="str">
        <x:v>Hai người tạo khóa trùng /admin/news</x:v>
      </x:c>
      <x:c r="F1067" s="3" t="str">
        <x:v>Designed — chưa thực thi</x:v>
      </x:c>
      <x:c r="G1067" s="3" t="str">
        <x:v>Nguồn: admin/src/components/cms/NewsManager.tsx; backend/prisma/schema.prisma.  Baseline: docs/ba/02-requirements/VGG_REQ-WORKBOOK_v0.1_2026-09-04.xlsx / Requirements; Quy trình duyệt nội dung cần xác nhận</x:v>
      </x:c>
    </x:row>
    <x:row r="1068" ht="49" customHeight="1">
      <x:c r="A1068" s="3" t="str">
        <x:v>NEWS-001</x:v>
      </x:c>
      <x:c r="B1068" s="3" t="str">
        <x:v>NEWS</x:v>
      </x:c>
      <x:c r="C1068" s="3" t="str">
        <x:v>Người có news.create phải tạo được bài với tiêu đề, slug, locale, danh mục và nội dung hợp lệ.</x:v>
      </x:c>
      <x:c r="D1068" s="3" t="str">
        <x:v>TC_NEWS_074</x:v>
      </x:c>
      <x:c r="E1068" s="3" t="str">
        <x:v>Sửa record đã bị người khác xóa /admin/news</x:v>
      </x:c>
      <x:c r="F1068" s="3" t="str">
        <x:v>Partial — Need Confirmation</x:v>
      </x:c>
      <x:c r="G1068" s="3" t="str">
        <x:v>Nguồn: admin/src/components/cms/NewsManager.tsx. Need Confirmation: Tin dùng soft archive; chốt quyền phục hồi khi đang mở bản sửa. Baseline: docs/ba/02-requirements/VGG_REQ-WORKBOOK_v0.1_2026-09-04.xlsx / Requirements; Quy trình duyệt nội dung cần xác nhận</x:v>
      </x:c>
    </x:row>
    <x:row r="1069" ht="36" customHeight="1">
      <x:c r="A1069" s="3" t="str">
        <x:v>RES-001</x:v>
      </x:c>
      <x:c r="B1069" s="3" t="str">
        <x:v>RESOURCE</x:v>
      </x:c>
      <x:c r="C1069" s="3" t="str">
        <x:v>Người có resources.create phải tải tệp được phép và tạo bản ghi gắn danh mục.</x:v>
      </x:c>
      <x:c r="D1069" s="3" t="str">
        <x:v>TC_RESOURCE_092</x:v>
      </x:c>
      <x:c r="E1069" s="3" t="str">
        <x:v>Double click Lưu /admin/resources</x:v>
      </x:c>
      <x:c r="F1069" s="3" t="str">
        <x:v>Designed — chưa thực thi</x:v>
      </x:c>
      <x:c r="G1069" s="3" t="str">
        <x:v>Nguồn: admin/src/components/cms/ResourceManager.tsx.  Baseline: docs/ba/02-requirements/VGG_REQ-WORKBOOK_v0.1_2026-09-04.xlsx / Requirements; Backend 50 MB, Admin mặc định 25 MB: cần thống nhất</x:v>
      </x:c>
    </x:row>
    <x:row r="1070" ht="49" customHeight="1">
      <x:c r="A1070" s="3" t="str">
        <x:v>RES-001</x:v>
      </x:c>
      <x:c r="B1070" s="3" t="str">
        <x:v>RESOURCE</x:v>
      </x:c>
      <x:c r="C1070" s="3" t="str">
        <x:v>Người có resources.create phải tải tệp được phép và tạo bản ghi gắn danh mục.</x:v>
      </x:c>
      <x:c r="D1070" s="3" t="str">
        <x:v>TC_RESOURCE_093</x:v>
      </x:c>
      <x:c r="E1070" s="3" t="str">
        <x:v>Hai người tạo khóa trùng /admin/resources</x:v>
      </x:c>
      <x:c r="F1070" s="3" t="str">
        <x:v>Designed — chưa thực thi</x:v>
      </x:c>
      <x:c r="G1070" s="3" t="str">
        <x:v>Nguồn: admin/src/components/cms/ResourceManager.tsx; backend/prisma/schema.prisma.  Baseline: docs/ba/02-requirements/VGG_REQ-WORKBOOK_v0.1_2026-09-04.xlsx / Requirements; Backend 50 MB, Admin mặc định 25 MB: cần thống nhất</x:v>
      </x:c>
    </x:row>
    <x:row r="1071" ht="36" customHeight="1">
      <x:c r="A1071" s="3" t="str">
        <x:v>RES-001</x:v>
      </x:c>
      <x:c r="B1071" s="3" t="str">
        <x:v>RESOURCE</x:v>
      </x:c>
      <x:c r="C1071" s="3" t="str">
        <x:v>Người có resources.create phải tải tệp được phép và tạo bản ghi gắn danh mục.</x:v>
      </x:c>
      <x:c r="D1071" s="3" t="str">
        <x:v>TC_RESOURCE_094</x:v>
      </x:c>
      <x:c r="E1071" s="3" t="str">
        <x:v>Sửa record đã bị người khác xóa /admin/resources</x:v>
      </x:c>
      <x:c r="F1071" s="3" t="str">
        <x:v>Designed — chưa thực thi</x:v>
      </x:c>
      <x:c r="G1071" s="3" t="str">
        <x:v>Nguồn: admin/src/components/cms/ResourceManager.tsx.  Baseline: docs/ba/02-requirements/VGG_REQ-WORKBOOK_v0.1_2026-09-04.xlsx / Requirements; Backend 50 MB, Admin mặc định 25 MB: cần thống nhất</x:v>
      </x:c>
    </x:row>
    <x:row r="1072" ht="36" customHeight="1">
      <x:c r="A1072" s="3" t="str">
        <x:v>USR-001</x:v>
      </x:c>
      <x:c r="B1072" s="3" t="str">
        <x:v>USER</x:v>
      </x:c>
      <x:c r="C1072" s="3" t="str">
        <x:v>Chỉ SUPER_ADMIN hoặc quyền admins.* tương ứng được thao tác tài khoản.</x:v>
      </x:c>
      <x:c r="D1072" s="3" t="str">
        <x:v>TC_USER_037</x:v>
      </x:c>
      <x:c r="E1072" s="3" t="str">
        <x:v>Double click Lưu /admin/users/create</x:v>
      </x:c>
      <x:c r="F1072" s="3" t="str">
        <x:v>Designed — chưa thực thi</x:v>
      </x:c>
      <x:c r="G1072" s="3" t="str">
        <x:v>Nguồn: admin/src/components/users/CreateAdminForm.tsx.  Baseline: docs/ba/02-requirements/VGG_REQ-WORKBOOK_v0.1_2026-09-04.xlsx / Requirements; </x:v>
      </x:c>
    </x:row>
    <x:row r="1073" ht="36" customHeight="1">
      <x:c r="A1073" s="3" t="str">
        <x:v>USR-001</x:v>
      </x:c>
      <x:c r="B1073" s="3" t="str">
        <x:v>USER</x:v>
      </x:c>
      <x:c r="C1073" s="3" t="str">
        <x:v>Chỉ SUPER_ADMIN hoặc quyền admins.* tương ứng được thao tác tài khoản.</x:v>
      </x:c>
      <x:c r="D1073" s="3" t="str">
        <x:v>TC_USER_038</x:v>
      </x:c>
      <x:c r="E1073" s="3" t="str">
        <x:v>Hai người tạo khóa trùng /admin/users/create</x:v>
      </x:c>
      <x:c r="F1073" s="3" t="str">
        <x:v>Designed — chưa thực thi</x:v>
      </x:c>
      <x:c r="G1073" s="3" t="str">
        <x:v>Nguồn: admin/src/components/users/CreateAdminForm.tsx; backend/prisma/schema.prisma.  Baseline: docs/ba/02-requirements/VGG_REQ-WORKBOOK_v0.1_2026-09-04.xlsx / Requirements; </x:v>
      </x:c>
    </x:row>
    <x:row r="1074" ht="36" customHeight="1">
      <x:c r="A1074" s="3" t="str">
        <x:v>USR-001</x:v>
      </x:c>
      <x:c r="B1074" s="3" t="str">
        <x:v>USER</x:v>
      </x:c>
      <x:c r="C1074" s="3" t="str">
        <x:v>Chỉ SUPER_ADMIN hoặc quyền admins.* tương ứng được thao tác tài khoản.</x:v>
      </x:c>
      <x:c r="D1074" s="3" t="str">
        <x:v>TC_USER_039</x:v>
      </x:c>
      <x:c r="E1074" s="3" t="str">
        <x:v>Sửa record đã bị người khác xóa /admin/users/create</x:v>
      </x:c>
      <x:c r="F1074" s="3" t="str">
        <x:v>Designed — chưa thực thi</x:v>
      </x:c>
      <x:c r="G1074" s="3" t="str">
        <x:v>Nguồn: admin/src/components/users/CreateAdminForm.tsx.  Baseline: docs/ba/02-requirements/VGG_REQ-WORKBOOK_v0.1_2026-09-04.xlsx / Requirements; </x:v>
      </x:c>
    </x:row>
    <x:row r="1075" ht="36" customHeight="1">
      <x:c r="A1075" s="3" t="str">
        <x:v>CON-001</x:v>
      </x:c>
      <x:c r="B1075" s="3" t="str">
        <x:v>CONSULT</x:v>
      </x:c>
      <x:c r="C1075" s="3" t="str">
        <x:v>Hệ thống phải kiểm tra dữ liệu bắt buộc, chống bot cơ bản và ghi nhận yêu cầu tư vấn.</x:v>
      </x:c>
      <x:c r="D1075" s="3" t="str">
        <x:v>TC_CONSULT_092</x:v>
      </x:c>
      <x:c r="E1075" s="3" t="str">
        <x:v>POST BACKEND /api/public/consultations email=189</x:v>
      </x:c>
      <x:c r="F1075" s="3" t="str">
        <x:v>Designed — chưa thực thi</x:v>
      </x:c>
      <x:c r="G1075" s="3" t="str">
        <x:v>Nguồn: backend/src/modules/consultations/consultations.routes.ts.  Baseline: docs/ba/02-requirements/VGG_REQ-WORKBOOK_v0.1_2026-09-04.xlsx / Requirements; Cơ sở pháp lý/đồng ý xử lý dữ liệu cần xác nhận</x:v>
      </x:c>
    </x:row>
    <x:row r="1076" ht="36" customHeight="1">
      <x:c r="A1076" s="3" t="str">
        <x:v>CON-001</x:v>
      </x:c>
      <x:c r="B1076" s="3" t="str">
        <x:v>CONSULT</x:v>
      </x:c>
      <x:c r="C1076" s="3" t="str">
        <x:v>Hệ thống phải kiểm tra dữ liệu bắt buộc, chống bot cơ bản và ghi nhận yêu cầu tư vấn.</x:v>
      </x:c>
      <x:c r="D1076" s="3" t="str">
        <x:v>TC_CONSULT_093</x:v>
      </x:c>
      <x:c r="E1076" s="3" t="str">
        <x:v>POST BACKEND /api/public/consultations email=190</x:v>
      </x:c>
      <x:c r="F1076" s="3" t="str">
        <x:v>Designed — chưa thực thi</x:v>
      </x:c>
      <x:c r="G1076" s="3" t="str">
        <x:v>Nguồn: backend/src/modules/consultations/consultations.routes.ts.  Baseline: docs/ba/02-requirements/VGG_REQ-WORKBOOK_v0.1_2026-09-04.xlsx / Requirements; Cơ sở pháp lý/đồng ý xử lý dữ liệu cần xác nhận</x:v>
      </x:c>
    </x:row>
    <x:row r="1077" ht="36" customHeight="1">
      <x:c r="A1077" s="3" t="str">
        <x:v>CON-001</x:v>
      </x:c>
      <x:c r="B1077" s="3" t="str">
        <x:v>CONSULT</x:v>
      </x:c>
      <x:c r="C1077" s="3" t="str">
        <x:v>Hệ thống phải kiểm tra dữ liệu bắt buộc, chống bot cơ bản và ghi nhận yêu cầu tư vấn.</x:v>
      </x:c>
      <x:c r="D1077" s="3" t="str">
        <x:v>TC_CONSULT_094</x:v>
      </x:c>
      <x:c r="E1077" s="3" t="str">
        <x:v>POST BACKEND /api/public/consultations email=191</x:v>
      </x:c>
      <x:c r="F1077" s="3" t="str">
        <x:v>Designed — chưa thực thi</x:v>
      </x:c>
      <x:c r="G1077" s="3" t="str">
        <x:v>Nguồn: backend/src/modules/consultations/consultations.routes.ts.  Baseline: docs/ba/02-requirements/VGG_REQ-WORKBOOK_v0.1_2026-09-04.xlsx / Requirements; Cơ sở pháp lý/đồng ý xử lý dữ liệu cần xác nhận</x:v>
      </x:c>
    </x:row>
    <x:row r="1078" ht="36" customHeight="1">
      <x:c r="A1078" s="3" t="str">
        <x:v>OBS-RESET</x:v>
      </x:c>
      <x:c r="B1078" s="3" t="str">
        <x:v>AUTH</x:v>
      </x:c>
      <x:c r="C1078" s="3" t="str">
        <x:v>Xác thực và vòng đời phiên</x:v>
      </x:c>
      <x:c r="D1078" s="3" t="str">
        <x:v>TC_AUTH_068</x:v>
      </x:c>
      <x:c r="E1078" s="3" t="str">
        <x:v>POST ADMIN /api/admin/auth/forgot-password email=189</x:v>
      </x:c>
      <x:c r="F1078" s="3" t="str">
        <x:v>Designed — chưa thực thi</x:v>
      </x:c>
      <x:c r="G1078" s="3" t="str">
        <x:v>Nguồn: admin/src/lib/auth/schemas.ts.  Baseline: admin/src/app/api/admin/auth; Yêu cầu suy ra từ code, chưa phải baseline đã phê duyệt.</x:v>
      </x:c>
    </x:row>
    <x:row r="1079" ht="36" customHeight="1">
      <x:c r="A1079" s="3" t="str">
        <x:v>OBS-RESET</x:v>
      </x:c>
      <x:c r="B1079" s="3" t="str">
        <x:v>AUTH</x:v>
      </x:c>
      <x:c r="C1079" s="3" t="str">
        <x:v>Xác thực và vòng đời phiên</x:v>
      </x:c>
      <x:c r="D1079" s="3" t="str">
        <x:v>TC_AUTH_069</x:v>
      </x:c>
      <x:c r="E1079" s="3" t="str">
        <x:v>POST ADMIN /api/admin/auth/forgot-password email=190</x:v>
      </x:c>
      <x:c r="F1079" s="3" t="str">
        <x:v>Designed — chưa thực thi</x:v>
      </x:c>
      <x:c r="G1079" s="3" t="str">
        <x:v>Nguồn: admin/src/lib/auth/schemas.ts.  Baseline: admin/src/app/api/admin/auth; Yêu cầu suy ra từ code, chưa phải baseline đã phê duyệt.</x:v>
      </x:c>
    </x:row>
    <x:row r="1080" ht="36" customHeight="1">
      <x:c r="A1080" s="3" t="str">
        <x:v>OBS-RESET</x:v>
      </x:c>
      <x:c r="B1080" s="3" t="str">
        <x:v>AUTH</x:v>
      </x:c>
      <x:c r="C1080" s="3" t="str">
        <x:v>Xác thực và vòng đời phiên</x:v>
      </x:c>
      <x:c r="D1080" s="3" t="str">
        <x:v>TC_AUTH_070</x:v>
      </x:c>
      <x:c r="E1080" s="3" t="str">
        <x:v>POST ADMIN /api/admin/auth/forgot-password email=191</x:v>
      </x:c>
      <x:c r="F1080" s="3" t="str">
        <x:v>Designed — chưa thực thi</x:v>
      </x:c>
      <x:c r="G1080" s="3" t="str">
        <x:v>Nguồn: admin/src/lib/auth/schemas.ts.  Baseline: admin/src/app/api/admin/auth; Yêu cầu suy ra từ code, chưa phải baseline đã phê duyệt.</x:v>
      </x:c>
    </x:row>
    <x:row r="1081" ht="36" customHeight="1">
      <x:c r="A1081" s="3" t="str">
        <x:v>NEWS-003</x:v>
      </x:c>
      <x:c r="B1081" s="3" t="str">
        <x:v>NEWS</x:v>
      </x:c>
      <x:c r="C1081" s="3" t="str">
        <x:v>Hệ thống phải nhận JPG/PNG/WebP/AVIF tối đa 8 MB và lưu trong kho đối tượng.</x:v>
      </x:c>
      <x:c r="D1081" s="3" t="str">
        <x:v>TC_NEWS_075</x:v>
      </x:c>
      <x:c r="E1081" s="3" t="str">
        <x:v>POST BACKEND /api/admin/news coverImage=999</x:v>
      </x:c>
      <x:c r="F1081" s="3" t="str">
        <x:v>Designed — chưa thực thi</x:v>
      </x:c>
      <x:c r="G1081" s="3" t="str">
        <x:v>Nguồn: backend/src/modules/cms/cms.routes.ts.  Baseline: docs/ba/02-requirements/VGG_REQ-WORKBOOK_v0.1_2026-09-04.xlsx / Requirements; </x:v>
      </x:c>
    </x:row>
    <x:row r="1082" ht="36" customHeight="1">
      <x:c r="A1082" s="3" t="str">
        <x:v>NEWS-003</x:v>
      </x:c>
      <x:c r="B1082" s="3" t="str">
        <x:v>NEWS</x:v>
      </x:c>
      <x:c r="C1082" s="3" t="str">
        <x:v>Hệ thống phải nhận JPG/PNG/WebP/AVIF tối đa 8 MB và lưu trong kho đối tượng.</x:v>
      </x:c>
      <x:c r="D1082" s="3" t="str">
        <x:v>TC_NEWS_076</x:v>
      </x:c>
      <x:c r="E1082" s="3" t="str">
        <x:v>POST BACKEND /api/admin/news coverImage=1000</x:v>
      </x:c>
      <x:c r="F1082" s="3" t="str">
        <x:v>Designed — chưa thực thi</x:v>
      </x:c>
      <x:c r="G1082" s="3" t="str">
        <x:v>Nguồn: backend/src/modules/cms/cms.routes.ts.  Baseline: docs/ba/02-requirements/VGG_REQ-WORKBOOK_v0.1_2026-09-04.xlsx / Requirements; </x:v>
      </x:c>
    </x:row>
    <x:row r="1083" ht="36" customHeight="1">
      <x:c r="A1083" s="3" t="str">
        <x:v>NEWS-003</x:v>
      </x:c>
      <x:c r="B1083" s="3" t="str">
        <x:v>NEWS</x:v>
      </x:c>
      <x:c r="C1083" s="3" t="str">
        <x:v>Hệ thống phải nhận JPG/PNG/WebP/AVIF tối đa 8 MB và lưu trong kho đối tượng.</x:v>
      </x:c>
      <x:c r="D1083" s="3" t="str">
        <x:v>TC_NEWS_077</x:v>
      </x:c>
      <x:c r="E1083" s="3" t="str">
        <x:v>POST BACKEND /api/admin/news coverImage=1001</x:v>
      </x:c>
      <x:c r="F1083" s="3" t="str">
        <x:v>Designed — chưa thực thi</x:v>
      </x:c>
      <x:c r="G1083" s="3" t="str">
        <x:v>Nguồn: backend/src/modules/cms/cms.routes.ts.  Baseline: docs/ba/02-requirements/VGG_REQ-WORKBOOK_v0.1_2026-09-04.xlsx / Requirements; </x:v>
      </x:c>
    </x:row>
    <x:row r="1084" ht="36" customHeight="1">
      <x:c r="A1084" s="3" t="str">
        <x:v>RES-001</x:v>
      </x:c>
      <x:c r="B1084" s="3" t="str">
        <x:v>RESOURCE</x:v>
      </x:c>
      <x:c r="C1084" s="3" t="str">
        <x:v>Người có resources.create phải tải tệp được phép và tạo bản ghi gắn danh mục.</x:v>
      </x:c>
      <x:c r="D1084" s="3" t="str">
        <x:v>TC_RESOURCE_095</x:v>
      </x:c>
      <x:c r="E1084" s="3" t="str">
        <x:v>POST BACKEND /api/admin/resources fileUrl=999</x:v>
      </x:c>
      <x:c r="F1084" s="3" t="str">
        <x:v>Designed — chưa thực thi</x:v>
      </x:c>
      <x:c r="G1084" s="3" t="str">
        <x:v>Nguồn: backend/src/modules/cms/cms.routes.ts.  Baseline: docs/ba/02-requirements/VGG_REQ-WORKBOOK_v0.1_2026-09-04.xlsx / Requirements; Backend 50 MB, Admin mặc định 25 MB: cần thống nhất</x:v>
      </x:c>
    </x:row>
    <x:row r="1085" ht="36" customHeight="1">
      <x:c r="A1085" s="3" t="str">
        <x:v>RES-001</x:v>
      </x:c>
      <x:c r="B1085" s="3" t="str">
        <x:v>RESOURCE</x:v>
      </x:c>
      <x:c r="C1085" s="3" t="str">
        <x:v>Người có resources.create phải tải tệp được phép và tạo bản ghi gắn danh mục.</x:v>
      </x:c>
      <x:c r="D1085" s="3" t="str">
        <x:v>TC_RESOURCE_096</x:v>
      </x:c>
      <x:c r="E1085" s="3" t="str">
        <x:v>POST BACKEND /api/admin/resources fileUrl=1000</x:v>
      </x:c>
      <x:c r="F1085" s="3" t="str">
        <x:v>Designed — chưa thực thi</x:v>
      </x:c>
      <x:c r="G1085" s="3" t="str">
        <x:v>Nguồn: backend/src/modules/cms/cms.routes.ts.  Baseline: docs/ba/02-requirements/VGG_REQ-WORKBOOK_v0.1_2026-09-04.xlsx / Requirements; Backend 50 MB, Admin mặc định 25 MB: cần thống nhất</x:v>
      </x:c>
    </x:row>
    <x:row r="1086" ht="36" customHeight="1">
      <x:c r="A1086" s="3" t="str">
        <x:v>RES-001</x:v>
      </x:c>
      <x:c r="B1086" s="3" t="str">
        <x:v>RESOURCE</x:v>
      </x:c>
      <x:c r="C1086" s="3" t="str">
        <x:v>Người có resources.create phải tải tệp được phép và tạo bản ghi gắn danh mục.</x:v>
      </x:c>
      <x:c r="D1086" s="3" t="str">
        <x:v>TC_RESOURCE_097</x:v>
      </x:c>
      <x:c r="E1086" s="3" t="str">
        <x:v>POST BACKEND /api/admin/resources fileUrl=1001</x:v>
      </x:c>
      <x:c r="F1086" s="3" t="str">
        <x:v>Designed — chưa thực thi</x:v>
      </x:c>
      <x:c r="G1086" s="3" t="str">
        <x:v>Nguồn: backend/src/modules/cms/cms.routes.ts.  Baseline: docs/ba/02-requirements/VGG_REQ-WORKBOOK_v0.1_2026-09-04.xlsx / Requirements; Backend 50 MB, Admin mặc định 25 MB: cần thống nhất</x:v>
      </x:c>
    </x:row>
    <x:row r="1087" ht="36" customHeight="1">
      <x:c r="A1087" s="3" t="str">
        <x:v>RES-001</x:v>
      </x:c>
      <x:c r="B1087" s="3" t="str">
        <x:v>RESOURCE</x:v>
      </x:c>
      <x:c r="C1087" s="3" t="str">
        <x:v>Người có resources.create phải tải tệp được phép và tạo bản ghi gắn danh mục.</x:v>
      </x:c>
      <x:c r="D1087" s="3" t="str">
        <x:v>TC_RESOURCE_098</x:v>
      </x:c>
      <x:c r="E1087" s="3" t="str">
        <x:v>POST BACKEND /api/admin/resources fileSize=0</x:v>
      </x:c>
      <x:c r="F1087" s="3" t="str">
        <x:v>Designed — chưa thực thi</x:v>
      </x:c>
      <x:c r="G1087" s="3" t="str">
        <x:v>Nguồn: backend/src/modules/cms/cms.routes.ts.  Baseline: docs/ba/02-requirements/VGG_REQ-WORKBOOK_v0.1_2026-09-04.xlsx / Requirements; Backend 50 MB, Admin mặc định 25 MB: cần thống nhất</x:v>
      </x:c>
    </x:row>
    <x:row r="1088" ht="36" customHeight="1">
      <x:c r="A1088" s="3" t="str">
        <x:v>RES-001</x:v>
      </x:c>
      <x:c r="B1088" s="3" t="str">
        <x:v>RESOURCE</x:v>
      </x:c>
      <x:c r="C1088" s="3" t="str">
        <x:v>Người có resources.create phải tải tệp được phép và tạo bản ghi gắn danh mục.</x:v>
      </x:c>
      <x:c r="D1088" s="3" t="str">
        <x:v>TC_RESOURCE_099</x:v>
      </x:c>
      <x:c r="E1088" s="3" t="str">
        <x:v>POST BACKEND /api/admin/resources fileSize=1</x:v>
      </x:c>
      <x:c r="F1088" s="3" t="str">
        <x:v>Designed — chưa thực thi</x:v>
      </x:c>
      <x:c r="G1088" s="3" t="str">
        <x:v>Nguồn: backend/src/modules/cms/cms.routes.ts.  Baseline: docs/ba/02-requirements/VGG_REQ-WORKBOOK_v0.1_2026-09-04.xlsx / Requirements; Backend 50 MB, Admin mặc định 25 MB: cần thống nhất</x:v>
      </x:c>
    </x:row>
    <x:row r="1089" ht="36" customHeight="1">
      <x:c r="A1089" s="3" t="str">
        <x:v>RES-001</x:v>
      </x:c>
      <x:c r="B1089" s="3" t="str">
        <x:v>RESOURCE</x:v>
      </x:c>
      <x:c r="C1089" s="3" t="str">
        <x:v>Người có resources.create phải tải tệp được phép và tạo bản ghi gắn danh mục.</x:v>
      </x:c>
      <x:c r="D1089" s="3" t="str">
        <x:v>TC_RESOURCE_100</x:v>
      </x:c>
      <x:c r="E1089" s="3" t="str">
        <x:v>POST BACKEND /api/admin/resources fileSize=2</x:v>
      </x:c>
      <x:c r="F1089" s="3" t="str">
        <x:v>Designed — chưa thực thi</x:v>
      </x:c>
      <x:c r="G1089" s="3" t="str">
        <x:v>Nguồn: backend/src/modules/cms/cms.routes.ts.  Baseline: docs/ba/02-requirements/VGG_REQ-WORKBOOK_v0.1_2026-09-04.xlsx / Requirements; Backend 50 MB, Admin mặc định 25 MB: cần thống nhất</x:v>
      </x:c>
    </x:row>
    <x:row r="1090" ht="36" customHeight="1">
      <x:c r="A1090" s="3" t="str">
        <x:v>RES-001</x:v>
      </x:c>
      <x:c r="B1090" s="3" t="str">
        <x:v>RESOURCE</x:v>
      </x:c>
      <x:c r="C1090" s="3" t="str">
        <x:v>Người có resources.create phải tải tệp được phép và tạo bản ghi gắn danh mục.</x:v>
      </x:c>
      <x:c r="D1090" s="3" t="str">
        <x:v>TC_RESOURCE_101</x:v>
      </x:c>
      <x:c r="E1090" s="3" t="str">
        <x:v>POST BACKEND /api/admin/resources fileSize=52428799</x:v>
      </x:c>
      <x:c r="F1090" s="3" t="str">
        <x:v>Designed — chưa thực thi</x:v>
      </x:c>
      <x:c r="G1090" s="3" t="str">
        <x:v>Nguồn: backend/src/modules/cms/cms.routes.ts.  Baseline: docs/ba/02-requirements/VGG_REQ-WORKBOOK_v0.1_2026-09-04.xlsx / Requirements; Backend 50 MB, Admin mặc định 25 MB: cần thống nhất</x:v>
      </x:c>
    </x:row>
    <x:row r="1091" ht="36" customHeight="1">
      <x:c r="A1091" s="3" t="str">
        <x:v>RES-001</x:v>
      </x:c>
      <x:c r="B1091" s="3" t="str">
        <x:v>RESOURCE</x:v>
      </x:c>
      <x:c r="C1091" s="3" t="str">
        <x:v>Người có resources.create phải tải tệp được phép và tạo bản ghi gắn danh mục.</x:v>
      </x:c>
      <x:c r="D1091" s="3" t="str">
        <x:v>TC_RESOURCE_102</x:v>
      </x:c>
      <x:c r="E1091" s="3" t="str">
        <x:v>POST BACKEND /api/admin/resources fileSize=52428800</x:v>
      </x:c>
      <x:c r="F1091" s="3" t="str">
        <x:v>Designed — chưa thực thi</x:v>
      </x:c>
      <x:c r="G1091" s="3" t="str">
        <x:v>Nguồn: backend/src/modules/cms/cms.routes.ts.  Baseline: docs/ba/02-requirements/VGG_REQ-WORKBOOK_v0.1_2026-09-04.xlsx / Requirements; Backend 50 MB, Admin mặc định 25 MB: cần thống nhất</x:v>
      </x:c>
    </x:row>
    <x:row r="1092" ht="36" customHeight="1">
      <x:c r="A1092" s="3" t="str">
        <x:v>RES-001</x:v>
      </x:c>
      <x:c r="B1092" s="3" t="str">
        <x:v>RESOURCE</x:v>
      </x:c>
      <x:c r="C1092" s="3" t="str">
        <x:v>Người có resources.create phải tải tệp được phép và tạo bản ghi gắn danh mục.</x:v>
      </x:c>
      <x:c r="D1092" s="3" t="str">
        <x:v>TC_RESOURCE_103</x:v>
      </x:c>
      <x:c r="E1092" s="3" t="str">
        <x:v>POST BACKEND /api/admin/resources fileSize=52428801</x:v>
      </x:c>
      <x:c r="F1092" s="3" t="str">
        <x:v>Designed — chưa thực thi</x:v>
      </x:c>
      <x:c r="G1092" s="3" t="str">
        <x:v>Nguồn: backend/src/modules/cms/cms.routes.ts.  Baseline: docs/ba/02-requirements/VGG_REQ-WORKBOOK_v0.1_2026-09-04.xlsx / Requirements; Backend 50 MB, Admin mặc định 25 MB: cần thống nhất</x:v>
      </x:c>
    </x:row>
    <x:row r="1093" ht="36" customHeight="1">
      <x:c r="A1093" s="3" t="str">
        <x:v>AUD-001</x:v>
      </x:c>
      <x:c r="B1093" s="3" t="str">
        <x:v>AUDIT</x:v>
      </x:c>
      <x:c r="C1093" s="3" t="str">
        <x:v>Hệ thống phải ghi và cho phép truy xuất audit theo quyền đối với các hành động được định nghĩa.</x:v>
      </x:c>
      <x:c r="D1093" s="3" t="str">
        <x:v>TC_AUDIT_002</x:v>
      </x:c>
      <x:c r="E1093" s="3" t="str">
        <x:v>limit=4</x:v>
      </x:c>
      <x:c r="F1093" s="3" t="str">
        <x:v>Designed — chưa thực thi</x:v>
      </x:c>
      <x:c r="G1093" s="3" t="str">
        <x:v>Nguồn: admin/src/app/api/admin/notifications/route.ts.  Baseline: docs/ba/02-requirements/VGG_REQ-WORKBOOK_v0.1_2026-09-04.xlsx / Requirements; UI/API tra cứu audit cần xác nhận</x:v>
      </x:c>
    </x:row>
    <x:row r="1094" ht="36" customHeight="1">
      <x:c r="A1094" s="3" t="str">
        <x:v>AUD-001</x:v>
      </x:c>
      <x:c r="B1094" s="3" t="str">
        <x:v>AUDIT</x:v>
      </x:c>
      <x:c r="C1094" s="3" t="str">
        <x:v>Hệ thống phải ghi và cho phép truy xuất audit theo quyền đối với các hành động được định nghĩa.</x:v>
      </x:c>
      <x:c r="D1094" s="3" t="str">
        <x:v>TC_AUDIT_003</x:v>
      </x:c>
      <x:c r="E1094" s="3" t="str">
        <x:v>limit=5</x:v>
      </x:c>
      <x:c r="F1094" s="3" t="str">
        <x:v>Designed — chưa thực thi</x:v>
      </x:c>
      <x:c r="G1094" s="3" t="str">
        <x:v>Nguồn: admin/src/app/api/admin/notifications/route.ts.  Baseline: docs/ba/02-requirements/VGG_REQ-WORKBOOK_v0.1_2026-09-04.xlsx / Requirements; UI/API tra cứu audit cần xác nhận</x:v>
      </x:c>
    </x:row>
    <x:row r="1095" ht="36" customHeight="1">
      <x:c r="A1095" s="3" t="str">
        <x:v>AUD-001</x:v>
      </x:c>
      <x:c r="B1095" s="3" t="str">
        <x:v>AUDIT</x:v>
      </x:c>
      <x:c r="C1095" s="3" t="str">
        <x:v>Hệ thống phải ghi và cho phép truy xuất audit theo quyền đối với các hành động được định nghĩa.</x:v>
      </x:c>
      <x:c r="D1095" s="3" t="str">
        <x:v>TC_AUDIT_004</x:v>
      </x:c>
      <x:c r="E1095" s="3" t="str">
        <x:v>limit=6</x:v>
      </x:c>
      <x:c r="F1095" s="3" t="str">
        <x:v>Designed — chưa thực thi</x:v>
      </x:c>
      <x:c r="G1095" s="3" t="str">
        <x:v>Nguồn: admin/src/app/api/admin/notifications/route.ts.  Baseline: docs/ba/02-requirements/VGG_REQ-WORKBOOK_v0.1_2026-09-04.xlsx / Requirements; UI/API tra cứu audit cần xác nhận</x:v>
      </x:c>
    </x:row>
    <x:row r="1096" ht="36" customHeight="1">
      <x:c r="A1096" s="3" t="str">
        <x:v>AUD-001</x:v>
      </x:c>
      <x:c r="B1096" s="3" t="str">
        <x:v>AUDIT</x:v>
      </x:c>
      <x:c r="C1096" s="3" t="str">
        <x:v>Hệ thống phải ghi và cho phép truy xuất audit theo quyền đối với các hành động được định nghĩa.</x:v>
      </x:c>
      <x:c r="D1096" s="3" t="str">
        <x:v>TC_AUDIT_005</x:v>
      </x:c>
      <x:c r="E1096" s="3" t="str">
        <x:v>limit=49</x:v>
      </x:c>
      <x:c r="F1096" s="3" t="str">
        <x:v>Designed — chưa thực thi</x:v>
      </x:c>
      <x:c r="G1096" s="3" t="str">
        <x:v>Nguồn: admin/src/app/api/admin/notifications/route.ts.  Baseline: docs/ba/02-requirements/VGG_REQ-WORKBOOK_v0.1_2026-09-04.xlsx / Requirements; UI/API tra cứu audit cần xác nhận</x:v>
      </x:c>
    </x:row>
    <x:row r="1097" ht="36" customHeight="1">
      <x:c r="A1097" s="3" t="str">
        <x:v>AUD-001</x:v>
      </x:c>
      <x:c r="B1097" s="3" t="str">
        <x:v>AUDIT</x:v>
      </x:c>
      <x:c r="C1097" s="3" t="str">
        <x:v>Hệ thống phải ghi và cho phép truy xuất audit theo quyền đối với các hành động được định nghĩa.</x:v>
      </x:c>
      <x:c r="D1097" s="3" t="str">
        <x:v>TC_AUDIT_006</x:v>
      </x:c>
      <x:c r="E1097" s="3" t="str">
        <x:v>limit=50</x:v>
      </x:c>
      <x:c r="F1097" s="3" t="str">
        <x:v>Designed — chưa thực thi</x:v>
      </x:c>
      <x:c r="G1097" s="3" t="str">
        <x:v>Nguồn: admin/src/app/api/admin/notifications/route.ts.  Baseline: docs/ba/02-requirements/VGG_REQ-WORKBOOK_v0.1_2026-09-04.xlsx / Requirements; UI/API tra cứu audit cần xác nhận</x:v>
      </x:c>
    </x:row>
    <x:row r="1098" ht="36" customHeight="1">
      <x:c r="A1098" s="3" t="str">
        <x:v>AUD-001</x:v>
      </x:c>
      <x:c r="B1098" s="3" t="str">
        <x:v>AUDIT</x:v>
      </x:c>
      <x:c r="C1098" s="3" t="str">
        <x:v>Hệ thống phải ghi và cho phép truy xuất audit theo quyền đối với các hành động được định nghĩa.</x:v>
      </x:c>
      <x:c r="D1098" s="3" t="str">
        <x:v>TC_AUDIT_007</x:v>
      </x:c>
      <x:c r="E1098" s="3" t="str">
        <x:v>limit=51</x:v>
      </x:c>
      <x:c r="F1098" s="3" t="str">
        <x:v>Designed — chưa thực thi</x:v>
      </x:c>
      <x:c r="G1098" s="3" t="str">
        <x:v>Nguồn: admin/src/app/api/admin/notifications/route.ts.  Baseline: docs/ba/02-requirements/VGG_REQ-WORKBOOK_v0.1_2026-09-04.xlsx / Requirements; UI/API tra cứu audit cần xác nhận</x:v>
      </x:c>
    </x:row>
    <x:row r="1099" ht="36" customHeight="1">
      <x:c r="A1099" s="3" t="str">
        <x:v>CON-001</x:v>
      </x:c>
      <x:c r="B1099" s="3" t="str">
        <x:v>CONSULT</x:v>
      </x:c>
      <x:c r="C1099" s="3" t="str">
        <x:v>Hệ thống phải kiểm tra dữ liệu bắt buộc, chống bot cơ bản và ghi nhận yêu cầu tư vấn.</x:v>
      </x:c>
      <x:c r="D1099" s="3" t="str">
        <x:v>TC_CONSULT_095</x:v>
      </x:c>
      <x:c r="E1099" s="3" t="str">
        <x:v>UI name dài1</x:v>
      </x:c>
      <x:c r="F1099" s="3" t="str">
        <x:v>Designed — chưa thực thi</x:v>
      </x:c>
      <x:c r="G1099" s="3" t="str">
        <x:v>Nguồn: frontend/src/features/home/components/ResourcesConsultation.tsx.  Baseline: docs/ba/02-requirements/VGG_REQ-WORKBOOK_v0.1_2026-09-04.xlsx / Requirements; Cơ sở pháp lý/đồng ý xử lý dữ liệu cần xác nhận</x:v>
      </x:c>
    </x:row>
    <x:row r="1100" ht="36" customHeight="1">
      <x:c r="A1100" s="3" t="str">
        <x:v>CON-001</x:v>
      </x:c>
      <x:c r="B1100" s="3" t="str">
        <x:v>CONSULT</x:v>
      </x:c>
      <x:c r="C1100" s="3" t="str">
        <x:v>Hệ thống phải kiểm tra dữ liệu bắt buộc, chống bot cơ bản và ghi nhận yêu cầu tư vấn.</x:v>
      </x:c>
      <x:c r="D1100" s="3" t="str">
        <x:v>TC_CONSULT_096</x:v>
      </x:c>
      <x:c r="E1100" s="3" t="str">
        <x:v>UI name dài2</x:v>
      </x:c>
      <x:c r="F1100" s="3" t="str">
        <x:v>Designed — chưa thực thi</x:v>
      </x:c>
      <x:c r="G1100" s="3" t="str">
        <x:v>Nguồn: frontend/src/features/home/components/ResourcesConsultation.tsx.  Baseline: docs/ba/02-requirements/VGG_REQ-WORKBOOK_v0.1_2026-09-04.xlsx / Requirements; Cơ sở pháp lý/đồng ý xử lý dữ liệu cần xác nhận</x:v>
      </x:c>
    </x:row>
    <x:row r="1101" ht="36" customHeight="1">
      <x:c r="A1101" s="3" t="str">
        <x:v>CON-001</x:v>
      </x:c>
      <x:c r="B1101" s="3" t="str">
        <x:v>CONSULT</x:v>
      </x:c>
      <x:c r="C1101" s="3" t="str">
        <x:v>Hệ thống phải kiểm tra dữ liệu bắt buộc, chống bot cơ bản và ghi nhận yêu cầu tư vấn.</x:v>
      </x:c>
      <x:c r="D1101" s="3" t="str">
        <x:v>TC_CONSULT_097</x:v>
      </x:c>
      <x:c r="E1101" s="3" t="str">
        <x:v>UI name dài3</x:v>
      </x:c>
      <x:c r="F1101" s="3" t="str">
        <x:v>Designed — chưa thực thi</x:v>
      </x:c>
      <x:c r="G1101" s="3" t="str">
        <x:v>Nguồn: frontend/src/features/home/components/ResourcesConsultation.tsx.  Baseline: docs/ba/02-requirements/VGG_REQ-WORKBOOK_v0.1_2026-09-04.xlsx / Requirements; Cơ sở pháp lý/đồng ý xử lý dữ liệu cần xác nhận</x:v>
      </x:c>
    </x:row>
    <x:row r="1102" ht="36" customHeight="1">
      <x:c r="A1102" s="3" t="str">
        <x:v>CON-001</x:v>
      </x:c>
      <x:c r="B1102" s="3" t="str">
        <x:v>CONSULT</x:v>
      </x:c>
      <x:c r="C1102" s="3" t="str">
        <x:v>Hệ thống phải kiểm tra dữ liệu bắt buộc, chống bot cơ bản và ghi nhận yêu cầu tư vấn.</x:v>
      </x:c>
      <x:c r="D1102" s="3" t="str">
        <x:v>TC_CONSULT_098</x:v>
      </x:c>
      <x:c r="E1102" s="3" t="str">
        <x:v>UI name dài99</x:v>
      </x:c>
      <x:c r="F1102" s="3" t="str">
        <x:v>Designed — chưa thực thi</x:v>
      </x:c>
      <x:c r="G1102" s="3" t="str">
        <x:v>Nguồn: frontend/src/features/home/components/ResourcesConsultation.tsx.  Baseline: docs/ba/02-requirements/VGG_REQ-WORKBOOK_v0.1_2026-09-04.xlsx / Requirements; Cơ sở pháp lý/đồng ý xử lý dữ liệu cần xác nhận</x:v>
      </x:c>
    </x:row>
    <x:row r="1103" ht="36" customHeight="1">
      <x:c r="A1103" s="3" t="str">
        <x:v>CON-001</x:v>
      </x:c>
      <x:c r="B1103" s="3" t="str">
        <x:v>CONSULT</x:v>
      </x:c>
      <x:c r="C1103" s="3" t="str">
        <x:v>Hệ thống phải kiểm tra dữ liệu bắt buộc, chống bot cơ bản và ghi nhận yêu cầu tư vấn.</x:v>
      </x:c>
      <x:c r="D1103" s="3" t="str">
        <x:v>TC_CONSULT_099</x:v>
      </x:c>
      <x:c r="E1103" s="3" t="str">
        <x:v>UI name dài100</x:v>
      </x:c>
      <x:c r="F1103" s="3" t="str">
        <x:v>Designed — chưa thực thi</x:v>
      </x:c>
      <x:c r="G1103" s="3" t="str">
        <x:v>Nguồn: frontend/src/features/home/components/ResourcesConsultation.tsx.  Baseline: docs/ba/02-requirements/VGG_REQ-WORKBOOK_v0.1_2026-09-04.xlsx / Requirements; Cơ sở pháp lý/đồng ý xử lý dữ liệu cần xác nhận</x:v>
      </x:c>
    </x:row>
    <x:row r="1104" ht="36" customHeight="1">
      <x:c r="A1104" s="3" t="str">
        <x:v>CON-001</x:v>
      </x:c>
      <x:c r="B1104" s="3" t="str">
        <x:v>CONSULT</x:v>
      </x:c>
      <x:c r="C1104" s="3" t="str">
        <x:v>Hệ thống phải kiểm tra dữ liệu bắt buộc, chống bot cơ bản và ghi nhận yêu cầu tư vấn.</x:v>
      </x:c>
      <x:c r="D1104" s="3" t="str">
        <x:v>TC_CONSULT_100</x:v>
      </x:c>
      <x:c r="E1104" s="3" t="str">
        <x:v>UI name dài101</x:v>
      </x:c>
      <x:c r="F1104" s="3" t="str">
        <x:v>Designed — chưa thực thi</x:v>
      </x:c>
      <x:c r="G1104" s="3" t="str">
        <x:v>Nguồn: frontend/src/features/home/components/ResourcesConsultation.tsx.  Baseline: docs/ba/02-requirements/VGG_REQ-WORKBOOK_v0.1_2026-09-04.xlsx / Requirements; Cơ sở pháp lý/đồng ý xử lý dữ liệu cần xác nhận</x:v>
      </x:c>
    </x:row>
    <x:row r="1105" ht="36" customHeight="1">
      <x:c r="A1105" s="3" t="str">
        <x:v>CON-001</x:v>
      </x:c>
      <x:c r="B1105" s="3" t="str">
        <x:v>CONSULT</x:v>
      </x:c>
      <x:c r="C1105" s="3" t="str">
        <x:v>Hệ thống phải kiểm tra dữ liệu bắt buộc, chống bot cơ bản và ghi nhận yêu cầu tư vấn.</x:v>
      </x:c>
      <x:c r="D1105" s="3" t="str">
        <x:v>TC_CONSULT_101</x:v>
      </x:c>
      <x:c r="E1105" s="3" t="str">
        <x:v>UI phone dài8</x:v>
      </x:c>
      <x:c r="F1105" s="3" t="str">
        <x:v>Designed — chưa thực thi</x:v>
      </x:c>
      <x:c r="G1105" s="3" t="str">
        <x:v>Nguồn: frontend/src/features/home/components/ResourcesConsultation.tsx.  Baseline: docs/ba/02-requirements/VGG_REQ-WORKBOOK_v0.1_2026-09-04.xlsx / Requirements; Cơ sở pháp lý/đồng ý xử lý dữ liệu cần xác nhận</x:v>
      </x:c>
    </x:row>
    <x:row r="1106" ht="36" customHeight="1">
      <x:c r="A1106" s="3" t="str">
        <x:v>CON-001</x:v>
      </x:c>
      <x:c r="B1106" s="3" t="str">
        <x:v>CONSULT</x:v>
      </x:c>
      <x:c r="C1106" s="3" t="str">
        <x:v>Hệ thống phải kiểm tra dữ liệu bắt buộc, chống bot cơ bản và ghi nhận yêu cầu tư vấn.</x:v>
      </x:c>
      <x:c r="D1106" s="3" t="str">
        <x:v>TC_CONSULT_102</x:v>
      </x:c>
      <x:c r="E1106" s="3" t="str">
        <x:v>UI phone dài9</x:v>
      </x:c>
      <x:c r="F1106" s="3" t="str">
        <x:v>Designed — chưa thực thi</x:v>
      </x:c>
      <x:c r="G1106" s="3" t="str">
        <x:v>Nguồn: frontend/src/features/home/components/ResourcesConsultation.tsx.  Baseline: docs/ba/02-requirements/VGG_REQ-WORKBOOK_v0.1_2026-09-04.xlsx / Requirements; Cơ sở pháp lý/đồng ý xử lý dữ liệu cần xác nhận</x:v>
      </x:c>
    </x:row>
    <x:row r="1107" ht="36" customHeight="1">
      <x:c r="A1107" s="3" t="str">
        <x:v>CON-001</x:v>
      </x:c>
      <x:c r="B1107" s="3" t="str">
        <x:v>CONSULT</x:v>
      </x:c>
      <x:c r="C1107" s="3" t="str">
        <x:v>Hệ thống phải kiểm tra dữ liệu bắt buộc, chống bot cơ bản và ghi nhận yêu cầu tư vấn.</x:v>
      </x:c>
      <x:c r="D1107" s="3" t="str">
        <x:v>TC_CONSULT_103</x:v>
      </x:c>
      <x:c r="E1107" s="3" t="str">
        <x:v>UI phone dài10</x:v>
      </x:c>
      <x:c r="F1107" s="3" t="str">
        <x:v>Designed — chưa thực thi</x:v>
      </x:c>
      <x:c r="G1107" s="3" t="str">
        <x:v>Nguồn: frontend/src/features/home/components/ResourcesConsultation.tsx.  Baseline: docs/ba/02-requirements/VGG_REQ-WORKBOOK_v0.1_2026-09-04.xlsx / Requirements; Cơ sở pháp lý/đồng ý xử lý dữ liệu cần xác nhận</x:v>
      </x:c>
    </x:row>
    <x:row r="1108" ht="36" customHeight="1">
      <x:c r="A1108" s="3" t="str">
        <x:v>CON-001</x:v>
      </x:c>
      <x:c r="B1108" s="3" t="str">
        <x:v>CONSULT</x:v>
      </x:c>
      <x:c r="C1108" s="3" t="str">
        <x:v>Hệ thống phải kiểm tra dữ liệu bắt buộc, chống bot cơ bản và ghi nhận yêu cầu tư vấn.</x:v>
      </x:c>
      <x:c r="D1108" s="3" t="str">
        <x:v>TC_CONSULT_104</x:v>
      </x:c>
      <x:c r="E1108" s="3" t="str">
        <x:v>UI phone dài17</x:v>
      </x:c>
      <x:c r="F1108" s="3" t="str">
        <x:v>Designed — chưa thực thi</x:v>
      </x:c>
      <x:c r="G1108" s="3" t="str">
        <x:v>Nguồn: frontend/src/features/home/components/ResourcesConsultation.tsx.  Baseline: docs/ba/02-requirements/VGG_REQ-WORKBOOK_v0.1_2026-09-04.xlsx / Requirements; Cơ sở pháp lý/đồng ý xử lý dữ liệu cần xác nhận</x:v>
      </x:c>
    </x:row>
    <x:row r="1109" ht="36" customHeight="1">
      <x:c r="A1109" s="3" t="str">
        <x:v>CON-001</x:v>
      </x:c>
      <x:c r="B1109" s="3" t="str">
        <x:v>CONSULT</x:v>
      </x:c>
      <x:c r="C1109" s="3" t="str">
        <x:v>Hệ thống phải kiểm tra dữ liệu bắt buộc, chống bot cơ bản và ghi nhận yêu cầu tư vấn.</x:v>
      </x:c>
      <x:c r="D1109" s="3" t="str">
        <x:v>TC_CONSULT_105</x:v>
      </x:c>
      <x:c r="E1109" s="3" t="str">
        <x:v>UI phone dài18</x:v>
      </x:c>
      <x:c r="F1109" s="3" t="str">
        <x:v>Designed — chưa thực thi</x:v>
      </x:c>
      <x:c r="G1109" s="3" t="str">
        <x:v>Nguồn: frontend/src/features/home/components/ResourcesConsultation.tsx.  Baseline: docs/ba/02-requirements/VGG_REQ-WORKBOOK_v0.1_2026-09-04.xlsx / Requirements; Cơ sở pháp lý/đồng ý xử lý dữ liệu cần xác nhận</x:v>
      </x:c>
    </x:row>
    <x:row r="1110" ht="36" customHeight="1">
      <x:c r="A1110" s="3" t="str">
        <x:v>CON-001</x:v>
      </x:c>
      <x:c r="B1110" s="3" t="str">
        <x:v>CONSULT</x:v>
      </x:c>
      <x:c r="C1110" s="3" t="str">
        <x:v>Hệ thống phải kiểm tra dữ liệu bắt buộc, chống bot cơ bản và ghi nhận yêu cầu tư vấn.</x:v>
      </x:c>
      <x:c r="D1110" s="3" t="str">
        <x:v>TC_CONSULT_106</x:v>
      </x:c>
      <x:c r="E1110" s="3" t="str">
        <x:v>UI phone dài19</x:v>
      </x:c>
      <x:c r="F1110" s="3" t="str">
        <x:v>Designed — chưa thực thi</x:v>
      </x:c>
      <x:c r="G1110" s="3" t="str">
        <x:v>Nguồn: frontend/src/features/home/components/ResourcesConsultation.tsx.  Baseline: docs/ba/02-requirements/VGG_REQ-WORKBOOK_v0.1_2026-09-04.xlsx / Requirements; Cơ sở pháp lý/đồng ý xử lý dữ liệu cần xác nhận</x:v>
      </x:c>
    </x:row>
    <x:row r="1111" ht="36" customHeight="1">
      <x:c r="A1111" s="3" t="str">
        <x:v>PUB-002</x:v>
      </x:c>
      <x:c r="B1111" s="3" t="str">
        <x:v>PROGRAMME</x:v>
      </x:c>
      <x:c r="C1111" s="3" t="str">
        <x:v>Hệ thống phải hiển thị danh mục chương trình và hỗ trợ tìm/lọc theo dữ liệu hiện có.</x:v>
      </x:c>
      <x:c r="D1111" s="3" t="str">
        <x:v>TC_PROGRAMME_008</x:v>
      </x:c>
      <x:c r="E1111" s="3" t="str">
        <x:v>Lọc định hướng chương trình</x:v>
      </x:c>
      <x:c r="F1111" s="3" t="str">
        <x:v>Designed — chưa thực thi</x:v>
      </x:c>
      <x:c r="G1111" s="3" t="str">
        <x:v>Nguồn: frontend/src/features/programmes/components/ProgrammeSearch.tsx.  Baseline: docs/ba/02-requirements/VGG_REQ-WORKBOOK_v0.1_2026-09-04.xlsx / Requirements; Dữ liệu hiện phần lớn tĩnh</x:v>
      </x:c>
    </x:row>
    <x:row r="1112" ht="36" customHeight="1">
      <x:c r="A1112" s="3" t="str">
        <x:v>OBS-RESEARCH</x:v>
      </x:c>
      <x:c r="B1112" s="3" t="str">
        <x:v>RESEARCH</x:v>
      </x:c>
      <x:c r="C1112" s="3" t="str">
        <x:v>Tra cứu</x:v>
      </x:c>
      <x:c r="D1112" s="3" t="str">
        <x:v>TC_RESEARCH_009</x:v>
      </x:c>
      <x:c r="E1112" s="3" t="str">
        <x:v>Lọc công bố theo type</x:v>
      </x:c>
      <x:c r="F1112" s="3" t="str">
        <x:v>Designed — chưa thực thi</x:v>
      </x:c>
      <x:c r="G1112" s="3" t="str">
        <x:v>Nguồn: frontend/src/features/research/components/PublicationsSearch.tsx.  Baseline: frontend/src/features/research/components/PublicationsSearch.tsx; Yêu cầu suy ra từ code, chưa phải baseline đã phê duyệt.</x:v>
      </x:c>
    </x:row>
    <x:row r="1113" ht="36" customHeight="1">
      <x:c r="A1113" s="3" t="str">
        <x:v>OBS-RESEARCH</x:v>
      </x:c>
      <x:c r="B1113" s="3" t="str">
        <x:v>RESEARCH</x:v>
      </x:c>
      <x:c r="C1113" s="3" t="str">
        <x:v>Tra cứu</x:v>
      </x:c>
      <x:c r="D1113" s="3" t="str">
        <x:v>TC_RESEARCH_010</x:v>
      </x:c>
      <x:c r="E1113" s="3" t="str">
        <x:v>Lọc công bố theo language</x:v>
      </x:c>
      <x:c r="F1113" s="3" t="str">
        <x:v>Designed — chưa thực thi</x:v>
      </x:c>
      <x:c r="G1113" s="3" t="str">
        <x:v>Nguồn: frontend/src/features/research/components/PublicationsSearch.tsx.  Baseline: frontend/src/features/research/components/PublicationsSearch.tsx; Yêu cầu suy ra từ code, chưa phải baseline đã phê duyệt.</x:v>
      </x:c>
    </x:row>
    <x:row r="1114" ht="49" customHeight="1">
      <x:c r="A1114" s="3" t="str">
        <x:v>PUB-001</x:v>
      </x:c>
      <x:c r="B1114" s="3" t="str">
        <x:v>I18N</x:v>
      </x:c>
      <x:c r="C1114" s="3" t="str">
        <x:v>Hệ thống phải cung cấp tuyến /vi và /en và duy trì locale khi điều hướng.</x:v>
      </x:c>
      <x:c r="D1114" s="3" t="str">
        <x:v>TC_I18N_041</x:v>
      </x:c>
      <x:c r="E1114" s="3" t="str">
        <x:v>Mất query khi đổi locale</x:v>
      </x:c>
      <x:c r="F1114" s="3" t="str">
        <x:v>Partial — Need Confirmation</x:v>
      </x:c>
      <x:c r="G1114" s="3" t="str">
        <x:v>Nguồn: frontend/src/proxy.ts; frontend/src/shared/components/layout/LanguageToggle.tsx. Need Confirmation: Xác nhận phạm vi giữ query và dịch metadata. Baseline: docs/ba/02-requirements/VGG_REQ-WORKBOOK_v0.1_2026-09-04.xlsx / Requirements; Phạm vi dịch thuật đầy đủ cần xác nhận</x:v>
      </x:c>
    </x:row>
    <x:row r="1115" ht="49" customHeight="1">
      <x:c r="A1115" s="3" t="str">
        <x:v>PUB-001</x:v>
      </x:c>
      <x:c r="B1115" s="3" t="str">
        <x:v>I18N</x:v>
      </x:c>
      <x:c r="C1115" s="3" t="str">
        <x:v>Hệ thống phải cung cấp tuyến /vi và /en và duy trì locale khi điều hướng.</x:v>
      </x:c>
      <x:c r="D1115" s="3" t="str">
        <x:v>TC_I18N_042</x:v>
      </x:c>
      <x:c r="E1115" s="3" t="str">
        <x:v>Redirect giới thiệu mất locale</x:v>
      </x:c>
      <x:c r="F1115" s="3" t="str">
        <x:v>Designed — chưa thực thi</x:v>
      </x:c>
      <x:c r="G1115" s="3" t="str">
        <x:v>Nguồn: frontend/src/proxy.ts; frontend/src/shared/components/layout/LanguageToggle.tsx.  Baseline: docs/ba/02-requirements/VGG_REQ-WORKBOOK_v0.1_2026-09-04.xlsx / Requirements; Phạm vi dịch thuật đầy đủ cần xác nhận</x:v>
      </x:c>
    </x:row>
    <x:row r="1116" ht="49" customHeight="1">
      <x:c r="A1116" s="3" t="str">
        <x:v>PUB-001</x:v>
      </x:c>
      <x:c r="B1116" s="3" t="str">
        <x:v>I18N</x:v>
      </x:c>
      <x:c r="C1116" s="3" t="str">
        <x:v>Hệ thống phải cung cấp tuyến /vi và /en và duy trì locale khi điều hướng.</x:v>
      </x:c>
      <x:c r="D1116" s="3" t="str">
        <x:v>TC_I18N_043</x:v>
      </x:c>
      <x:c r="E1116" s="3" t="str">
        <x:v>Locale không hỗ trợ</x:v>
      </x:c>
      <x:c r="F1116" s="3" t="str">
        <x:v>Designed — chưa thực thi</x:v>
      </x:c>
      <x:c r="G1116" s="3" t="str">
        <x:v>Nguồn: frontend/src/proxy.ts; frontend/src/shared/components/layout/LanguageToggle.tsx.  Baseline: docs/ba/02-requirements/VGG_REQ-WORKBOOK_v0.1_2026-09-04.xlsx / Requirements; Phạm vi dịch thuật đầy đủ cần xác nhận</x:v>
      </x:c>
    </x:row>
    <x:row r="1117" ht="49" customHeight="1">
      <x:c r="A1117" s="3" t="str">
        <x:v>PUB-001</x:v>
      </x:c>
      <x:c r="B1117" s="3" t="str">
        <x:v>I18N</x:v>
      </x:c>
      <x:c r="C1117" s="3" t="str">
        <x:v>Hệ thống phải cung cấp tuyến /vi và /en và duy trì locale khi điều hướng.</x:v>
      </x:c>
      <x:c r="D1117" s="3" t="str">
        <x:v>TC_I18N_044</x:v>
      </x:c>
      <x:c r="E1117" s="3" t="str">
        <x:v>Locale mặc định</x:v>
      </x:c>
      <x:c r="F1117" s="3" t="str">
        <x:v>Designed — chưa thực thi</x:v>
      </x:c>
      <x:c r="G1117" s="3" t="str">
        <x:v>Nguồn: frontend/src/proxy.ts; frontend/src/shared/components/layout/LanguageToggle.tsx.  Baseline: docs/ba/02-requirements/VGG_REQ-WORKBOOK_v0.1_2026-09-04.xlsx / Requirements; Phạm vi dịch thuật đầy đủ cần xác nhận</x:v>
      </x:c>
    </x:row>
    <x:row r="1118" ht="49" customHeight="1">
      <x:c r="A1118" s="3" t="str">
        <x:v>PUB-001</x:v>
      </x:c>
      <x:c r="B1118" s="3" t="str">
        <x:v>I18N</x:v>
      </x:c>
      <x:c r="C1118" s="3" t="str">
        <x:v>Hệ thống phải cung cấp tuyến /vi và /en và duy trì locale khi điều hướng.</x:v>
      </x:c>
      <x:c r="D1118" s="3" t="str">
        <x:v>TC_I18N_045</x:v>
      </x:c>
      <x:c r="E1118" s="3" t="str">
        <x:v>Metadata EN</x:v>
      </x:c>
      <x:c r="F1118" s="3" t="str">
        <x:v>Partial — Need Confirmation</x:v>
      </x:c>
      <x:c r="G1118" s="3" t="str">
        <x:v>Nguồn: frontend/src/proxy.ts; frontend/src/shared/components/layout/LanguageToggle.tsx. Need Confirmation: Xác nhận phạm vi giữ query và dịch metadata. Baseline: docs/ba/02-requirements/VGG_REQ-WORKBOOK_v0.1_2026-09-04.xlsx / Requirements; Phạm vi dịch thuật đầy đủ cần xác nhận</x:v>
      </x:c>
    </x:row>
    <x:row r="1119" ht="36" customHeight="1">
      <x:c r="A1119" s="3" t="str">
        <x:v>OBS-API</x:v>
      </x:c>
      <x:c r="B1119" s="3" t="str">
        <x:v>API</x:v>
      </x:c>
      <x:c r="C1119" s="3" t="str">
        <x:v>Hợp đồng BACKEND</x:v>
      </x:c>
      <x:c r="D1119" s="3" t="str">
        <x:v>TC_API_085</x:v>
      </x:c>
      <x:c r="E1119" s="3" t="str">
        <x:v>API resource ID sai</x:v>
      </x:c>
      <x:c r="F1119" s="3" t="str">
        <x:v>Designed — chưa thực thi</x:v>
      </x:c>
      <x:c r="G1119" s="3" t="str">
        <x:v>Nguồn: backend/src/modules/cms/cms.routes.ts.  Baseline: backend/src/app.ts:24; Yêu cầu suy ra từ code, chưa phải baseline đã phê duyệt.</x:v>
      </x:c>
    </x:row>
    <x:row r="1120" ht="36" customHeight="1">
      <x:c r="A1120" s="3" t="str">
        <x:v>OBS-API</x:v>
      </x:c>
      <x:c r="B1120" s="3" t="str">
        <x:v>API</x:v>
      </x:c>
      <x:c r="C1120" s="3" t="str">
        <x:v>Hợp đồng BACKEND</x:v>
      </x:c>
      <x:c r="D1120" s="3" t="str">
        <x:v>TC_API_086</x:v>
      </x:c>
      <x:c r="E1120" s="3" t="str">
        <x:v>API tin ID sai</x:v>
      </x:c>
      <x:c r="F1120" s="3" t="str">
        <x:v>Designed — chưa thực thi</x:v>
      </x:c>
      <x:c r="G1120" s="3" t="str">
        <x:v>Nguồn: backend/src/modules/cms/cms.routes.ts.  Baseline: backend/src/app.ts:24; Yêu cầu suy ra từ code, chưa phải baseline đã phê duyệt.</x:v>
      </x:c>
    </x:row>
    <x:row r="1121" ht="36" customHeight="1">
      <x:c r="A1121" s="3" t="str">
        <x:v>OBS-API</x:v>
      </x:c>
      <x:c r="B1121" s="3" t="str">
        <x:v>API</x:v>
      </x:c>
      <x:c r="C1121" s="3" t="str">
        <x:v>Hợp đồng BACKEND</x:v>
      </x:c>
      <x:c r="D1121" s="3" t="str">
        <x:v>TC_API_087</x:v>
      </x:c>
      <x:c r="E1121" s="3" t="str">
        <x:v>Category bị xóa trước lưu</x:v>
      </x:c>
      <x:c r="F1121" s="3" t="str">
        <x:v>Designed — chưa thực thi</x:v>
      </x:c>
      <x:c r="G1121" s="3" t="str">
        <x:v>Nguồn: backend/src/modules/cms/cms.routes.ts.  Baseline: backend/src/app.ts:24; Yêu cầu suy ra từ code, chưa phải baseline đã phê duyệt.</x:v>
      </x:c>
    </x:row>
    <x:row r="1122" ht="36" customHeight="1">
      <x:c r="A1122" s="3" t="str">
        <x:v>USR-001</x:v>
      </x:c>
      <x:c r="B1122" s="3" t="str">
        <x:v>API</x:v>
      </x:c>
      <x:c r="C1122" s="3" t="str">
        <x:v>Chỉ SUPER_ADMIN hoặc quyền admins.* tương ứng được thao tác tài khoản.</x:v>
      </x:c>
      <x:c r="D1122" s="3" t="str">
        <x:v>TC_API_088</x:v>
      </x:c>
      <x:c r="E1122" s="3" t="str">
        <x:v>User đã viết bài bị xóa</x:v>
      </x:c>
      <x:c r="F1122" s="3" t="str">
        <x:v>Partial — Need Confirmation</x:v>
      </x:c>
      <x:c r="G1122" s="3" t="str">
        <x:v>Nguồn: admin/src/app/api/admin. Need Confirmation: Chốt chính sách xóa tài khoản có nội dung tham chiếu. Baseline: docs/ba/02-requirements/VGG_REQ-WORKBOOK_v0.1_2026-09-04.xlsx / Requirements; </x:v>
      </x:c>
    </x:row>
    <x:row r="1123" ht="36" customHeight="1">
      <x:c r="A1123" s="3" t="str">
        <x:v>OBS-API</x:v>
      </x:c>
      <x:c r="B1123" s="3" t="str">
        <x:v>API</x:v>
      </x:c>
      <x:c r="C1123" s="3" t="str">
        <x:v>Hợp đồng BACKEND</x:v>
      </x:c>
      <x:c r="D1123" s="3" t="str">
        <x:v>TC_API_089</x:v>
      </x:c>
      <x:c r="E1123" s="3" t="str">
        <x:v>ID notifications NaN</x:v>
      </x:c>
      <x:c r="F1123" s="3" t="str">
        <x:v>Designed — chưa thực thi</x:v>
      </x:c>
      <x:c r="G1123" s="3" t="str">
        <x:v>Nguồn: admin/src/app/api/admin.  Baseline: backend/src/app.ts:24; Yêu cầu suy ra từ code, chưa phải baseline đã phê duyệt.</x:v>
      </x:c>
    </x:row>
  </x:sheetData>
  <x:pageMargins left="0.7" right="0.7" top="0.75" bottom="0.75" header="0.3" footer="0.3"/>
  <x:tableParts count="1">
    <x:tablePart xmlns:r="http://schemas.openxmlformats.org/officeDocument/2006/relationships" r:id="R56da6877f36a4fb4"/>
  </x:tableParts>
</x:worksheet>
</file>